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eepak/UOB - BA/38156 - Capstone/Project/Analysis/"/>
    </mc:Choice>
  </mc:AlternateContent>
  <xr:revisionPtr revIDLastSave="0" documentId="13_ncr:1_{01F0E203-85F2-1043-8DE0-BEAAAA3B8317}" xr6:coauthVersionLast="47" xr6:coauthVersionMax="47" xr10:uidLastSave="{00000000-0000-0000-0000-000000000000}"/>
  <bookViews>
    <workbookView xWindow="0" yWindow="660" windowWidth="30240" windowHeight="17180" tabRatio="500" activeTab="6" xr2:uid="{00000000-000D-0000-FFFF-FFFF00000000}"/>
  </bookViews>
  <sheets>
    <sheet name="ReadMe" sheetId="1" r:id="rId1"/>
    <sheet name="Reference" sheetId="2" r:id="rId2"/>
    <sheet name="RecPricing" sheetId="3" r:id="rId3"/>
    <sheet name="Bookings" sheetId="4" r:id="rId4"/>
    <sheet name="StaffExtras" sheetId="5" r:id="rId5"/>
    <sheet name="Costs" sheetId="6" r:id="rId6"/>
    <sheet name="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4" l="1"/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2" i="6"/>
  <c r="B46" i="7"/>
  <c r="B45" i="7"/>
  <c r="B44" i="7"/>
  <c r="B43" i="7"/>
  <c r="B40" i="7"/>
  <c r="B39" i="7"/>
  <c r="B34" i="7"/>
  <c r="B33" i="7"/>
  <c r="B10" i="7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H1013" i="5"/>
  <c r="F1013" i="5"/>
  <c r="G1013" i="5" s="1"/>
  <c r="H1012" i="5"/>
  <c r="F1012" i="5"/>
  <c r="G1012" i="5" s="1"/>
  <c r="H1011" i="5"/>
  <c r="F1011" i="5"/>
  <c r="G1011" i="5" s="1"/>
  <c r="H1010" i="5"/>
  <c r="F1010" i="5"/>
  <c r="G1010" i="5" s="1"/>
  <c r="H1009" i="5"/>
  <c r="F1009" i="5"/>
  <c r="G1009" i="5" s="1"/>
  <c r="H1008" i="5"/>
  <c r="F1008" i="5"/>
  <c r="G1008" i="5" s="1"/>
  <c r="H1007" i="5"/>
  <c r="F1007" i="5"/>
  <c r="G1007" i="5" s="1"/>
  <c r="H1006" i="5"/>
  <c r="F1006" i="5"/>
  <c r="G1006" i="5" s="1"/>
  <c r="H1005" i="5"/>
  <c r="F1005" i="5"/>
  <c r="G1005" i="5" s="1"/>
  <c r="H1004" i="5"/>
  <c r="F1004" i="5"/>
  <c r="G1004" i="5" s="1"/>
  <c r="H1003" i="5"/>
  <c r="F1003" i="5"/>
  <c r="G1003" i="5" s="1"/>
  <c r="H1002" i="5"/>
  <c r="F1002" i="5"/>
  <c r="G1002" i="5" s="1"/>
  <c r="H1001" i="5"/>
  <c r="F1001" i="5"/>
  <c r="G1001" i="5" s="1"/>
  <c r="H1000" i="5"/>
  <c r="F1000" i="5"/>
  <c r="G1000" i="5" s="1"/>
  <c r="H999" i="5"/>
  <c r="F999" i="5"/>
  <c r="G999" i="5" s="1"/>
  <c r="H998" i="5"/>
  <c r="F998" i="5"/>
  <c r="G998" i="5" s="1"/>
  <c r="H997" i="5"/>
  <c r="F997" i="5"/>
  <c r="G997" i="5" s="1"/>
  <c r="H996" i="5"/>
  <c r="F996" i="5"/>
  <c r="G996" i="5" s="1"/>
  <c r="H995" i="5"/>
  <c r="F995" i="5"/>
  <c r="G995" i="5" s="1"/>
  <c r="H994" i="5"/>
  <c r="F994" i="5"/>
  <c r="G994" i="5" s="1"/>
  <c r="H993" i="5"/>
  <c r="F993" i="5"/>
  <c r="G993" i="5" s="1"/>
  <c r="H992" i="5"/>
  <c r="F992" i="5"/>
  <c r="G992" i="5" s="1"/>
  <c r="H991" i="5"/>
  <c r="F991" i="5"/>
  <c r="G991" i="5" s="1"/>
  <c r="H990" i="5"/>
  <c r="F990" i="5"/>
  <c r="G990" i="5" s="1"/>
  <c r="H989" i="5"/>
  <c r="F989" i="5"/>
  <c r="G989" i="5" s="1"/>
  <c r="H988" i="5"/>
  <c r="F988" i="5"/>
  <c r="G988" i="5" s="1"/>
  <c r="H987" i="5"/>
  <c r="F987" i="5"/>
  <c r="G987" i="5" s="1"/>
  <c r="H986" i="5"/>
  <c r="F986" i="5"/>
  <c r="G986" i="5" s="1"/>
  <c r="H985" i="5"/>
  <c r="F985" i="5"/>
  <c r="G985" i="5" s="1"/>
  <c r="H984" i="5"/>
  <c r="F984" i="5"/>
  <c r="G984" i="5" s="1"/>
  <c r="H983" i="5"/>
  <c r="F983" i="5"/>
  <c r="G983" i="5" s="1"/>
  <c r="H982" i="5"/>
  <c r="F982" i="5"/>
  <c r="G982" i="5" s="1"/>
  <c r="H981" i="5"/>
  <c r="F981" i="5"/>
  <c r="G981" i="5" s="1"/>
  <c r="H980" i="5"/>
  <c r="F980" i="5"/>
  <c r="G980" i="5" s="1"/>
  <c r="H979" i="5"/>
  <c r="F979" i="5"/>
  <c r="G979" i="5" s="1"/>
  <c r="H978" i="5"/>
  <c r="F978" i="5"/>
  <c r="G978" i="5" s="1"/>
  <c r="H977" i="5"/>
  <c r="F977" i="5"/>
  <c r="G977" i="5" s="1"/>
  <c r="H976" i="5"/>
  <c r="F976" i="5"/>
  <c r="G976" i="5" s="1"/>
  <c r="H975" i="5"/>
  <c r="F975" i="5"/>
  <c r="G975" i="5" s="1"/>
  <c r="H974" i="5"/>
  <c r="F974" i="5"/>
  <c r="G974" i="5" s="1"/>
  <c r="H973" i="5"/>
  <c r="F973" i="5"/>
  <c r="G973" i="5" s="1"/>
  <c r="H972" i="5"/>
  <c r="F972" i="5"/>
  <c r="G972" i="5" s="1"/>
  <c r="H971" i="5"/>
  <c r="F971" i="5"/>
  <c r="G971" i="5" s="1"/>
  <c r="H970" i="5"/>
  <c r="F970" i="5"/>
  <c r="G970" i="5" s="1"/>
  <c r="H969" i="5"/>
  <c r="F969" i="5"/>
  <c r="G969" i="5" s="1"/>
  <c r="H968" i="5"/>
  <c r="F968" i="5"/>
  <c r="G968" i="5" s="1"/>
  <c r="H967" i="5"/>
  <c r="F967" i="5"/>
  <c r="G967" i="5" s="1"/>
  <c r="H966" i="5"/>
  <c r="F966" i="5"/>
  <c r="G966" i="5" s="1"/>
  <c r="H965" i="5"/>
  <c r="F965" i="5"/>
  <c r="G965" i="5" s="1"/>
  <c r="H964" i="5"/>
  <c r="F964" i="5"/>
  <c r="G964" i="5" s="1"/>
  <c r="H963" i="5"/>
  <c r="F963" i="5"/>
  <c r="G963" i="5" s="1"/>
  <c r="H962" i="5"/>
  <c r="F962" i="5"/>
  <c r="G962" i="5" s="1"/>
  <c r="H961" i="5"/>
  <c r="F961" i="5"/>
  <c r="G961" i="5" s="1"/>
  <c r="H960" i="5"/>
  <c r="F960" i="5"/>
  <c r="G960" i="5" s="1"/>
  <c r="H959" i="5"/>
  <c r="F959" i="5"/>
  <c r="G959" i="5" s="1"/>
  <c r="H958" i="5"/>
  <c r="F958" i="5"/>
  <c r="G958" i="5" s="1"/>
  <c r="H957" i="5"/>
  <c r="F957" i="5"/>
  <c r="G957" i="5" s="1"/>
  <c r="H956" i="5"/>
  <c r="F956" i="5"/>
  <c r="G956" i="5" s="1"/>
  <c r="H955" i="5"/>
  <c r="F955" i="5"/>
  <c r="G955" i="5" s="1"/>
  <c r="H954" i="5"/>
  <c r="F954" i="5"/>
  <c r="G954" i="5" s="1"/>
  <c r="H953" i="5"/>
  <c r="F953" i="5"/>
  <c r="G953" i="5" s="1"/>
  <c r="H952" i="5"/>
  <c r="F952" i="5"/>
  <c r="G952" i="5" s="1"/>
  <c r="H951" i="5"/>
  <c r="F951" i="5"/>
  <c r="G951" i="5" s="1"/>
  <c r="H950" i="5"/>
  <c r="F950" i="5"/>
  <c r="G950" i="5" s="1"/>
  <c r="H949" i="5"/>
  <c r="F949" i="5"/>
  <c r="G949" i="5" s="1"/>
  <c r="H948" i="5"/>
  <c r="F948" i="5"/>
  <c r="G948" i="5" s="1"/>
  <c r="H947" i="5"/>
  <c r="F947" i="5"/>
  <c r="G947" i="5" s="1"/>
  <c r="H946" i="5"/>
  <c r="F946" i="5"/>
  <c r="G946" i="5" s="1"/>
  <c r="H945" i="5"/>
  <c r="F945" i="5"/>
  <c r="G945" i="5" s="1"/>
  <c r="H944" i="5"/>
  <c r="F944" i="5"/>
  <c r="G944" i="5" s="1"/>
  <c r="H943" i="5"/>
  <c r="F943" i="5"/>
  <c r="G943" i="5" s="1"/>
  <c r="H942" i="5"/>
  <c r="F942" i="5"/>
  <c r="G942" i="5" s="1"/>
  <c r="H941" i="5"/>
  <c r="F941" i="5"/>
  <c r="G941" i="5" s="1"/>
  <c r="H940" i="5"/>
  <c r="F940" i="5"/>
  <c r="G940" i="5" s="1"/>
  <c r="H939" i="5"/>
  <c r="F939" i="5"/>
  <c r="G939" i="5" s="1"/>
  <c r="H938" i="5"/>
  <c r="F938" i="5"/>
  <c r="G938" i="5" s="1"/>
  <c r="H937" i="5"/>
  <c r="F937" i="5"/>
  <c r="G937" i="5" s="1"/>
  <c r="H936" i="5"/>
  <c r="F936" i="5"/>
  <c r="G936" i="5" s="1"/>
  <c r="H935" i="5"/>
  <c r="F935" i="5"/>
  <c r="G935" i="5" s="1"/>
  <c r="H934" i="5"/>
  <c r="F934" i="5"/>
  <c r="G934" i="5" s="1"/>
  <c r="H933" i="5"/>
  <c r="F933" i="5"/>
  <c r="G933" i="5" s="1"/>
  <c r="H932" i="5"/>
  <c r="F932" i="5"/>
  <c r="G932" i="5" s="1"/>
  <c r="H931" i="5"/>
  <c r="F931" i="5"/>
  <c r="G931" i="5" s="1"/>
  <c r="H930" i="5"/>
  <c r="F930" i="5"/>
  <c r="G930" i="5" s="1"/>
  <c r="H929" i="5"/>
  <c r="F929" i="5"/>
  <c r="G929" i="5" s="1"/>
  <c r="H928" i="5"/>
  <c r="F928" i="5"/>
  <c r="G928" i="5" s="1"/>
  <c r="H927" i="5"/>
  <c r="F927" i="5"/>
  <c r="G927" i="5" s="1"/>
  <c r="H926" i="5"/>
  <c r="F926" i="5"/>
  <c r="G926" i="5" s="1"/>
  <c r="H925" i="5"/>
  <c r="F925" i="5"/>
  <c r="G925" i="5" s="1"/>
  <c r="H924" i="5"/>
  <c r="F924" i="5"/>
  <c r="G924" i="5" s="1"/>
  <c r="H923" i="5"/>
  <c r="F923" i="5"/>
  <c r="G923" i="5" s="1"/>
  <c r="H922" i="5"/>
  <c r="F922" i="5"/>
  <c r="G922" i="5" s="1"/>
  <c r="H921" i="5"/>
  <c r="F921" i="5"/>
  <c r="G921" i="5" s="1"/>
  <c r="H920" i="5"/>
  <c r="F920" i="5"/>
  <c r="G920" i="5" s="1"/>
  <c r="H919" i="5"/>
  <c r="F919" i="5"/>
  <c r="G919" i="5" s="1"/>
  <c r="H918" i="5"/>
  <c r="F918" i="5"/>
  <c r="G918" i="5" s="1"/>
  <c r="H917" i="5"/>
  <c r="F917" i="5"/>
  <c r="G917" i="5" s="1"/>
  <c r="H916" i="5"/>
  <c r="F916" i="5"/>
  <c r="G916" i="5" s="1"/>
  <c r="H915" i="5"/>
  <c r="F915" i="5"/>
  <c r="G915" i="5" s="1"/>
  <c r="H914" i="5"/>
  <c r="F914" i="5"/>
  <c r="G914" i="5" s="1"/>
  <c r="H913" i="5"/>
  <c r="F913" i="5"/>
  <c r="G913" i="5" s="1"/>
  <c r="H912" i="5"/>
  <c r="F912" i="5"/>
  <c r="G912" i="5" s="1"/>
  <c r="H911" i="5"/>
  <c r="F911" i="5"/>
  <c r="G911" i="5" s="1"/>
  <c r="H910" i="5"/>
  <c r="F910" i="5"/>
  <c r="G910" i="5" s="1"/>
  <c r="H909" i="5"/>
  <c r="F909" i="5"/>
  <c r="G909" i="5" s="1"/>
  <c r="H908" i="5"/>
  <c r="F908" i="5"/>
  <c r="G908" i="5" s="1"/>
  <c r="H907" i="5"/>
  <c r="F907" i="5"/>
  <c r="G907" i="5" s="1"/>
  <c r="H906" i="5"/>
  <c r="F906" i="5"/>
  <c r="G906" i="5" s="1"/>
  <c r="H905" i="5"/>
  <c r="F905" i="5"/>
  <c r="G905" i="5" s="1"/>
  <c r="H904" i="5"/>
  <c r="F904" i="5"/>
  <c r="G904" i="5" s="1"/>
  <c r="H903" i="5"/>
  <c r="F903" i="5"/>
  <c r="G903" i="5" s="1"/>
  <c r="H902" i="5"/>
  <c r="F902" i="5"/>
  <c r="G902" i="5" s="1"/>
  <c r="H901" i="5"/>
  <c r="F901" i="5"/>
  <c r="G901" i="5" s="1"/>
  <c r="H900" i="5"/>
  <c r="F900" i="5"/>
  <c r="G900" i="5" s="1"/>
  <c r="H899" i="5"/>
  <c r="F899" i="5"/>
  <c r="G899" i="5" s="1"/>
  <c r="H898" i="5"/>
  <c r="F898" i="5"/>
  <c r="G898" i="5" s="1"/>
  <c r="H897" i="5"/>
  <c r="F897" i="5"/>
  <c r="G897" i="5" s="1"/>
  <c r="H896" i="5"/>
  <c r="F896" i="5"/>
  <c r="G896" i="5" s="1"/>
  <c r="H895" i="5"/>
  <c r="F895" i="5"/>
  <c r="G895" i="5" s="1"/>
  <c r="H894" i="5"/>
  <c r="F894" i="5"/>
  <c r="G894" i="5" s="1"/>
  <c r="H893" i="5"/>
  <c r="F893" i="5"/>
  <c r="G893" i="5" s="1"/>
  <c r="H892" i="5"/>
  <c r="F892" i="5"/>
  <c r="G892" i="5" s="1"/>
  <c r="H891" i="5"/>
  <c r="F891" i="5"/>
  <c r="G891" i="5" s="1"/>
  <c r="H890" i="5"/>
  <c r="F890" i="5"/>
  <c r="G890" i="5" s="1"/>
  <c r="H889" i="5"/>
  <c r="F889" i="5"/>
  <c r="G889" i="5" s="1"/>
  <c r="H888" i="5"/>
  <c r="F888" i="5"/>
  <c r="G888" i="5" s="1"/>
  <c r="H887" i="5"/>
  <c r="F887" i="5"/>
  <c r="G887" i="5" s="1"/>
  <c r="H886" i="5"/>
  <c r="F886" i="5"/>
  <c r="G886" i="5" s="1"/>
  <c r="H885" i="5"/>
  <c r="F885" i="5"/>
  <c r="G885" i="5" s="1"/>
  <c r="H884" i="5"/>
  <c r="F884" i="5"/>
  <c r="G884" i="5" s="1"/>
  <c r="H883" i="5"/>
  <c r="F883" i="5"/>
  <c r="G883" i="5" s="1"/>
  <c r="H882" i="5"/>
  <c r="F882" i="5"/>
  <c r="G882" i="5" s="1"/>
  <c r="H881" i="5"/>
  <c r="F881" i="5"/>
  <c r="G881" i="5" s="1"/>
  <c r="H880" i="5"/>
  <c r="F880" i="5"/>
  <c r="G880" i="5" s="1"/>
  <c r="H879" i="5"/>
  <c r="F879" i="5"/>
  <c r="G879" i="5" s="1"/>
  <c r="H878" i="5"/>
  <c r="F878" i="5"/>
  <c r="G878" i="5" s="1"/>
  <c r="H877" i="5"/>
  <c r="F877" i="5"/>
  <c r="G877" i="5" s="1"/>
  <c r="H876" i="5"/>
  <c r="F876" i="5"/>
  <c r="G876" i="5" s="1"/>
  <c r="H875" i="5"/>
  <c r="F875" i="5"/>
  <c r="G875" i="5" s="1"/>
  <c r="H874" i="5"/>
  <c r="F874" i="5"/>
  <c r="G874" i="5" s="1"/>
  <c r="H873" i="5"/>
  <c r="F873" i="5"/>
  <c r="G873" i="5" s="1"/>
  <c r="H872" i="5"/>
  <c r="F872" i="5"/>
  <c r="G872" i="5" s="1"/>
  <c r="H871" i="5"/>
  <c r="F871" i="5"/>
  <c r="G871" i="5" s="1"/>
  <c r="H870" i="5"/>
  <c r="F870" i="5"/>
  <c r="G870" i="5" s="1"/>
  <c r="H869" i="5"/>
  <c r="F869" i="5"/>
  <c r="G869" i="5" s="1"/>
  <c r="H868" i="5"/>
  <c r="F868" i="5"/>
  <c r="G868" i="5" s="1"/>
  <c r="H867" i="5"/>
  <c r="F867" i="5"/>
  <c r="G867" i="5" s="1"/>
  <c r="H866" i="5"/>
  <c r="F866" i="5"/>
  <c r="G866" i="5" s="1"/>
  <c r="H865" i="5"/>
  <c r="F865" i="5"/>
  <c r="G865" i="5" s="1"/>
  <c r="H864" i="5"/>
  <c r="F864" i="5"/>
  <c r="G864" i="5" s="1"/>
  <c r="H863" i="5"/>
  <c r="F863" i="5"/>
  <c r="G863" i="5" s="1"/>
  <c r="H862" i="5"/>
  <c r="F862" i="5"/>
  <c r="G862" i="5" s="1"/>
  <c r="H861" i="5"/>
  <c r="F861" i="5"/>
  <c r="G861" i="5" s="1"/>
  <c r="H860" i="5"/>
  <c r="F860" i="5"/>
  <c r="G860" i="5" s="1"/>
  <c r="H859" i="5"/>
  <c r="F859" i="5"/>
  <c r="G859" i="5" s="1"/>
  <c r="H858" i="5"/>
  <c r="F858" i="5"/>
  <c r="G858" i="5" s="1"/>
  <c r="H857" i="5"/>
  <c r="F857" i="5"/>
  <c r="G857" i="5" s="1"/>
  <c r="H856" i="5"/>
  <c r="F856" i="5"/>
  <c r="G856" i="5" s="1"/>
  <c r="H855" i="5"/>
  <c r="F855" i="5"/>
  <c r="G855" i="5" s="1"/>
  <c r="H854" i="5"/>
  <c r="F854" i="5"/>
  <c r="G854" i="5" s="1"/>
  <c r="H853" i="5"/>
  <c r="F853" i="5"/>
  <c r="G853" i="5" s="1"/>
  <c r="H852" i="5"/>
  <c r="F852" i="5"/>
  <c r="G852" i="5" s="1"/>
  <c r="H851" i="5"/>
  <c r="F851" i="5"/>
  <c r="G851" i="5" s="1"/>
  <c r="H850" i="5"/>
  <c r="F850" i="5"/>
  <c r="G850" i="5" s="1"/>
  <c r="H849" i="5"/>
  <c r="F849" i="5"/>
  <c r="G849" i="5" s="1"/>
  <c r="H848" i="5"/>
  <c r="F848" i="5"/>
  <c r="G848" i="5" s="1"/>
  <c r="H847" i="5"/>
  <c r="F847" i="5"/>
  <c r="G847" i="5" s="1"/>
  <c r="H846" i="5"/>
  <c r="F846" i="5"/>
  <c r="G846" i="5" s="1"/>
  <c r="H845" i="5"/>
  <c r="F845" i="5"/>
  <c r="G845" i="5" s="1"/>
  <c r="H844" i="5"/>
  <c r="F844" i="5"/>
  <c r="G844" i="5" s="1"/>
  <c r="H843" i="5"/>
  <c r="F843" i="5"/>
  <c r="G843" i="5" s="1"/>
  <c r="H842" i="5"/>
  <c r="F842" i="5"/>
  <c r="G842" i="5" s="1"/>
  <c r="H841" i="5"/>
  <c r="F841" i="5"/>
  <c r="G841" i="5" s="1"/>
  <c r="H840" i="5"/>
  <c r="F840" i="5"/>
  <c r="G840" i="5" s="1"/>
  <c r="H839" i="5"/>
  <c r="F839" i="5"/>
  <c r="G839" i="5" s="1"/>
  <c r="H838" i="5"/>
  <c r="F838" i="5"/>
  <c r="G838" i="5" s="1"/>
  <c r="H837" i="5"/>
  <c r="F837" i="5"/>
  <c r="G837" i="5" s="1"/>
  <c r="H836" i="5"/>
  <c r="F836" i="5"/>
  <c r="G836" i="5" s="1"/>
  <c r="H835" i="5"/>
  <c r="F835" i="5"/>
  <c r="G835" i="5" s="1"/>
  <c r="H834" i="5"/>
  <c r="F834" i="5"/>
  <c r="G834" i="5" s="1"/>
  <c r="H833" i="5"/>
  <c r="F833" i="5"/>
  <c r="G833" i="5" s="1"/>
  <c r="H832" i="5"/>
  <c r="F832" i="5"/>
  <c r="G832" i="5" s="1"/>
  <c r="H831" i="5"/>
  <c r="F831" i="5"/>
  <c r="G831" i="5" s="1"/>
  <c r="H830" i="5"/>
  <c r="F830" i="5"/>
  <c r="G830" i="5" s="1"/>
  <c r="H829" i="5"/>
  <c r="F829" i="5"/>
  <c r="G829" i="5" s="1"/>
  <c r="H828" i="5"/>
  <c r="F828" i="5"/>
  <c r="G828" i="5" s="1"/>
  <c r="H827" i="5"/>
  <c r="F827" i="5"/>
  <c r="G827" i="5" s="1"/>
  <c r="H826" i="5"/>
  <c r="F826" i="5"/>
  <c r="G826" i="5" s="1"/>
  <c r="H825" i="5"/>
  <c r="F825" i="5"/>
  <c r="G825" i="5" s="1"/>
  <c r="H824" i="5"/>
  <c r="F824" i="5"/>
  <c r="G824" i="5" s="1"/>
  <c r="H823" i="5"/>
  <c r="F823" i="5"/>
  <c r="G823" i="5" s="1"/>
  <c r="H822" i="5"/>
  <c r="F822" i="5"/>
  <c r="G822" i="5" s="1"/>
  <c r="H821" i="5"/>
  <c r="F821" i="5"/>
  <c r="G821" i="5" s="1"/>
  <c r="H820" i="5"/>
  <c r="F820" i="5"/>
  <c r="G820" i="5" s="1"/>
  <c r="H819" i="5"/>
  <c r="F819" i="5"/>
  <c r="G819" i="5" s="1"/>
  <c r="H818" i="5"/>
  <c r="F818" i="5"/>
  <c r="G818" i="5" s="1"/>
  <c r="H817" i="5"/>
  <c r="F817" i="5"/>
  <c r="G817" i="5" s="1"/>
  <c r="H816" i="5"/>
  <c r="F816" i="5"/>
  <c r="G816" i="5" s="1"/>
  <c r="H815" i="5"/>
  <c r="F815" i="5"/>
  <c r="G815" i="5" s="1"/>
  <c r="H814" i="5"/>
  <c r="F814" i="5"/>
  <c r="G814" i="5" s="1"/>
  <c r="H813" i="5"/>
  <c r="F813" i="5"/>
  <c r="G813" i="5" s="1"/>
  <c r="H812" i="5"/>
  <c r="F812" i="5"/>
  <c r="G812" i="5" s="1"/>
  <c r="H811" i="5"/>
  <c r="F811" i="5"/>
  <c r="G811" i="5" s="1"/>
  <c r="H810" i="5"/>
  <c r="F810" i="5"/>
  <c r="G810" i="5" s="1"/>
  <c r="H809" i="5"/>
  <c r="F809" i="5"/>
  <c r="G809" i="5" s="1"/>
  <c r="H808" i="5"/>
  <c r="F808" i="5"/>
  <c r="G808" i="5" s="1"/>
  <c r="H807" i="5"/>
  <c r="F807" i="5"/>
  <c r="G807" i="5" s="1"/>
  <c r="H806" i="5"/>
  <c r="F806" i="5"/>
  <c r="G806" i="5" s="1"/>
  <c r="H805" i="5"/>
  <c r="F805" i="5"/>
  <c r="G805" i="5" s="1"/>
  <c r="H804" i="5"/>
  <c r="F804" i="5"/>
  <c r="G804" i="5" s="1"/>
  <c r="H803" i="5"/>
  <c r="F803" i="5"/>
  <c r="G803" i="5" s="1"/>
  <c r="H802" i="5"/>
  <c r="F802" i="5"/>
  <c r="G802" i="5" s="1"/>
  <c r="H801" i="5"/>
  <c r="F801" i="5"/>
  <c r="G801" i="5" s="1"/>
  <c r="H800" i="5"/>
  <c r="F800" i="5"/>
  <c r="G800" i="5" s="1"/>
  <c r="H799" i="5"/>
  <c r="F799" i="5"/>
  <c r="G799" i="5" s="1"/>
  <c r="H798" i="5"/>
  <c r="F798" i="5"/>
  <c r="G798" i="5" s="1"/>
  <c r="H797" i="5"/>
  <c r="F797" i="5"/>
  <c r="G797" i="5" s="1"/>
  <c r="H796" i="5"/>
  <c r="F796" i="5"/>
  <c r="G796" i="5" s="1"/>
  <c r="H795" i="5"/>
  <c r="F795" i="5"/>
  <c r="G795" i="5" s="1"/>
  <c r="H794" i="5"/>
  <c r="F794" i="5"/>
  <c r="G794" i="5" s="1"/>
  <c r="H793" i="5"/>
  <c r="F793" i="5"/>
  <c r="G793" i="5" s="1"/>
  <c r="H792" i="5"/>
  <c r="F792" i="5"/>
  <c r="G792" i="5" s="1"/>
  <c r="H791" i="5"/>
  <c r="F791" i="5"/>
  <c r="G791" i="5" s="1"/>
  <c r="H790" i="5"/>
  <c r="F790" i="5"/>
  <c r="G790" i="5" s="1"/>
  <c r="H789" i="5"/>
  <c r="F789" i="5"/>
  <c r="G789" i="5" s="1"/>
  <c r="H788" i="5"/>
  <c r="F788" i="5"/>
  <c r="G788" i="5" s="1"/>
  <c r="H787" i="5"/>
  <c r="F787" i="5"/>
  <c r="G787" i="5" s="1"/>
  <c r="H786" i="5"/>
  <c r="F786" i="5"/>
  <c r="G786" i="5" s="1"/>
  <c r="H785" i="5"/>
  <c r="F785" i="5"/>
  <c r="G785" i="5" s="1"/>
  <c r="H784" i="5"/>
  <c r="F784" i="5"/>
  <c r="G784" i="5" s="1"/>
  <c r="H783" i="5"/>
  <c r="F783" i="5"/>
  <c r="G783" i="5" s="1"/>
  <c r="H782" i="5"/>
  <c r="F782" i="5"/>
  <c r="G782" i="5" s="1"/>
  <c r="H781" i="5"/>
  <c r="F781" i="5"/>
  <c r="G781" i="5" s="1"/>
  <c r="H780" i="5"/>
  <c r="F780" i="5"/>
  <c r="G780" i="5" s="1"/>
  <c r="H779" i="5"/>
  <c r="F779" i="5"/>
  <c r="G779" i="5" s="1"/>
  <c r="H778" i="5"/>
  <c r="F778" i="5"/>
  <c r="G778" i="5" s="1"/>
  <c r="H777" i="5"/>
  <c r="F777" i="5"/>
  <c r="G777" i="5" s="1"/>
  <c r="H776" i="5"/>
  <c r="F776" i="5"/>
  <c r="G776" i="5" s="1"/>
  <c r="H775" i="5"/>
  <c r="F775" i="5"/>
  <c r="G775" i="5" s="1"/>
  <c r="H774" i="5"/>
  <c r="F774" i="5"/>
  <c r="G774" i="5" s="1"/>
  <c r="H773" i="5"/>
  <c r="F773" i="5"/>
  <c r="G773" i="5" s="1"/>
  <c r="H772" i="5"/>
  <c r="F772" i="5"/>
  <c r="G772" i="5" s="1"/>
  <c r="H771" i="5"/>
  <c r="F771" i="5"/>
  <c r="G771" i="5" s="1"/>
  <c r="H770" i="5"/>
  <c r="F770" i="5"/>
  <c r="G770" i="5" s="1"/>
  <c r="H769" i="5"/>
  <c r="F769" i="5"/>
  <c r="G769" i="5" s="1"/>
  <c r="H768" i="5"/>
  <c r="F768" i="5"/>
  <c r="G768" i="5" s="1"/>
  <c r="H767" i="5"/>
  <c r="F767" i="5"/>
  <c r="G767" i="5" s="1"/>
  <c r="H766" i="5"/>
  <c r="F766" i="5"/>
  <c r="G766" i="5" s="1"/>
  <c r="H765" i="5"/>
  <c r="F765" i="5"/>
  <c r="G765" i="5" s="1"/>
  <c r="H764" i="5"/>
  <c r="F764" i="5"/>
  <c r="G764" i="5" s="1"/>
  <c r="H763" i="5"/>
  <c r="F763" i="5"/>
  <c r="G763" i="5" s="1"/>
  <c r="H762" i="5"/>
  <c r="F762" i="5"/>
  <c r="G762" i="5" s="1"/>
  <c r="H761" i="5"/>
  <c r="F761" i="5"/>
  <c r="G761" i="5" s="1"/>
  <c r="H760" i="5"/>
  <c r="F760" i="5"/>
  <c r="G760" i="5" s="1"/>
  <c r="H759" i="5"/>
  <c r="F759" i="5"/>
  <c r="G759" i="5" s="1"/>
  <c r="H758" i="5"/>
  <c r="F758" i="5"/>
  <c r="G758" i="5" s="1"/>
  <c r="H757" i="5"/>
  <c r="F757" i="5"/>
  <c r="G757" i="5" s="1"/>
  <c r="H756" i="5"/>
  <c r="F756" i="5"/>
  <c r="G756" i="5" s="1"/>
  <c r="H755" i="5"/>
  <c r="F755" i="5"/>
  <c r="G755" i="5" s="1"/>
  <c r="H754" i="5"/>
  <c r="F754" i="5"/>
  <c r="G754" i="5" s="1"/>
  <c r="H753" i="5"/>
  <c r="F753" i="5"/>
  <c r="G753" i="5" s="1"/>
  <c r="H752" i="5"/>
  <c r="F752" i="5"/>
  <c r="G752" i="5" s="1"/>
  <c r="H751" i="5"/>
  <c r="F751" i="5"/>
  <c r="G751" i="5" s="1"/>
  <c r="H750" i="5"/>
  <c r="F750" i="5"/>
  <c r="G750" i="5" s="1"/>
  <c r="H749" i="5"/>
  <c r="F749" i="5"/>
  <c r="G749" i="5" s="1"/>
  <c r="H748" i="5"/>
  <c r="F748" i="5"/>
  <c r="G748" i="5" s="1"/>
  <c r="H747" i="5"/>
  <c r="F747" i="5"/>
  <c r="G747" i="5" s="1"/>
  <c r="H746" i="5"/>
  <c r="F746" i="5"/>
  <c r="G746" i="5" s="1"/>
  <c r="H745" i="5"/>
  <c r="F745" i="5"/>
  <c r="G745" i="5" s="1"/>
  <c r="H744" i="5"/>
  <c r="F744" i="5"/>
  <c r="G744" i="5" s="1"/>
  <c r="H743" i="5"/>
  <c r="F743" i="5"/>
  <c r="G743" i="5" s="1"/>
  <c r="H742" i="5"/>
  <c r="F742" i="5"/>
  <c r="G742" i="5" s="1"/>
  <c r="H741" i="5"/>
  <c r="F741" i="5"/>
  <c r="G741" i="5" s="1"/>
  <c r="H740" i="5"/>
  <c r="F740" i="5"/>
  <c r="G740" i="5" s="1"/>
  <c r="H739" i="5"/>
  <c r="F739" i="5"/>
  <c r="G739" i="5" s="1"/>
  <c r="H738" i="5"/>
  <c r="F738" i="5"/>
  <c r="G738" i="5" s="1"/>
  <c r="H737" i="5"/>
  <c r="F737" i="5"/>
  <c r="G737" i="5" s="1"/>
  <c r="H736" i="5"/>
  <c r="F736" i="5"/>
  <c r="G736" i="5" s="1"/>
  <c r="H735" i="5"/>
  <c r="F735" i="5"/>
  <c r="G735" i="5" s="1"/>
  <c r="H734" i="5"/>
  <c r="F734" i="5"/>
  <c r="G734" i="5" s="1"/>
  <c r="H733" i="5"/>
  <c r="F733" i="5"/>
  <c r="G733" i="5" s="1"/>
  <c r="H732" i="5"/>
  <c r="F732" i="5"/>
  <c r="G732" i="5" s="1"/>
  <c r="H731" i="5"/>
  <c r="F731" i="5"/>
  <c r="G731" i="5" s="1"/>
  <c r="H730" i="5"/>
  <c r="F730" i="5"/>
  <c r="G730" i="5" s="1"/>
  <c r="H729" i="5"/>
  <c r="F729" i="5"/>
  <c r="G729" i="5" s="1"/>
  <c r="H728" i="5"/>
  <c r="F728" i="5"/>
  <c r="G728" i="5" s="1"/>
  <c r="H727" i="5"/>
  <c r="F727" i="5"/>
  <c r="G727" i="5" s="1"/>
  <c r="H726" i="5"/>
  <c r="F726" i="5"/>
  <c r="G726" i="5" s="1"/>
  <c r="H725" i="5"/>
  <c r="F725" i="5"/>
  <c r="G725" i="5" s="1"/>
  <c r="H724" i="5"/>
  <c r="F724" i="5"/>
  <c r="G724" i="5" s="1"/>
  <c r="H723" i="5"/>
  <c r="F723" i="5"/>
  <c r="G723" i="5" s="1"/>
  <c r="H722" i="5"/>
  <c r="F722" i="5"/>
  <c r="G722" i="5" s="1"/>
  <c r="H721" i="5"/>
  <c r="F721" i="5"/>
  <c r="G721" i="5" s="1"/>
  <c r="H720" i="5"/>
  <c r="F720" i="5"/>
  <c r="G720" i="5" s="1"/>
  <c r="H719" i="5"/>
  <c r="F719" i="5"/>
  <c r="G719" i="5" s="1"/>
  <c r="H718" i="5"/>
  <c r="F718" i="5"/>
  <c r="G718" i="5" s="1"/>
  <c r="H717" i="5"/>
  <c r="F717" i="5"/>
  <c r="G717" i="5" s="1"/>
  <c r="H716" i="5"/>
  <c r="F716" i="5"/>
  <c r="G716" i="5" s="1"/>
  <c r="H715" i="5"/>
  <c r="F715" i="5"/>
  <c r="G715" i="5" s="1"/>
  <c r="H714" i="5"/>
  <c r="F714" i="5"/>
  <c r="G714" i="5" s="1"/>
  <c r="H713" i="5"/>
  <c r="F713" i="5"/>
  <c r="G713" i="5" s="1"/>
  <c r="H712" i="5"/>
  <c r="F712" i="5"/>
  <c r="G712" i="5" s="1"/>
  <c r="H711" i="5"/>
  <c r="F711" i="5"/>
  <c r="G711" i="5" s="1"/>
  <c r="H710" i="5"/>
  <c r="F710" i="5"/>
  <c r="G710" i="5" s="1"/>
  <c r="H709" i="5"/>
  <c r="F709" i="5"/>
  <c r="G709" i="5" s="1"/>
  <c r="H708" i="5"/>
  <c r="F708" i="5"/>
  <c r="G708" i="5" s="1"/>
  <c r="H707" i="5"/>
  <c r="F707" i="5"/>
  <c r="G707" i="5" s="1"/>
  <c r="H706" i="5"/>
  <c r="F706" i="5"/>
  <c r="G706" i="5" s="1"/>
  <c r="H705" i="5"/>
  <c r="F705" i="5"/>
  <c r="G705" i="5" s="1"/>
  <c r="H704" i="5"/>
  <c r="F704" i="5"/>
  <c r="G704" i="5" s="1"/>
  <c r="H703" i="5"/>
  <c r="F703" i="5"/>
  <c r="G703" i="5" s="1"/>
  <c r="H702" i="5"/>
  <c r="F702" i="5"/>
  <c r="G702" i="5" s="1"/>
  <c r="H701" i="5"/>
  <c r="F701" i="5"/>
  <c r="G701" i="5" s="1"/>
  <c r="H700" i="5"/>
  <c r="F700" i="5"/>
  <c r="G700" i="5" s="1"/>
  <c r="H699" i="5"/>
  <c r="F699" i="5"/>
  <c r="G699" i="5" s="1"/>
  <c r="H698" i="5"/>
  <c r="F698" i="5"/>
  <c r="G698" i="5" s="1"/>
  <c r="H697" i="5"/>
  <c r="F697" i="5"/>
  <c r="G697" i="5" s="1"/>
  <c r="H696" i="5"/>
  <c r="F696" i="5"/>
  <c r="G696" i="5" s="1"/>
  <c r="H695" i="5"/>
  <c r="F695" i="5"/>
  <c r="G695" i="5" s="1"/>
  <c r="H694" i="5"/>
  <c r="F694" i="5"/>
  <c r="G694" i="5" s="1"/>
  <c r="H693" i="5"/>
  <c r="F693" i="5"/>
  <c r="G693" i="5" s="1"/>
  <c r="H692" i="5"/>
  <c r="F692" i="5"/>
  <c r="G692" i="5" s="1"/>
  <c r="H691" i="5"/>
  <c r="F691" i="5"/>
  <c r="G691" i="5" s="1"/>
  <c r="H690" i="5"/>
  <c r="F690" i="5"/>
  <c r="G690" i="5" s="1"/>
  <c r="H689" i="5"/>
  <c r="F689" i="5"/>
  <c r="G689" i="5" s="1"/>
  <c r="H688" i="5"/>
  <c r="F688" i="5"/>
  <c r="G688" i="5" s="1"/>
  <c r="H687" i="5"/>
  <c r="F687" i="5"/>
  <c r="G687" i="5" s="1"/>
  <c r="H686" i="5"/>
  <c r="F686" i="5"/>
  <c r="G686" i="5" s="1"/>
  <c r="H685" i="5"/>
  <c r="F685" i="5"/>
  <c r="G685" i="5" s="1"/>
  <c r="H684" i="5"/>
  <c r="F684" i="5"/>
  <c r="G684" i="5" s="1"/>
  <c r="H683" i="5"/>
  <c r="F683" i="5"/>
  <c r="G683" i="5" s="1"/>
  <c r="H682" i="5"/>
  <c r="F682" i="5"/>
  <c r="G682" i="5" s="1"/>
  <c r="H681" i="5"/>
  <c r="F681" i="5"/>
  <c r="G681" i="5" s="1"/>
  <c r="H680" i="5"/>
  <c r="F680" i="5"/>
  <c r="G680" i="5" s="1"/>
  <c r="H679" i="5"/>
  <c r="F679" i="5"/>
  <c r="G679" i="5" s="1"/>
  <c r="H678" i="5"/>
  <c r="F678" i="5"/>
  <c r="G678" i="5" s="1"/>
  <c r="H677" i="5"/>
  <c r="F677" i="5"/>
  <c r="G677" i="5" s="1"/>
  <c r="H676" i="5"/>
  <c r="F676" i="5"/>
  <c r="G676" i="5" s="1"/>
  <c r="H675" i="5"/>
  <c r="F675" i="5"/>
  <c r="G675" i="5" s="1"/>
  <c r="H674" i="5"/>
  <c r="F674" i="5"/>
  <c r="G674" i="5" s="1"/>
  <c r="H673" i="5"/>
  <c r="F673" i="5"/>
  <c r="G673" i="5" s="1"/>
  <c r="H672" i="5"/>
  <c r="F672" i="5"/>
  <c r="G672" i="5" s="1"/>
  <c r="H671" i="5"/>
  <c r="F671" i="5"/>
  <c r="G671" i="5" s="1"/>
  <c r="H670" i="5"/>
  <c r="F670" i="5"/>
  <c r="G670" i="5" s="1"/>
  <c r="H669" i="5"/>
  <c r="F669" i="5"/>
  <c r="G669" i="5" s="1"/>
  <c r="H668" i="5"/>
  <c r="F668" i="5"/>
  <c r="G668" i="5" s="1"/>
  <c r="H667" i="5"/>
  <c r="F667" i="5"/>
  <c r="G667" i="5" s="1"/>
  <c r="H666" i="5"/>
  <c r="F666" i="5"/>
  <c r="G666" i="5" s="1"/>
  <c r="H665" i="5"/>
  <c r="F665" i="5"/>
  <c r="G665" i="5" s="1"/>
  <c r="H664" i="5"/>
  <c r="F664" i="5"/>
  <c r="G664" i="5" s="1"/>
  <c r="H663" i="5"/>
  <c r="F663" i="5"/>
  <c r="G663" i="5" s="1"/>
  <c r="H662" i="5"/>
  <c r="F662" i="5"/>
  <c r="G662" i="5" s="1"/>
  <c r="H661" i="5"/>
  <c r="F661" i="5"/>
  <c r="G661" i="5" s="1"/>
  <c r="H660" i="5"/>
  <c r="F660" i="5"/>
  <c r="G660" i="5" s="1"/>
  <c r="H659" i="5"/>
  <c r="F659" i="5"/>
  <c r="G659" i="5" s="1"/>
  <c r="H658" i="5"/>
  <c r="F658" i="5"/>
  <c r="G658" i="5" s="1"/>
  <c r="H657" i="5"/>
  <c r="F657" i="5"/>
  <c r="G657" i="5" s="1"/>
  <c r="H656" i="5"/>
  <c r="F656" i="5"/>
  <c r="G656" i="5" s="1"/>
  <c r="H655" i="5"/>
  <c r="F655" i="5"/>
  <c r="G655" i="5" s="1"/>
  <c r="H654" i="5"/>
  <c r="F654" i="5"/>
  <c r="G654" i="5" s="1"/>
  <c r="H653" i="5"/>
  <c r="F653" i="5"/>
  <c r="G653" i="5" s="1"/>
  <c r="H652" i="5"/>
  <c r="F652" i="5"/>
  <c r="G652" i="5" s="1"/>
  <c r="H651" i="5"/>
  <c r="F651" i="5"/>
  <c r="G651" i="5" s="1"/>
  <c r="H650" i="5"/>
  <c r="F650" i="5"/>
  <c r="G650" i="5" s="1"/>
  <c r="H649" i="5"/>
  <c r="F649" i="5"/>
  <c r="G649" i="5" s="1"/>
  <c r="H648" i="5"/>
  <c r="F648" i="5"/>
  <c r="G648" i="5" s="1"/>
  <c r="H647" i="5"/>
  <c r="F647" i="5"/>
  <c r="G647" i="5" s="1"/>
  <c r="H646" i="5"/>
  <c r="F646" i="5"/>
  <c r="G646" i="5" s="1"/>
  <c r="H645" i="5"/>
  <c r="F645" i="5"/>
  <c r="G645" i="5" s="1"/>
  <c r="H644" i="5"/>
  <c r="F644" i="5"/>
  <c r="G644" i="5" s="1"/>
  <c r="H643" i="5"/>
  <c r="F643" i="5"/>
  <c r="G643" i="5" s="1"/>
  <c r="H642" i="5"/>
  <c r="F642" i="5"/>
  <c r="G642" i="5" s="1"/>
  <c r="H641" i="5"/>
  <c r="F641" i="5"/>
  <c r="G641" i="5" s="1"/>
  <c r="H640" i="5"/>
  <c r="F640" i="5"/>
  <c r="G640" i="5" s="1"/>
  <c r="H639" i="5"/>
  <c r="F639" i="5"/>
  <c r="G639" i="5" s="1"/>
  <c r="H638" i="5"/>
  <c r="F638" i="5"/>
  <c r="G638" i="5" s="1"/>
  <c r="H637" i="5"/>
  <c r="F637" i="5"/>
  <c r="G637" i="5" s="1"/>
  <c r="H636" i="5"/>
  <c r="F636" i="5"/>
  <c r="G636" i="5" s="1"/>
  <c r="H635" i="5"/>
  <c r="F635" i="5"/>
  <c r="G635" i="5" s="1"/>
  <c r="H634" i="5"/>
  <c r="F634" i="5"/>
  <c r="G634" i="5" s="1"/>
  <c r="H633" i="5"/>
  <c r="F633" i="5"/>
  <c r="G633" i="5" s="1"/>
  <c r="H632" i="5"/>
  <c r="F632" i="5"/>
  <c r="G632" i="5" s="1"/>
  <c r="H631" i="5"/>
  <c r="F631" i="5"/>
  <c r="G631" i="5" s="1"/>
  <c r="H630" i="5"/>
  <c r="F630" i="5"/>
  <c r="G630" i="5" s="1"/>
  <c r="H629" i="5"/>
  <c r="F629" i="5"/>
  <c r="G629" i="5" s="1"/>
  <c r="H628" i="5"/>
  <c r="F628" i="5"/>
  <c r="G628" i="5" s="1"/>
  <c r="H627" i="5"/>
  <c r="F627" i="5"/>
  <c r="G627" i="5" s="1"/>
  <c r="H626" i="5"/>
  <c r="F626" i="5"/>
  <c r="G626" i="5" s="1"/>
  <c r="H625" i="5"/>
  <c r="F625" i="5"/>
  <c r="G625" i="5" s="1"/>
  <c r="H624" i="5"/>
  <c r="F624" i="5"/>
  <c r="G624" i="5" s="1"/>
  <c r="H623" i="5"/>
  <c r="F623" i="5"/>
  <c r="G623" i="5" s="1"/>
  <c r="H622" i="5"/>
  <c r="F622" i="5"/>
  <c r="G622" i="5" s="1"/>
  <c r="H621" i="5"/>
  <c r="F621" i="5"/>
  <c r="G621" i="5" s="1"/>
  <c r="H620" i="5"/>
  <c r="F620" i="5"/>
  <c r="G620" i="5" s="1"/>
  <c r="H619" i="5"/>
  <c r="F619" i="5"/>
  <c r="G619" i="5" s="1"/>
  <c r="H618" i="5"/>
  <c r="F618" i="5"/>
  <c r="G618" i="5" s="1"/>
  <c r="H617" i="5"/>
  <c r="F617" i="5"/>
  <c r="G617" i="5" s="1"/>
  <c r="H616" i="5"/>
  <c r="F616" i="5"/>
  <c r="G616" i="5" s="1"/>
  <c r="H615" i="5"/>
  <c r="F615" i="5"/>
  <c r="G615" i="5" s="1"/>
  <c r="H614" i="5"/>
  <c r="F614" i="5"/>
  <c r="G614" i="5" s="1"/>
  <c r="H613" i="5"/>
  <c r="F613" i="5"/>
  <c r="G613" i="5" s="1"/>
  <c r="H612" i="5"/>
  <c r="F612" i="5"/>
  <c r="G612" i="5" s="1"/>
  <c r="H611" i="5"/>
  <c r="F611" i="5"/>
  <c r="G611" i="5" s="1"/>
  <c r="H610" i="5"/>
  <c r="F610" i="5"/>
  <c r="G610" i="5" s="1"/>
  <c r="H609" i="5"/>
  <c r="F609" i="5"/>
  <c r="G609" i="5" s="1"/>
  <c r="H608" i="5"/>
  <c r="F608" i="5"/>
  <c r="G608" i="5" s="1"/>
  <c r="H607" i="5"/>
  <c r="F607" i="5"/>
  <c r="G607" i="5" s="1"/>
  <c r="H606" i="5"/>
  <c r="F606" i="5"/>
  <c r="G606" i="5" s="1"/>
  <c r="H605" i="5"/>
  <c r="F605" i="5"/>
  <c r="G605" i="5" s="1"/>
  <c r="H604" i="5"/>
  <c r="F604" i="5"/>
  <c r="G604" i="5" s="1"/>
  <c r="H603" i="5"/>
  <c r="F603" i="5"/>
  <c r="G603" i="5" s="1"/>
  <c r="H602" i="5"/>
  <c r="F602" i="5"/>
  <c r="G602" i="5" s="1"/>
  <c r="H601" i="5"/>
  <c r="F601" i="5"/>
  <c r="G601" i="5" s="1"/>
  <c r="H600" i="5"/>
  <c r="F600" i="5"/>
  <c r="G600" i="5" s="1"/>
  <c r="H599" i="5"/>
  <c r="F599" i="5"/>
  <c r="G599" i="5" s="1"/>
  <c r="H598" i="5"/>
  <c r="F598" i="5"/>
  <c r="G598" i="5" s="1"/>
  <c r="H597" i="5"/>
  <c r="F597" i="5"/>
  <c r="G597" i="5" s="1"/>
  <c r="H596" i="5"/>
  <c r="F596" i="5"/>
  <c r="G596" i="5" s="1"/>
  <c r="H595" i="5"/>
  <c r="F595" i="5"/>
  <c r="G595" i="5" s="1"/>
  <c r="H594" i="5"/>
  <c r="F594" i="5"/>
  <c r="G594" i="5" s="1"/>
  <c r="H593" i="5"/>
  <c r="F593" i="5"/>
  <c r="G593" i="5" s="1"/>
  <c r="H592" i="5"/>
  <c r="F592" i="5"/>
  <c r="G592" i="5" s="1"/>
  <c r="H591" i="5"/>
  <c r="F591" i="5"/>
  <c r="G591" i="5" s="1"/>
  <c r="H590" i="5"/>
  <c r="F590" i="5"/>
  <c r="G590" i="5" s="1"/>
  <c r="H589" i="5"/>
  <c r="F589" i="5"/>
  <c r="G589" i="5" s="1"/>
  <c r="H588" i="5"/>
  <c r="F588" i="5"/>
  <c r="G588" i="5" s="1"/>
  <c r="H587" i="5"/>
  <c r="F587" i="5"/>
  <c r="G587" i="5" s="1"/>
  <c r="H586" i="5"/>
  <c r="F586" i="5"/>
  <c r="G586" i="5" s="1"/>
  <c r="H585" i="5"/>
  <c r="F585" i="5"/>
  <c r="G585" i="5" s="1"/>
  <c r="H584" i="5"/>
  <c r="F584" i="5"/>
  <c r="G584" i="5" s="1"/>
  <c r="H583" i="5"/>
  <c r="F583" i="5"/>
  <c r="G583" i="5" s="1"/>
  <c r="H582" i="5"/>
  <c r="F582" i="5"/>
  <c r="G582" i="5" s="1"/>
  <c r="H581" i="5"/>
  <c r="F581" i="5"/>
  <c r="G581" i="5" s="1"/>
  <c r="H580" i="5"/>
  <c r="F580" i="5"/>
  <c r="G580" i="5" s="1"/>
  <c r="H579" i="5"/>
  <c r="F579" i="5"/>
  <c r="G579" i="5" s="1"/>
  <c r="H578" i="5"/>
  <c r="F578" i="5"/>
  <c r="G578" i="5" s="1"/>
  <c r="H577" i="5"/>
  <c r="F577" i="5"/>
  <c r="G577" i="5" s="1"/>
  <c r="H576" i="5"/>
  <c r="F576" i="5"/>
  <c r="G576" i="5" s="1"/>
  <c r="H575" i="5"/>
  <c r="F575" i="5"/>
  <c r="G575" i="5" s="1"/>
  <c r="H574" i="5"/>
  <c r="F574" i="5"/>
  <c r="G574" i="5" s="1"/>
  <c r="H573" i="5"/>
  <c r="F573" i="5"/>
  <c r="G573" i="5" s="1"/>
  <c r="H572" i="5"/>
  <c r="F572" i="5"/>
  <c r="G572" i="5" s="1"/>
  <c r="H571" i="5"/>
  <c r="F571" i="5"/>
  <c r="G571" i="5" s="1"/>
  <c r="H570" i="5"/>
  <c r="F570" i="5"/>
  <c r="G570" i="5" s="1"/>
  <c r="H569" i="5"/>
  <c r="F569" i="5"/>
  <c r="G569" i="5" s="1"/>
  <c r="H568" i="5"/>
  <c r="F568" i="5"/>
  <c r="G568" i="5" s="1"/>
  <c r="H567" i="5"/>
  <c r="F567" i="5"/>
  <c r="G567" i="5" s="1"/>
  <c r="H566" i="5"/>
  <c r="F566" i="5"/>
  <c r="G566" i="5" s="1"/>
  <c r="H565" i="5"/>
  <c r="F565" i="5"/>
  <c r="G565" i="5" s="1"/>
  <c r="H564" i="5"/>
  <c r="F564" i="5"/>
  <c r="G564" i="5" s="1"/>
  <c r="H563" i="5"/>
  <c r="F563" i="5"/>
  <c r="G563" i="5" s="1"/>
  <c r="H562" i="5"/>
  <c r="F562" i="5"/>
  <c r="G562" i="5" s="1"/>
  <c r="H561" i="5"/>
  <c r="F561" i="5"/>
  <c r="G561" i="5" s="1"/>
  <c r="H560" i="5"/>
  <c r="F560" i="5"/>
  <c r="G560" i="5" s="1"/>
  <c r="H559" i="5"/>
  <c r="F559" i="5"/>
  <c r="G559" i="5" s="1"/>
  <c r="H558" i="5"/>
  <c r="F558" i="5"/>
  <c r="G558" i="5" s="1"/>
  <c r="H557" i="5"/>
  <c r="F557" i="5"/>
  <c r="G557" i="5" s="1"/>
  <c r="H556" i="5"/>
  <c r="F556" i="5"/>
  <c r="G556" i="5" s="1"/>
  <c r="H555" i="5"/>
  <c r="F555" i="5"/>
  <c r="G555" i="5" s="1"/>
  <c r="H554" i="5"/>
  <c r="F554" i="5"/>
  <c r="G554" i="5" s="1"/>
  <c r="H553" i="5"/>
  <c r="F553" i="5"/>
  <c r="G553" i="5" s="1"/>
  <c r="H552" i="5"/>
  <c r="F552" i="5"/>
  <c r="G552" i="5" s="1"/>
  <c r="H551" i="5"/>
  <c r="F551" i="5"/>
  <c r="G551" i="5" s="1"/>
  <c r="H550" i="5"/>
  <c r="F550" i="5"/>
  <c r="G550" i="5" s="1"/>
  <c r="H549" i="5"/>
  <c r="F549" i="5"/>
  <c r="G549" i="5" s="1"/>
  <c r="H548" i="5"/>
  <c r="F548" i="5"/>
  <c r="G548" i="5" s="1"/>
  <c r="H547" i="5"/>
  <c r="F547" i="5"/>
  <c r="G547" i="5" s="1"/>
  <c r="H546" i="5"/>
  <c r="F546" i="5"/>
  <c r="G546" i="5" s="1"/>
  <c r="H545" i="5"/>
  <c r="F545" i="5"/>
  <c r="G545" i="5" s="1"/>
  <c r="H544" i="5"/>
  <c r="F544" i="5"/>
  <c r="G544" i="5" s="1"/>
  <c r="H543" i="5"/>
  <c r="F543" i="5"/>
  <c r="G543" i="5" s="1"/>
  <c r="H542" i="5"/>
  <c r="F542" i="5"/>
  <c r="G542" i="5" s="1"/>
  <c r="H541" i="5"/>
  <c r="F541" i="5"/>
  <c r="G541" i="5" s="1"/>
  <c r="H540" i="5"/>
  <c r="F540" i="5"/>
  <c r="G540" i="5" s="1"/>
  <c r="H539" i="5"/>
  <c r="F539" i="5"/>
  <c r="G539" i="5" s="1"/>
  <c r="H538" i="5"/>
  <c r="F538" i="5"/>
  <c r="G538" i="5" s="1"/>
  <c r="H537" i="5"/>
  <c r="F537" i="5"/>
  <c r="G537" i="5" s="1"/>
  <c r="H536" i="5"/>
  <c r="F536" i="5"/>
  <c r="G536" i="5" s="1"/>
  <c r="H535" i="5"/>
  <c r="F535" i="5"/>
  <c r="G535" i="5" s="1"/>
  <c r="H534" i="5"/>
  <c r="F534" i="5"/>
  <c r="G534" i="5" s="1"/>
  <c r="H533" i="5"/>
  <c r="F533" i="5"/>
  <c r="G533" i="5" s="1"/>
  <c r="H532" i="5"/>
  <c r="F532" i="5"/>
  <c r="G532" i="5" s="1"/>
  <c r="H531" i="5"/>
  <c r="F531" i="5"/>
  <c r="G531" i="5" s="1"/>
  <c r="H530" i="5"/>
  <c r="F530" i="5"/>
  <c r="G530" i="5" s="1"/>
  <c r="H529" i="5"/>
  <c r="F529" i="5"/>
  <c r="G529" i="5" s="1"/>
  <c r="H528" i="5"/>
  <c r="F528" i="5"/>
  <c r="G528" i="5" s="1"/>
  <c r="H527" i="5"/>
  <c r="F527" i="5"/>
  <c r="G527" i="5" s="1"/>
  <c r="H526" i="5"/>
  <c r="F526" i="5"/>
  <c r="G526" i="5" s="1"/>
  <c r="H525" i="5"/>
  <c r="F525" i="5"/>
  <c r="G525" i="5" s="1"/>
  <c r="H524" i="5"/>
  <c r="F524" i="5"/>
  <c r="G524" i="5" s="1"/>
  <c r="H523" i="5"/>
  <c r="F523" i="5"/>
  <c r="G523" i="5" s="1"/>
  <c r="H522" i="5"/>
  <c r="F522" i="5"/>
  <c r="G522" i="5" s="1"/>
  <c r="H521" i="5"/>
  <c r="F521" i="5"/>
  <c r="G521" i="5" s="1"/>
  <c r="H520" i="5"/>
  <c r="F520" i="5"/>
  <c r="G520" i="5" s="1"/>
  <c r="H519" i="5"/>
  <c r="F519" i="5"/>
  <c r="G519" i="5" s="1"/>
  <c r="H518" i="5"/>
  <c r="F518" i="5"/>
  <c r="G518" i="5" s="1"/>
  <c r="H517" i="5"/>
  <c r="F517" i="5"/>
  <c r="G517" i="5" s="1"/>
  <c r="H516" i="5"/>
  <c r="F516" i="5"/>
  <c r="G516" i="5" s="1"/>
  <c r="H515" i="5"/>
  <c r="F515" i="5"/>
  <c r="G515" i="5" s="1"/>
  <c r="H514" i="5"/>
  <c r="F514" i="5"/>
  <c r="G514" i="5" s="1"/>
  <c r="H513" i="5"/>
  <c r="F513" i="5"/>
  <c r="G513" i="5" s="1"/>
  <c r="H512" i="5"/>
  <c r="F512" i="5"/>
  <c r="G512" i="5" s="1"/>
  <c r="H511" i="5"/>
  <c r="F511" i="5"/>
  <c r="G511" i="5" s="1"/>
  <c r="H510" i="5"/>
  <c r="F510" i="5"/>
  <c r="G510" i="5" s="1"/>
  <c r="H509" i="5"/>
  <c r="F509" i="5"/>
  <c r="G509" i="5" s="1"/>
  <c r="H508" i="5"/>
  <c r="F508" i="5"/>
  <c r="G508" i="5" s="1"/>
  <c r="H507" i="5"/>
  <c r="F507" i="5"/>
  <c r="G507" i="5" s="1"/>
  <c r="H506" i="5"/>
  <c r="F506" i="5"/>
  <c r="G506" i="5" s="1"/>
  <c r="H505" i="5"/>
  <c r="F505" i="5"/>
  <c r="G505" i="5" s="1"/>
  <c r="H504" i="5"/>
  <c r="F504" i="5"/>
  <c r="G504" i="5" s="1"/>
  <c r="H503" i="5"/>
  <c r="F503" i="5"/>
  <c r="G503" i="5" s="1"/>
  <c r="H502" i="5"/>
  <c r="F502" i="5"/>
  <c r="G502" i="5" s="1"/>
  <c r="H501" i="5"/>
  <c r="F501" i="5"/>
  <c r="G501" i="5" s="1"/>
  <c r="H500" i="5"/>
  <c r="F500" i="5"/>
  <c r="G500" i="5" s="1"/>
  <c r="H499" i="5"/>
  <c r="F499" i="5"/>
  <c r="G499" i="5" s="1"/>
  <c r="H498" i="5"/>
  <c r="F498" i="5"/>
  <c r="G498" i="5" s="1"/>
  <c r="H497" i="5"/>
  <c r="F497" i="5"/>
  <c r="G497" i="5" s="1"/>
  <c r="H496" i="5"/>
  <c r="F496" i="5"/>
  <c r="G496" i="5" s="1"/>
  <c r="H495" i="5"/>
  <c r="F495" i="5"/>
  <c r="G495" i="5" s="1"/>
  <c r="H494" i="5"/>
  <c r="F494" i="5"/>
  <c r="G494" i="5" s="1"/>
  <c r="H493" i="5"/>
  <c r="F493" i="5"/>
  <c r="G493" i="5" s="1"/>
  <c r="H492" i="5"/>
  <c r="F492" i="5"/>
  <c r="G492" i="5" s="1"/>
  <c r="H491" i="5"/>
  <c r="F491" i="5"/>
  <c r="G491" i="5" s="1"/>
  <c r="H490" i="5"/>
  <c r="F490" i="5"/>
  <c r="G490" i="5" s="1"/>
  <c r="H489" i="5"/>
  <c r="F489" i="5"/>
  <c r="G489" i="5" s="1"/>
  <c r="H488" i="5"/>
  <c r="F488" i="5"/>
  <c r="G488" i="5" s="1"/>
  <c r="H487" i="5"/>
  <c r="F487" i="5"/>
  <c r="G487" i="5" s="1"/>
  <c r="H486" i="5"/>
  <c r="F486" i="5"/>
  <c r="G486" i="5" s="1"/>
  <c r="H485" i="5"/>
  <c r="F485" i="5"/>
  <c r="G485" i="5" s="1"/>
  <c r="H484" i="5"/>
  <c r="F484" i="5"/>
  <c r="G484" i="5" s="1"/>
  <c r="H483" i="5"/>
  <c r="F483" i="5"/>
  <c r="G483" i="5" s="1"/>
  <c r="H482" i="5"/>
  <c r="F482" i="5"/>
  <c r="G482" i="5" s="1"/>
  <c r="H481" i="5"/>
  <c r="F481" i="5"/>
  <c r="G481" i="5" s="1"/>
  <c r="H480" i="5"/>
  <c r="F480" i="5"/>
  <c r="G480" i="5" s="1"/>
  <c r="H479" i="5"/>
  <c r="F479" i="5"/>
  <c r="G479" i="5" s="1"/>
  <c r="H478" i="5"/>
  <c r="F478" i="5"/>
  <c r="G478" i="5" s="1"/>
  <c r="H477" i="5"/>
  <c r="F477" i="5"/>
  <c r="G477" i="5" s="1"/>
  <c r="H476" i="5"/>
  <c r="F476" i="5"/>
  <c r="G476" i="5" s="1"/>
  <c r="H475" i="5"/>
  <c r="F475" i="5"/>
  <c r="G475" i="5" s="1"/>
  <c r="H474" i="5"/>
  <c r="F474" i="5"/>
  <c r="G474" i="5" s="1"/>
  <c r="H473" i="5"/>
  <c r="F473" i="5"/>
  <c r="G473" i="5" s="1"/>
  <c r="H472" i="5"/>
  <c r="F472" i="5"/>
  <c r="G472" i="5" s="1"/>
  <c r="H471" i="5"/>
  <c r="F471" i="5"/>
  <c r="G471" i="5" s="1"/>
  <c r="H470" i="5"/>
  <c r="F470" i="5"/>
  <c r="G470" i="5" s="1"/>
  <c r="H469" i="5"/>
  <c r="F469" i="5"/>
  <c r="G469" i="5" s="1"/>
  <c r="H468" i="5"/>
  <c r="F468" i="5"/>
  <c r="G468" i="5" s="1"/>
  <c r="H467" i="5"/>
  <c r="F467" i="5"/>
  <c r="G467" i="5" s="1"/>
  <c r="H466" i="5"/>
  <c r="F466" i="5"/>
  <c r="G466" i="5" s="1"/>
  <c r="H465" i="5"/>
  <c r="F465" i="5"/>
  <c r="G465" i="5" s="1"/>
  <c r="H464" i="5"/>
  <c r="F464" i="5"/>
  <c r="G464" i="5" s="1"/>
  <c r="H463" i="5"/>
  <c r="F463" i="5"/>
  <c r="G463" i="5" s="1"/>
  <c r="H462" i="5"/>
  <c r="F462" i="5"/>
  <c r="G462" i="5" s="1"/>
  <c r="H461" i="5"/>
  <c r="F461" i="5"/>
  <c r="G461" i="5" s="1"/>
  <c r="H460" i="5"/>
  <c r="F460" i="5"/>
  <c r="G460" i="5" s="1"/>
  <c r="H459" i="5"/>
  <c r="F459" i="5"/>
  <c r="G459" i="5" s="1"/>
  <c r="H458" i="5"/>
  <c r="F458" i="5"/>
  <c r="G458" i="5" s="1"/>
  <c r="H457" i="5"/>
  <c r="F457" i="5"/>
  <c r="G457" i="5" s="1"/>
  <c r="H456" i="5"/>
  <c r="F456" i="5"/>
  <c r="G456" i="5" s="1"/>
  <c r="H455" i="5"/>
  <c r="F455" i="5"/>
  <c r="G455" i="5" s="1"/>
  <c r="H454" i="5"/>
  <c r="F454" i="5"/>
  <c r="G454" i="5" s="1"/>
  <c r="H453" i="5"/>
  <c r="F453" i="5"/>
  <c r="G453" i="5" s="1"/>
  <c r="H452" i="5"/>
  <c r="F452" i="5"/>
  <c r="G452" i="5" s="1"/>
  <c r="H451" i="5"/>
  <c r="F451" i="5"/>
  <c r="G451" i="5" s="1"/>
  <c r="H450" i="5"/>
  <c r="F450" i="5"/>
  <c r="G450" i="5" s="1"/>
  <c r="H449" i="5"/>
  <c r="F449" i="5"/>
  <c r="G449" i="5" s="1"/>
  <c r="H448" i="5"/>
  <c r="F448" i="5"/>
  <c r="G448" i="5" s="1"/>
  <c r="H447" i="5"/>
  <c r="F447" i="5"/>
  <c r="G447" i="5" s="1"/>
  <c r="H446" i="5"/>
  <c r="F446" i="5"/>
  <c r="G446" i="5" s="1"/>
  <c r="H445" i="5"/>
  <c r="F445" i="5"/>
  <c r="G445" i="5" s="1"/>
  <c r="H444" i="5"/>
  <c r="F444" i="5"/>
  <c r="G444" i="5" s="1"/>
  <c r="H443" i="5"/>
  <c r="F443" i="5"/>
  <c r="G443" i="5" s="1"/>
  <c r="H442" i="5"/>
  <c r="F442" i="5"/>
  <c r="G442" i="5" s="1"/>
  <c r="H441" i="5"/>
  <c r="F441" i="5"/>
  <c r="G441" i="5" s="1"/>
  <c r="H440" i="5"/>
  <c r="F440" i="5"/>
  <c r="G440" i="5" s="1"/>
  <c r="H439" i="5"/>
  <c r="F439" i="5"/>
  <c r="G439" i="5" s="1"/>
  <c r="H438" i="5"/>
  <c r="F438" i="5"/>
  <c r="G438" i="5" s="1"/>
  <c r="H437" i="5"/>
  <c r="F437" i="5"/>
  <c r="G437" i="5" s="1"/>
  <c r="H436" i="5"/>
  <c r="F436" i="5"/>
  <c r="G436" i="5" s="1"/>
  <c r="H435" i="5"/>
  <c r="F435" i="5"/>
  <c r="G435" i="5" s="1"/>
  <c r="H434" i="5"/>
  <c r="F434" i="5"/>
  <c r="G434" i="5" s="1"/>
  <c r="H433" i="5"/>
  <c r="F433" i="5"/>
  <c r="G433" i="5" s="1"/>
  <c r="H432" i="5"/>
  <c r="F432" i="5"/>
  <c r="G432" i="5" s="1"/>
  <c r="H431" i="5"/>
  <c r="F431" i="5"/>
  <c r="G431" i="5" s="1"/>
  <c r="H430" i="5"/>
  <c r="F430" i="5"/>
  <c r="G430" i="5" s="1"/>
  <c r="H429" i="5"/>
  <c r="F429" i="5"/>
  <c r="G429" i="5" s="1"/>
  <c r="H428" i="5"/>
  <c r="F428" i="5"/>
  <c r="G428" i="5" s="1"/>
  <c r="H427" i="5"/>
  <c r="F427" i="5"/>
  <c r="G427" i="5" s="1"/>
  <c r="H426" i="5"/>
  <c r="F426" i="5"/>
  <c r="G426" i="5" s="1"/>
  <c r="H425" i="5"/>
  <c r="F425" i="5"/>
  <c r="G425" i="5" s="1"/>
  <c r="H424" i="5"/>
  <c r="F424" i="5"/>
  <c r="G424" i="5" s="1"/>
  <c r="H423" i="5"/>
  <c r="F423" i="5"/>
  <c r="G423" i="5" s="1"/>
  <c r="H422" i="5"/>
  <c r="F422" i="5"/>
  <c r="G422" i="5" s="1"/>
  <c r="H421" i="5"/>
  <c r="F421" i="5"/>
  <c r="G421" i="5" s="1"/>
  <c r="H420" i="5"/>
  <c r="F420" i="5"/>
  <c r="G420" i="5" s="1"/>
  <c r="H419" i="5"/>
  <c r="F419" i="5"/>
  <c r="G419" i="5" s="1"/>
  <c r="H418" i="5"/>
  <c r="F418" i="5"/>
  <c r="G418" i="5" s="1"/>
  <c r="H417" i="5"/>
  <c r="F417" i="5"/>
  <c r="G417" i="5" s="1"/>
  <c r="H416" i="5"/>
  <c r="F416" i="5"/>
  <c r="G416" i="5" s="1"/>
  <c r="H415" i="5"/>
  <c r="F415" i="5"/>
  <c r="G415" i="5" s="1"/>
  <c r="H414" i="5"/>
  <c r="F414" i="5"/>
  <c r="G414" i="5" s="1"/>
  <c r="H413" i="5"/>
  <c r="F413" i="5"/>
  <c r="G413" i="5" s="1"/>
  <c r="H412" i="5"/>
  <c r="F412" i="5"/>
  <c r="G412" i="5" s="1"/>
  <c r="H411" i="5"/>
  <c r="F411" i="5"/>
  <c r="G411" i="5" s="1"/>
  <c r="H410" i="5"/>
  <c r="F410" i="5"/>
  <c r="G410" i="5" s="1"/>
  <c r="H409" i="5"/>
  <c r="F409" i="5"/>
  <c r="G409" i="5" s="1"/>
  <c r="H408" i="5"/>
  <c r="F408" i="5"/>
  <c r="G408" i="5" s="1"/>
  <c r="H407" i="5"/>
  <c r="F407" i="5"/>
  <c r="G407" i="5" s="1"/>
  <c r="H406" i="5"/>
  <c r="F406" i="5"/>
  <c r="G406" i="5" s="1"/>
  <c r="H405" i="5"/>
  <c r="F405" i="5"/>
  <c r="G405" i="5" s="1"/>
  <c r="H404" i="5"/>
  <c r="F404" i="5"/>
  <c r="G404" i="5" s="1"/>
  <c r="H403" i="5"/>
  <c r="F403" i="5"/>
  <c r="G403" i="5" s="1"/>
  <c r="H402" i="5"/>
  <c r="F402" i="5"/>
  <c r="G402" i="5" s="1"/>
  <c r="H401" i="5"/>
  <c r="F401" i="5"/>
  <c r="G401" i="5" s="1"/>
  <c r="H400" i="5"/>
  <c r="F400" i="5"/>
  <c r="G400" i="5" s="1"/>
  <c r="H399" i="5"/>
  <c r="F399" i="5"/>
  <c r="G399" i="5" s="1"/>
  <c r="H398" i="5"/>
  <c r="F398" i="5"/>
  <c r="G398" i="5" s="1"/>
  <c r="H397" i="5"/>
  <c r="F397" i="5"/>
  <c r="G397" i="5" s="1"/>
  <c r="H396" i="5"/>
  <c r="F396" i="5"/>
  <c r="G396" i="5" s="1"/>
  <c r="H395" i="5"/>
  <c r="F395" i="5"/>
  <c r="G395" i="5" s="1"/>
  <c r="H394" i="5"/>
  <c r="F394" i="5"/>
  <c r="G394" i="5" s="1"/>
  <c r="H393" i="5"/>
  <c r="F393" i="5"/>
  <c r="G393" i="5" s="1"/>
  <c r="H392" i="5"/>
  <c r="F392" i="5"/>
  <c r="G392" i="5" s="1"/>
  <c r="H391" i="5"/>
  <c r="F391" i="5"/>
  <c r="G391" i="5" s="1"/>
  <c r="H390" i="5"/>
  <c r="F390" i="5"/>
  <c r="G390" i="5" s="1"/>
  <c r="H389" i="5"/>
  <c r="F389" i="5"/>
  <c r="G389" i="5" s="1"/>
  <c r="H388" i="5"/>
  <c r="F388" i="5"/>
  <c r="G388" i="5" s="1"/>
  <c r="H387" i="5"/>
  <c r="F387" i="5"/>
  <c r="G387" i="5" s="1"/>
  <c r="H386" i="5"/>
  <c r="F386" i="5"/>
  <c r="G386" i="5" s="1"/>
  <c r="H385" i="5"/>
  <c r="F385" i="5"/>
  <c r="G385" i="5" s="1"/>
  <c r="H384" i="5"/>
  <c r="F384" i="5"/>
  <c r="G384" i="5" s="1"/>
  <c r="H383" i="5"/>
  <c r="F383" i="5"/>
  <c r="G383" i="5" s="1"/>
  <c r="H382" i="5"/>
  <c r="F382" i="5"/>
  <c r="G382" i="5" s="1"/>
  <c r="H381" i="5"/>
  <c r="F381" i="5"/>
  <c r="G381" i="5" s="1"/>
  <c r="H380" i="5"/>
  <c r="F380" i="5"/>
  <c r="G380" i="5" s="1"/>
  <c r="H379" i="5"/>
  <c r="F379" i="5"/>
  <c r="G379" i="5" s="1"/>
  <c r="H378" i="5"/>
  <c r="F378" i="5"/>
  <c r="G378" i="5" s="1"/>
  <c r="H377" i="5"/>
  <c r="F377" i="5"/>
  <c r="G377" i="5" s="1"/>
  <c r="H376" i="5"/>
  <c r="F376" i="5"/>
  <c r="G376" i="5" s="1"/>
  <c r="H375" i="5"/>
  <c r="F375" i="5"/>
  <c r="G375" i="5" s="1"/>
  <c r="H374" i="5"/>
  <c r="F374" i="5"/>
  <c r="G374" i="5" s="1"/>
  <c r="H373" i="5"/>
  <c r="F373" i="5"/>
  <c r="G373" i="5" s="1"/>
  <c r="H372" i="5"/>
  <c r="F372" i="5"/>
  <c r="G372" i="5" s="1"/>
  <c r="H371" i="5"/>
  <c r="F371" i="5"/>
  <c r="G371" i="5" s="1"/>
  <c r="H370" i="5"/>
  <c r="F370" i="5"/>
  <c r="G370" i="5" s="1"/>
  <c r="H369" i="5"/>
  <c r="F369" i="5"/>
  <c r="G369" i="5" s="1"/>
  <c r="H368" i="5"/>
  <c r="F368" i="5"/>
  <c r="G368" i="5" s="1"/>
  <c r="H367" i="5"/>
  <c r="F367" i="5"/>
  <c r="G367" i="5" s="1"/>
  <c r="H366" i="5"/>
  <c r="F366" i="5"/>
  <c r="G366" i="5" s="1"/>
  <c r="H365" i="5"/>
  <c r="F365" i="5"/>
  <c r="G365" i="5" s="1"/>
  <c r="H364" i="5"/>
  <c r="F364" i="5"/>
  <c r="G364" i="5" s="1"/>
  <c r="H363" i="5"/>
  <c r="F363" i="5"/>
  <c r="G363" i="5" s="1"/>
  <c r="H362" i="5"/>
  <c r="F362" i="5"/>
  <c r="G362" i="5" s="1"/>
  <c r="H361" i="5"/>
  <c r="F361" i="5"/>
  <c r="G361" i="5" s="1"/>
  <c r="H360" i="5"/>
  <c r="F360" i="5"/>
  <c r="G360" i="5" s="1"/>
  <c r="H359" i="5"/>
  <c r="F359" i="5"/>
  <c r="G359" i="5" s="1"/>
  <c r="H358" i="5"/>
  <c r="F358" i="5"/>
  <c r="G358" i="5" s="1"/>
  <c r="H357" i="5"/>
  <c r="F357" i="5"/>
  <c r="G357" i="5" s="1"/>
  <c r="H356" i="5"/>
  <c r="F356" i="5"/>
  <c r="G356" i="5" s="1"/>
  <c r="H355" i="5"/>
  <c r="F355" i="5"/>
  <c r="G355" i="5" s="1"/>
  <c r="H354" i="5"/>
  <c r="F354" i="5"/>
  <c r="G354" i="5" s="1"/>
  <c r="H353" i="5"/>
  <c r="F353" i="5"/>
  <c r="G353" i="5" s="1"/>
  <c r="H352" i="5"/>
  <c r="F352" i="5"/>
  <c r="G352" i="5" s="1"/>
  <c r="H351" i="5"/>
  <c r="F351" i="5"/>
  <c r="G351" i="5" s="1"/>
  <c r="H350" i="5"/>
  <c r="F350" i="5"/>
  <c r="G350" i="5" s="1"/>
  <c r="H349" i="5"/>
  <c r="F349" i="5"/>
  <c r="G349" i="5" s="1"/>
  <c r="H348" i="5"/>
  <c r="F348" i="5"/>
  <c r="G348" i="5" s="1"/>
  <c r="H347" i="5"/>
  <c r="F347" i="5"/>
  <c r="G347" i="5" s="1"/>
  <c r="H346" i="5"/>
  <c r="F346" i="5"/>
  <c r="G346" i="5" s="1"/>
  <c r="H345" i="5"/>
  <c r="F345" i="5"/>
  <c r="G345" i="5" s="1"/>
  <c r="H344" i="5"/>
  <c r="F344" i="5"/>
  <c r="G344" i="5" s="1"/>
  <c r="H343" i="5"/>
  <c r="F343" i="5"/>
  <c r="G343" i="5" s="1"/>
  <c r="H342" i="5"/>
  <c r="F342" i="5"/>
  <c r="G342" i="5" s="1"/>
  <c r="H341" i="5"/>
  <c r="F341" i="5"/>
  <c r="G341" i="5" s="1"/>
  <c r="H340" i="5"/>
  <c r="F340" i="5"/>
  <c r="G340" i="5" s="1"/>
  <c r="H339" i="5"/>
  <c r="F339" i="5"/>
  <c r="G339" i="5" s="1"/>
  <c r="H338" i="5"/>
  <c r="F338" i="5"/>
  <c r="G338" i="5" s="1"/>
  <c r="H337" i="5"/>
  <c r="F337" i="5"/>
  <c r="G337" i="5" s="1"/>
  <c r="H336" i="5"/>
  <c r="F336" i="5"/>
  <c r="G336" i="5" s="1"/>
  <c r="H335" i="5"/>
  <c r="F335" i="5"/>
  <c r="G335" i="5" s="1"/>
  <c r="H334" i="5"/>
  <c r="F334" i="5"/>
  <c r="G334" i="5" s="1"/>
  <c r="H333" i="5"/>
  <c r="F333" i="5"/>
  <c r="G333" i="5" s="1"/>
  <c r="H332" i="5"/>
  <c r="F332" i="5"/>
  <c r="G332" i="5" s="1"/>
  <c r="H331" i="5"/>
  <c r="F331" i="5"/>
  <c r="G331" i="5" s="1"/>
  <c r="H330" i="5"/>
  <c r="F330" i="5"/>
  <c r="G330" i="5" s="1"/>
  <c r="H329" i="5"/>
  <c r="F329" i="5"/>
  <c r="G329" i="5" s="1"/>
  <c r="H328" i="5"/>
  <c r="F328" i="5"/>
  <c r="G328" i="5" s="1"/>
  <c r="H327" i="5"/>
  <c r="F327" i="5"/>
  <c r="G327" i="5" s="1"/>
  <c r="H326" i="5"/>
  <c r="F326" i="5"/>
  <c r="G326" i="5" s="1"/>
  <c r="H325" i="5"/>
  <c r="F325" i="5"/>
  <c r="G325" i="5" s="1"/>
  <c r="H324" i="5"/>
  <c r="F324" i="5"/>
  <c r="G324" i="5" s="1"/>
  <c r="H323" i="5"/>
  <c r="F323" i="5"/>
  <c r="G323" i="5" s="1"/>
  <c r="H322" i="5"/>
  <c r="F322" i="5"/>
  <c r="G322" i="5" s="1"/>
  <c r="H321" i="5"/>
  <c r="F321" i="5"/>
  <c r="G321" i="5" s="1"/>
  <c r="H320" i="5"/>
  <c r="F320" i="5"/>
  <c r="G320" i="5" s="1"/>
  <c r="H319" i="5"/>
  <c r="F319" i="5"/>
  <c r="G319" i="5" s="1"/>
  <c r="H318" i="5"/>
  <c r="F318" i="5"/>
  <c r="G318" i="5" s="1"/>
  <c r="H317" i="5"/>
  <c r="F317" i="5"/>
  <c r="G317" i="5" s="1"/>
  <c r="H316" i="5"/>
  <c r="F316" i="5"/>
  <c r="G316" i="5" s="1"/>
  <c r="H315" i="5"/>
  <c r="F315" i="5"/>
  <c r="G315" i="5" s="1"/>
  <c r="H314" i="5"/>
  <c r="F314" i="5"/>
  <c r="G314" i="5" s="1"/>
  <c r="H313" i="5"/>
  <c r="F313" i="5"/>
  <c r="G313" i="5" s="1"/>
  <c r="H312" i="5"/>
  <c r="F312" i="5"/>
  <c r="G312" i="5" s="1"/>
  <c r="H311" i="5"/>
  <c r="F311" i="5"/>
  <c r="G311" i="5" s="1"/>
  <c r="H310" i="5"/>
  <c r="F310" i="5"/>
  <c r="G310" i="5" s="1"/>
  <c r="H309" i="5"/>
  <c r="F309" i="5"/>
  <c r="G309" i="5" s="1"/>
  <c r="H308" i="5"/>
  <c r="F308" i="5"/>
  <c r="G308" i="5" s="1"/>
  <c r="H307" i="5"/>
  <c r="F307" i="5"/>
  <c r="G307" i="5" s="1"/>
  <c r="H306" i="5"/>
  <c r="F306" i="5"/>
  <c r="G306" i="5" s="1"/>
  <c r="H305" i="5"/>
  <c r="F305" i="5"/>
  <c r="G305" i="5" s="1"/>
  <c r="H304" i="5"/>
  <c r="F304" i="5"/>
  <c r="G304" i="5" s="1"/>
  <c r="H303" i="5"/>
  <c r="F303" i="5"/>
  <c r="G303" i="5" s="1"/>
  <c r="H302" i="5"/>
  <c r="F302" i="5"/>
  <c r="G302" i="5" s="1"/>
  <c r="H301" i="5"/>
  <c r="F301" i="5"/>
  <c r="G301" i="5" s="1"/>
  <c r="H300" i="5"/>
  <c r="F300" i="5"/>
  <c r="G300" i="5" s="1"/>
  <c r="H299" i="5"/>
  <c r="F299" i="5"/>
  <c r="G299" i="5" s="1"/>
  <c r="H298" i="5"/>
  <c r="F298" i="5"/>
  <c r="G298" i="5" s="1"/>
  <c r="H297" i="5"/>
  <c r="F297" i="5"/>
  <c r="G297" i="5" s="1"/>
  <c r="H296" i="5"/>
  <c r="F296" i="5"/>
  <c r="G296" i="5" s="1"/>
  <c r="H295" i="5"/>
  <c r="F295" i="5"/>
  <c r="G295" i="5" s="1"/>
  <c r="H294" i="5"/>
  <c r="F294" i="5"/>
  <c r="G294" i="5" s="1"/>
  <c r="H293" i="5"/>
  <c r="F293" i="5"/>
  <c r="G293" i="5" s="1"/>
  <c r="H292" i="5"/>
  <c r="F292" i="5"/>
  <c r="G292" i="5" s="1"/>
  <c r="H291" i="5"/>
  <c r="F291" i="5"/>
  <c r="G291" i="5" s="1"/>
  <c r="H290" i="5"/>
  <c r="F290" i="5"/>
  <c r="G290" i="5" s="1"/>
  <c r="H289" i="5"/>
  <c r="F289" i="5"/>
  <c r="G289" i="5" s="1"/>
  <c r="H288" i="5"/>
  <c r="F288" i="5"/>
  <c r="G288" i="5" s="1"/>
  <c r="H287" i="5"/>
  <c r="F287" i="5"/>
  <c r="G287" i="5" s="1"/>
  <c r="H286" i="5"/>
  <c r="F286" i="5"/>
  <c r="G286" i="5" s="1"/>
  <c r="H285" i="5"/>
  <c r="F285" i="5"/>
  <c r="G285" i="5" s="1"/>
  <c r="H284" i="5"/>
  <c r="F284" i="5"/>
  <c r="G284" i="5" s="1"/>
  <c r="H283" i="5"/>
  <c r="F283" i="5"/>
  <c r="G283" i="5" s="1"/>
  <c r="H282" i="5"/>
  <c r="F282" i="5"/>
  <c r="G282" i="5" s="1"/>
  <c r="H281" i="5"/>
  <c r="F281" i="5"/>
  <c r="G281" i="5" s="1"/>
  <c r="H280" i="5"/>
  <c r="F280" i="5"/>
  <c r="G280" i="5" s="1"/>
  <c r="H279" i="5"/>
  <c r="F279" i="5"/>
  <c r="G279" i="5" s="1"/>
  <c r="H278" i="5"/>
  <c r="F278" i="5"/>
  <c r="G278" i="5" s="1"/>
  <c r="H277" i="5"/>
  <c r="F277" i="5"/>
  <c r="G277" i="5" s="1"/>
  <c r="H276" i="5"/>
  <c r="F276" i="5"/>
  <c r="G276" i="5" s="1"/>
  <c r="H275" i="5"/>
  <c r="F275" i="5"/>
  <c r="G275" i="5" s="1"/>
  <c r="H274" i="5"/>
  <c r="F274" i="5"/>
  <c r="G274" i="5" s="1"/>
  <c r="H273" i="5"/>
  <c r="F273" i="5"/>
  <c r="G273" i="5" s="1"/>
  <c r="H272" i="5"/>
  <c r="F272" i="5"/>
  <c r="G272" i="5" s="1"/>
  <c r="H271" i="5"/>
  <c r="F271" i="5"/>
  <c r="G271" i="5" s="1"/>
  <c r="H270" i="5"/>
  <c r="F270" i="5"/>
  <c r="G270" i="5" s="1"/>
  <c r="H269" i="5"/>
  <c r="F269" i="5"/>
  <c r="G269" i="5" s="1"/>
  <c r="H268" i="5"/>
  <c r="F268" i="5"/>
  <c r="G268" i="5" s="1"/>
  <c r="H267" i="5"/>
  <c r="F267" i="5"/>
  <c r="G267" i="5" s="1"/>
  <c r="H266" i="5"/>
  <c r="F266" i="5"/>
  <c r="G266" i="5" s="1"/>
  <c r="H265" i="5"/>
  <c r="F265" i="5"/>
  <c r="G265" i="5" s="1"/>
  <c r="H264" i="5"/>
  <c r="F264" i="5"/>
  <c r="G264" i="5" s="1"/>
  <c r="H263" i="5"/>
  <c r="F263" i="5"/>
  <c r="G263" i="5" s="1"/>
  <c r="H262" i="5"/>
  <c r="F262" i="5"/>
  <c r="G262" i="5" s="1"/>
  <c r="H261" i="5"/>
  <c r="F261" i="5"/>
  <c r="G261" i="5" s="1"/>
  <c r="H260" i="5"/>
  <c r="F260" i="5"/>
  <c r="G260" i="5" s="1"/>
  <c r="H259" i="5"/>
  <c r="F259" i="5"/>
  <c r="G259" i="5" s="1"/>
  <c r="H258" i="5"/>
  <c r="F258" i="5"/>
  <c r="G258" i="5" s="1"/>
  <c r="H257" i="5"/>
  <c r="F257" i="5"/>
  <c r="G257" i="5" s="1"/>
  <c r="H256" i="5"/>
  <c r="F256" i="5"/>
  <c r="G256" i="5" s="1"/>
  <c r="H255" i="5"/>
  <c r="F255" i="5"/>
  <c r="G255" i="5" s="1"/>
  <c r="H254" i="5"/>
  <c r="F254" i="5"/>
  <c r="G254" i="5" s="1"/>
  <c r="H253" i="5"/>
  <c r="F253" i="5"/>
  <c r="G253" i="5" s="1"/>
  <c r="H252" i="5"/>
  <c r="F252" i="5"/>
  <c r="G252" i="5" s="1"/>
  <c r="H251" i="5"/>
  <c r="F251" i="5"/>
  <c r="G251" i="5" s="1"/>
  <c r="H250" i="5"/>
  <c r="F250" i="5"/>
  <c r="G250" i="5" s="1"/>
  <c r="H249" i="5"/>
  <c r="F249" i="5"/>
  <c r="G249" i="5" s="1"/>
  <c r="H248" i="5"/>
  <c r="F248" i="5"/>
  <c r="G248" i="5" s="1"/>
  <c r="H247" i="5"/>
  <c r="F247" i="5"/>
  <c r="G247" i="5" s="1"/>
  <c r="H246" i="5"/>
  <c r="F246" i="5"/>
  <c r="G246" i="5" s="1"/>
  <c r="H245" i="5"/>
  <c r="F245" i="5"/>
  <c r="G245" i="5" s="1"/>
  <c r="H244" i="5"/>
  <c r="F244" i="5"/>
  <c r="G244" i="5" s="1"/>
  <c r="H243" i="5"/>
  <c r="F243" i="5"/>
  <c r="G243" i="5" s="1"/>
  <c r="H242" i="5"/>
  <c r="F242" i="5"/>
  <c r="G242" i="5" s="1"/>
  <c r="H241" i="5"/>
  <c r="F241" i="5"/>
  <c r="G241" i="5" s="1"/>
  <c r="H240" i="5"/>
  <c r="F240" i="5"/>
  <c r="G240" i="5" s="1"/>
  <c r="H239" i="5"/>
  <c r="F239" i="5"/>
  <c r="G239" i="5" s="1"/>
  <c r="H238" i="5"/>
  <c r="F238" i="5"/>
  <c r="G238" i="5" s="1"/>
  <c r="H237" i="5"/>
  <c r="F237" i="5"/>
  <c r="G237" i="5" s="1"/>
  <c r="H236" i="5"/>
  <c r="F236" i="5"/>
  <c r="G236" i="5" s="1"/>
  <c r="H235" i="5"/>
  <c r="F235" i="5"/>
  <c r="G235" i="5" s="1"/>
  <c r="H234" i="5"/>
  <c r="F234" i="5"/>
  <c r="G234" i="5" s="1"/>
  <c r="H233" i="5"/>
  <c r="F233" i="5"/>
  <c r="G233" i="5" s="1"/>
  <c r="H232" i="5"/>
  <c r="F232" i="5"/>
  <c r="G232" i="5" s="1"/>
  <c r="H231" i="5"/>
  <c r="F231" i="5"/>
  <c r="G231" i="5" s="1"/>
  <c r="H230" i="5"/>
  <c r="F230" i="5"/>
  <c r="G230" i="5" s="1"/>
  <c r="H229" i="5"/>
  <c r="F229" i="5"/>
  <c r="G229" i="5" s="1"/>
  <c r="H228" i="5"/>
  <c r="F228" i="5"/>
  <c r="G228" i="5" s="1"/>
  <c r="H227" i="5"/>
  <c r="F227" i="5"/>
  <c r="G227" i="5" s="1"/>
  <c r="H226" i="5"/>
  <c r="F226" i="5"/>
  <c r="G226" i="5" s="1"/>
  <c r="H225" i="5"/>
  <c r="F225" i="5"/>
  <c r="G225" i="5" s="1"/>
  <c r="H224" i="5"/>
  <c r="F224" i="5"/>
  <c r="G224" i="5" s="1"/>
  <c r="H223" i="5"/>
  <c r="F223" i="5"/>
  <c r="G223" i="5" s="1"/>
  <c r="H222" i="5"/>
  <c r="F222" i="5"/>
  <c r="G222" i="5" s="1"/>
  <c r="H221" i="5"/>
  <c r="F221" i="5"/>
  <c r="G221" i="5" s="1"/>
  <c r="H220" i="5"/>
  <c r="F220" i="5"/>
  <c r="G220" i="5" s="1"/>
  <c r="H219" i="5"/>
  <c r="F219" i="5"/>
  <c r="G219" i="5" s="1"/>
  <c r="H218" i="5"/>
  <c r="F218" i="5"/>
  <c r="G218" i="5" s="1"/>
  <c r="H217" i="5"/>
  <c r="F217" i="5"/>
  <c r="G217" i="5" s="1"/>
  <c r="H216" i="5"/>
  <c r="F216" i="5"/>
  <c r="G216" i="5" s="1"/>
  <c r="H215" i="5"/>
  <c r="F215" i="5"/>
  <c r="G215" i="5" s="1"/>
  <c r="H214" i="5"/>
  <c r="F214" i="5"/>
  <c r="G214" i="5" s="1"/>
  <c r="H213" i="5"/>
  <c r="F213" i="5"/>
  <c r="G213" i="5" s="1"/>
  <c r="H212" i="5"/>
  <c r="F212" i="5"/>
  <c r="G212" i="5" s="1"/>
  <c r="H211" i="5"/>
  <c r="F211" i="5"/>
  <c r="G211" i="5" s="1"/>
  <c r="H210" i="5"/>
  <c r="F210" i="5"/>
  <c r="G210" i="5" s="1"/>
  <c r="H209" i="5"/>
  <c r="F209" i="5"/>
  <c r="G209" i="5" s="1"/>
  <c r="H208" i="5"/>
  <c r="F208" i="5"/>
  <c r="G208" i="5" s="1"/>
  <c r="H207" i="5"/>
  <c r="F207" i="5"/>
  <c r="G207" i="5" s="1"/>
  <c r="H206" i="5"/>
  <c r="F206" i="5"/>
  <c r="G206" i="5" s="1"/>
  <c r="H205" i="5"/>
  <c r="F205" i="5"/>
  <c r="G205" i="5" s="1"/>
  <c r="H204" i="5"/>
  <c r="F204" i="5"/>
  <c r="G204" i="5" s="1"/>
  <c r="H203" i="5"/>
  <c r="F203" i="5"/>
  <c r="G203" i="5" s="1"/>
  <c r="H202" i="5"/>
  <c r="F202" i="5"/>
  <c r="G202" i="5" s="1"/>
  <c r="H201" i="5"/>
  <c r="F201" i="5"/>
  <c r="G201" i="5" s="1"/>
  <c r="H200" i="5"/>
  <c r="F200" i="5"/>
  <c r="G200" i="5" s="1"/>
  <c r="H199" i="5"/>
  <c r="F199" i="5"/>
  <c r="G199" i="5" s="1"/>
  <c r="H198" i="5"/>
  <c r="F198" i="5"/>
  <c r="G198" i="5" s="1"/>
  <c r="H197" i="5"/>
  <c r="F197" i="5"/>
  <c r="G197" i="5" s="1"/>
  <c r="H196" i="5"/>
  <c r="F196" i="5"/>
  <c r="G196" i="5" s="1"/>
  <c r="H195" i="5"/>
  <c r="F195" i="5"/>
  <c r="G195" i="5" s="1"/>
  <c r="H194" i="5"/>
  <c r="F194" i="5"/>
  <c r="G194" i="5" s="1"/>
  <c r="H193" i="5"/>
  <c r="F193" i="5"/>
  <c r="G193" i="5" s="1"/>
  <c r="H192" i="5"/>
  <c r="F192" i="5"/>
  <c r="G192" i="5" s="1"/>
  <c r="H191" i="5"/>
  <c r="F191" i="5"/>
  <c r="G191" i="5" s="1"/>
  <c r="H190" i="5"/>
  <c r="F190" i="5"/>
  <c r="G190" i="5" s="1"/>
  <c r="H189" i="5"/>
  <c r="F189" i="5"/>
  <c r="G189" i="5" s="1"/>
  <c r="H188" i="5"/>
  <c r="F188" i="5"/>
  <c r="G188" i="5" s="1"/>
  <c r="H187" i="5"/>
  <c r="F187" i="5"/>
  <c r="G187" i="5" s="1"/>
  <c r="H186" i="5"/>
  <c r="F186" i="5"/>
  <c r="G186" i="5" s="1"/>
  <c r="H185" i="5"/>
  <c r="F185" i="5"/>
  <c r="G185" i="5" s="1"/>
  <c r="H184" i="5"/>
  <c r="F184" i="5"/>
  <c r="G184" i="5" s="1"/>
  <c r="H183" i="5"/>
  <c r="F183" i="5"/>
  <c r="G183" i="5" s="1"/>
  <c r="H182" i="5"/>
  <c r="F182" i="5"/>
  <c r="G182" i="5" s="1"/>
  <c r="H181" i="5"/>
  <c r="F181" i="5"/>
  <c r="G181" i="5" s="1"/>
  <c r="H180" i="5"/>
  <c r="F180" i="5"/>
  <c r="G180" i="5" s="1"/>
  <c r="H179" i="5"/>
  <c r="F179" i="5"/>
  <c r="G179" i="5" s="1"/>
  <c r="H178" i="5"/>
  <c r="F178" i="5"/>
  <c r="G178" i="5" s="1"/>
  <c r="H177" i="5"/>
  <c r="F177" i="5"/>
  <c r="G177" i="5" s="1"/>
  <c r="H176" i="5"/>
  <c r="F176" i="5"/>
  <c r="G176" i="5" s="1"/>
  <c r="H175" i="5"/>
  <c r="F175" i="5"/>
  <c r="G175" i="5" s="1"/>
  <c r="H174" i="5"/>
  <c r="F174" i="5"/>
  <c r="G174" i="5" s="1"/>
  <c r="H173" i="5"/>
  <c r="F173" i="5"/>
  <c r="G173" i="5" s="1"/>
  <c r="H172" i="5"/>
  <c r="F172" i="5"/>
  <c r="G172" i="5" s="1"/>
  <c r="H171" i="5"/>
  <c r="F171" i="5"/>
  <c r="G171" i="5" s="1"/>
  <c r="H170" i="5"/>
  <c r="F170" i="5"/>
  <c r="G170" i="5" s="1"/>
  <c r="H169" i="5"/>
  <c r="F169" i="5"/>
  <c r="G169" i="5" s="1"/>
  <c r="H168" i="5"/>
  <c r="F168" i="5"/>
  <c r="G168" i="5" s="1"/>
  <c r="H167" i="5"/>
  <c r="F167" i="5"/>
  <c r="G167" i="5" s="1"/>
  <c r="H166" i="5"/>
  <c r="F166" i="5"/>
  <c r="G166" i="5" s="1"/>
  <c r="H165" i="5"/>
  <c r="F165" i="5"/>
  <c r="G165" i="5" s="1"/>
  <c r="H164" i="5"/>
  <c r="F164" i="5"/>
  <c r="G164" i="5" s="1"/>
  <c r="H163" i="5"/>
  <c r="F163" i="5"/>
  <c r="G163" i="5" s="1"/>
  <c r="H162" i="5"/>
  <c r="F162" i="5"/>
  <c r="G162" i="5" s="1"/>
  <c r="H161" i="5"/>
  <c r="F161" i="5"/>
  <c r="G161" i="5" s="1"/>
  <c r="H160" i="5"/>
  <c r="F160" i="5"/>
  <c r="G160" i="5" s="1"/>
  <c r="H159" i="5"/>
  <c r="F159" i="5"/>
  <c r="G159" i="5" s="1"/>
  <c r="H158" i="5"/>
  <c r="F158" i="5"/>
  <c r="G158" i="5" s="1"/>
  <c r="H157" i="5"/>
  <c r="F157" i="5"/>
  <c r="G157" i="5" s="1"/>
  <c r="H156" i="5"/>
  <c r="F156" i="5"/>
  <c r="G156" i="5" s="1"/>
  <c r="H155" i="5"/>
  <c r="F155" i="5"/>
  <c r="G155" i="5" s="1"/>
  <c r="H154" i="5"/>
  <c r="F154" i="5"/>
  <c r="G154" i="5" s="1"/>
  <c r="H153" i="5"/>
  <c r="F153" i="5"/>
  <c r="G153" i="5" s="1"/>
  <c r="H152" i="5"/>
  <c r="F152" i="5"/>
  <c r="G152" i="5" s="1"/>
  <c r="H151" i="5"/>
  <c r="F151" i="5"/>
  <c r="G151" i="5" s="1"/>
  <c r="H150" i="5"/>
  <c r="F150" i="5"/>
  <c r="G150" i="5" s="1"/>
  <c r="H149" i="5"/>
  <c r="F149" i="5"/>
  <c r="G149" i="5" s="1"/>
  <c r="H148" i="5"/>
  <c r="F148" i="5"/>
  <c r="G148" i="5" s="1"/>
  <c r="H147" i="5"/>
  <c r="F147" i="5"/>
  <c r="G147" i="5" s="1"/>
  <c r="H146" i="5"/>
  <c r="F146" i="5"/>
  <c r="G146" i="5" s="1"/>
  <c r="H145" i="5"/>
  <c r="F145" i="5"/>
  <c r="G145" i="5" s="1"/>
  <c r="H144" i="5"/>
  <c r="F144" i="5"/>
  <c r="G144" i="5" s="1"/>
  <c r="H143" i="5"/>
  <c r="F143" i="5"/>
  <c r="G143" i="5" s="1"/>
  <c r="H142" i="5"/>
  <c r="F142" i="5"/>
  <c r="G142" i="5" s="1"/>
  <c r="H141" i="5"/>
  <c r="F141" i="5"/>
  <c r="G141" i="5" s="1"/>
  <c r="H140" i="5"/>
  <c r="F140" i="5"/>
  <c r="G140" i="5" s="1"/>
  <c r="H139" i="5"/>
  <c r="F139" i="5"/>
  <c r="G139" i="5" s="1"/>
  <c r="H138" i="5"/>
  <c r="F138" i="5"/>
  <c r="G138" i="5" s="1"/>
  <c r="H137" i="5"/>
  <c r="F137" i="5"/>
  <c r="G137" i="5" s="1"/>
  <c r="H136" i="5"/>
  <c r="F136" i="5"/>
  <c r="G136" i="5" s="1"/>
  <c r="H135" i="5"/>
  <c r="F135" i="5"/>
  <c r="G135" i="5" s="1"/>
  <c r="H134" i="5"/>
  <c r="F134" i="5"/>
  <c r="G134" i="5" s="1"/>
  <c r="H133" i="5"/>
  <c r="F133" i="5"/>
  <c r="G133" i="5" s="1"/>
  <c r="H132" i="5"/>
  <c r="F132" i="5"/>
  <c r="G132" i="5" s="1"/>
  <c r="H131" i="5"/>
  <c r="F131" i="5"/>
  <c r="G131" i="5" s="1"/>
  <c r="H130" i="5"/>
  <c r="F130" i="5"/>
  <c r="G130" i="5" s="1"/>
  <c r="H129" i="5"/>
  <c r="F129" i="5"/>
  <c r="G129" i="5" s="1"/>
  <c r="H128" i="5"/>
  <c r="F128" i="5"/>
  <c r="G128" i="5" s="1"/>
  <c r="H127" i="5"/>
  <c r="F127" i="5"/>
  <c r="G127" i="5" s="1"/>
  <c r="H126" i="5"/>
  <c r="F126" i="5"/>
  <c r="G126" i="5" s="1"/>
  <c r="H125" i="5"/>
  <c r="F125" i="5"/>
  <c r="G125" i="5" s="1"/>
  <c r="H124" i="5"/>
  <c r="F124" i="5"/>
  <c r="G124" i="5" s="1"/>
  <c r="H123" i="5"/>
  <c r="F123" i="5"/>
  <c r="G123" i="5" s="1"/>
  <c r="H122" i="5"/>
  <c r="F122" i="5"/>
  <c r="G122" i="5" s="1"/>
  <c r="H121" i="5"/>
  <c r="F121" i="5"/>
  <c r="G121" i="5" s="1"/>
  <c r="H120" i="5"/>
  <c r="F120" i="5"/>
  <c r="G120" i="5" s="1"/>
  <c r="H119" i="5"/>
  <c r="F119" i="5"/>
  <c r="G119" i="5" s="1"/>
  <c r="H118" i="5"/>
  <c r="F118" i="5"/>
  <c r="G118" i="5" s="1"/>
  <c r="H117" i="5"/>
  <c r="F117" i="5"/>
  <c r="G117" i="5" s="1"/>
  <c r="H116" i="5"/>
  <c r="F116" i="5"/>
  <c r="G116" i="5" s="1"/>
  <c r="H115" i="5"/>
  <c r="F115" i="5"/>
  <c r="G115" i="5" s="1"/>
  <c r="H114" i="5"/>
  <c r="F114" i="5"/>
  <c r="G114" i="5" s="1"/>
  <c r="H113" i="5"/>
  <c r="F113" i="5"/>
  <c r="G113" i="5" s="1"/>
  <c r="H112" i="5"/>
  <c r="F112" i="5"/>
  <c r="G112" i="5" s="1"/>
  <c r="H111" i="5"/>
  <c r="F111" i="5"/>
  <c r="G111" i="5" s="1"/>
  <c r="H110" i="5"/>
  <c r="F110" i="5"/>
  <c r="G110" i="5" s="1"/>
  <c r="H109" i="5"/>
  <c r="F109" i="5"/>
  <c r="G109" i="5" s="1"/>
  <c r="H108" i="5"/>
  <c r="F108" i="5"/>
  <c r="G108" i="5" s="1"/>
  <c r="H107" i="5"/>
  <c r="F107" i="5"/>
  <c r="G107" i="5" s="1"/>
  <c r="H106" i="5"/>
  <c r="F106" i="5"/>
  <c r="G106" i="5" s="1"/>
  <c r="H105" i="5"/>
  <c r="F105" i="5"/>
  <c r="G105" i="5" s="1"/>
  <c r="H104" i="5"/>
  <c r="F104" i="5"/>
  <c r="G104" i="5" s="1"/>
  <c r="H103" i="5"/>
  <c r="F103" i="5"/>
  <c r="G103" i="5" s="1"/>
  <c r="H102" i="5"/>
  <c r="F102" i="5"/>
  <c r="G102" i="5" s="1"/>
  <c r="H101" i="5"/>
  <c r="F101" i="5"/>
  <c r="G101" i="5" s="1"/>
  <c r="H100" i="5"/>
  <c r="F100" i="5"/>
  <c r="G100" i="5" s="1"/>
  <c r="H99" i="5"/>
  <c r="F99" i="5"/>
  <c r="G99" i="5" s="1"/>
  <c r="H98" i="5"/>
  <c r="F98" i="5"/>
  <c r="G98" i="5" s="1"/>
  <c r="H97" i="5"/>
  <c r="F97" i="5"/>
  <c r="G97" i="5" s="1"/>
  <c r="H96" i="5"/>
  <c r="F96" i="5"/>
  <c r="G96" i="5" s="1"/>
  <c r="H95" i="5"/>
  <c r="F95" i="5"/>
  <c r="G95" i="5" s="1"/>
  <c r="H94" i="5"/>
  <c r="F94" i="5"/>
  <c r="G94" i="5" s="1"/>
  <c r="H93" i="5"/>
  <c r="F93" i="5"/>
  <c r="G93" i="5" s="1"/>
  <c r="H92" i="5"/>
  <c r="F92" i="5"/>
  <c r="G92" i="5" s="1"/>
  <c r="H91" i="5"/>
  <c r="F91" i="5"/>
  <c r="G91" i="5" s="1"/>
  <c r="H90" i="5"/>
  <c r="F90" i="5"/>
  <c r="G90" i="5" s="1"/>
  <c r="H89" i="5"/>
  <c r="F89" i="5"/>
  <c r="G89" i="5" s="1"/>
  <c r="H88" i="5"/>
  <c r="F88" i="5"/>
  <c r="G88" i="5" s="1"/>
  <c r="H87" i="5"/>
  <c r="F87" i="5"/>
  <c r="G87" i="5" s="1"/>
  <c r="H86" i="5"/>
  <c r="F86" i="5"/>
  <c r="G86" i="5" s="1"/>
  <c r="H85" i="5"/>
  <c r="F85" i="5"/>
  <c r="G85" i="5" s="1"/>
  <c r="H84" i="5"/>
  <c r="F84" i="5"/>
  <c r="G84" i="5" s="1"/>
  <c r="H83" i="5"/>
  <c r="F83" i="5"/>
  <c r="G83" i="5" s="1"/>
  <c r="H82" i="5"/>
  <c r="F82" i="5"/>
  <c r="G82" i="5" s="1"/>
  <c r="H81" i="5"/>
  <c r="F81" i="5"/>
  <c r="G81" i="5" s="1"/>
  <c r="H80" i="5"/>
  <c r="F80" i="5"/>
  <c r="G80" i="5" s="1"/>
  <c r="H79" i="5"/>
  <c r="F79" i="5"/>
  <c r="G79" i="5" s="1"/>
  <c r="H78" i="5"/>
  <c r="F78" i="5"/>
  <c r="G78" i="5" s="1"/>
  <c r="H77" i="5"/>
  <c r="F77" i="5"/>
  <c r="G77" i="5" s="1"/>
  <c r="H76" i="5"/>
  <c r="F76" i="5"/>
  <c r="G76" i="5" s="1"/>
  <c r="H75" i="5"/>
  <c r="F75" i="5"/>
  <c r="G75" i="5" s="1"/>
  <c r="H74" i="5"/>
  <c r="F74" i="5"/>
  <c r="G74" i="5" s="1"/>
  <c r="H73" i="5"/>
  <c r="F73" i="5"/>
  <c r="G73" i="5" s="1"/>
  <c r="H72" i="5"/>
  <c r="F72" i="5"/>
  <c r="G72" i="5" s="1"/>
  <c r="H71" i="5"/>
  <c r="F71" i="5"/>
  <c r="G71" i="5" s="1"/>
  <c r="H70" i="5"/>
  <c r="F70" i="5"/>
  <c r="G70" i="5" s="1"/>
  <c r="H69" i="5"/>
  <c r="F69" i="5"/>
  <c r="G69" i="5" s="1"/>
  <c r="H68" i="5"/>
  <c r="F68" i="5"/>
  <c r="G68" i="5" s="1"/>
  <c r="H67" i="5"/>
  <c r="F67" i="5"/>
  <c r="G67" i="5" s="1"/>
  <c r="H66" i="5"/>
  <c r="F66" i="5"/>
  <c r="G66" i="5" s="1"/>
  <c r="H65" i="5"/>
  <c r="F65" i="5"/>
  <c r="G65" i="5" s="1"/>
  <c r="H64" i="5"/>
  <c r="F64" i="5"/>
  <c r="G64" i="5" s="1"/>
  <c r="H63" i="5"/>
  <c r="F63" i="5"/>
  <c r="G63" i="5" s="1"/>
  <c r="H62" i="5"/>
  <c r="F62" i="5"/>
  <c r="G62" i="5" s="1"/>
  <c r="H61" i="5"/>
  <c r="F61" i="5"/>
  <c r="G61" i="5" s="1"/>
  <c r="H60" i="5"/>
  <c r="F60" i="5"/>
  <c r="G60" i="5" s="1"/>
  <c r="H59" i="5"/>
  <c r="F59" i="5"/>
  <c r="G59" i="5" s="1"/>
  <c r="H58" i="5"/>
  <c r="F58" i="5"/>
  <c r="G58" i="5" s="1"/>
  <c r="H57" i="5"/>
  <c r="F57" i="5"/>
  <c r="G57" i="5" s="1"/>
  <c r="H56" i="5"/>
  <c r="F56" i="5"/>
  <c r="G56" i="5" s="1"/>
  <c r="H55" i="5"/>
  <c r="F55" i="5"/>
  <c r="G55" i="5" s="1"/>
  <c r="H54" i="5"/>
  <c r="F54" i="5"/>
  <c r="G54" i="5" s="1"/>
  <c r="H53" i="5"/>
  <c r="F53" i="5"/>
  <c r="G53" i="5" s="1"/>
  <c r="H52" i="5"/>
  <c r="F52" i="5"/>
  <c r="G52" i="5" s="1"/>
  <c r="H51" i="5"/>
  <c r="F51" i="5"/>
  <c r="G51" i="5" s="1"/>
  <c r="H50" i="5"/>
  <c r="F50" i="5"/>
  <c r="G50" i="5" s="1"/>
  <c r="H49" i="5"/>
  <c r="F49" i="5"/>
  <c r="G49" i="5" s="1"/>
  <c r="H48" i="5"/>
  <c r="F48" i="5"/>
  <c r="G48" i="5" s="1"/>
  <c r="H47" i="5"/>
  <c r="F47" i="5"/>
  <c r="G47" i="5" s="1"/>
  <c r="H46" i="5"/>
  <c r="F46" i="5"/>
  <c r="G46" i="5" s="1"/>
  <c r="H45" i="5"/>
  <c r="F45" i="5"/>
  <c r="G45" i="5" s="1"/>
  <c r="H44" i="5"/>
  <c r="F44" i="5"/>
  <c r="G44" i="5" s="1"/>
  <c r="H43" i="5"/>
  <c r="F43" i="5"/>
  <c r="G43" i="5" s="1"/>
  <c r="H42" i="5"/>
  <c r="F42" i="5"/>
  <c r="G42" i="5" s="1"/>
  <c r="H41" i="5"/>
  <c r="F41" i="5"/>
  <c r="G41" i="5" s="1"/>
  <c r="H40" i="5"/>
  <c r="F40" i="5"/>
  <c r="G40" i="5" s="1"/>
  <c r="H39" i="5"/>
  <c r="F39" i="5"/>
  <c r="G39" i="5" s="1"/>
  <c r="H38" i="5"/>
  <c r="F38" i="5"/>
  <c r="G38" i="5" s="1"/>
  <c r="H37" i="5"/>
  <c r="F37" i="5"/>
  <c r="G37" i="5" s="1"/>
  <c r="H36" i="5"/>
  <c r="F36" i="5"/>
  <c r="G36" i="5" s="1"/>
  <c r="H35" i="5"/>
  <c r="F35" i="5"/>
  <c r="G35" i="5" s="1"/>
  <c r="H34" i="5"/>
  <c r="F34" i="5"/>
  <c r="G34" i="5" s="1"/>
  <c r="H33" i="5"/>
  <c r="F33" i="5"/>
  <c r="G33" i="5" s="1"/>
  <c r="H32" i="5"/>
  <c r="F32" i="5"/>
  <c r="G32" i="5" s="1"/>
  <c r="H31" i="5"/>
  <c r="F31" i="5"/>
  <c r="G31" i="5" s="1"/>
  <c r="H30" i="5"/>
  <c r="F30" i="5"/>
  <c r="G30" i="5" s="1"/>
  <c r="H29" i="5"/>
  <c r="F29" i="5"/>
  <c r="G29" i="5" s="1"/>
  <c r="H28" i="5"/>
  <c r="F28" i="5"/>
  <c r="G28" i="5" s="1"/>
  <c r="H27" i="5"/>
  <c r="F27" i="5"/>
  <c r="G27" i="5" s="1"/>
  <c r="H26" i="5"/>
  <c r="F26" i="5"/>
  <c r="G26" i="5" s="1"/>
  <c r="H25" i="5"/>
  <c r="F25" i="5"/>
  <c r="G25" i="5" s="1"/>
  <c r="H24" i="5"/>
  <c r="F24" i="5"/>
  <c r="G24" i="5" s="1"/>
  <c r="H23" i="5"/>
  <c r="F23" i="5"/>
  <c r="G23" i="5" s="1"/>
  <c r="H22" i="5"/>
  <c r="F22" i="5"/>
  <c r="G22" i="5" s="1"/>
  <c r="H21" i="5"/>
  <c r="F21" i="5"/>
  <c r="G21" i="5" s="1"/>
  <c r="H20" i="5"/>
  <c r="F20" i="5"/>
  <c r="G20" i="5" s="1"/>
  <c r="H19" i="5"/>
  <c r="F19" i="5"/>
  <c r="G19" i="5" s="1"/>
  <c r="H18" i="5"/>
  <c r="F18" i="5"/>
  <c r="G18" i="5" s="1"/>
  <c r="H17" i="5"/>
  <c r="F17" i="5"/>
  <c r="G17" i="5" s="1"/>
  <c r="H16" i="5"/>
  <c r="F16" i="5"/>
  <c r="G16" i="5" s="1"/>
  <c r="H15" i="5"/>
  <c r="F15" i="5"/>
  <c r="G15" i="5" s="1"/>
  <c r="H14" i="5"/>
  <c r="F14" i="5"/>
  <c r="G14" i="5" s="1"/>
  <c r="H13" i="5"/>
  <c r="F13" i="5"/>
  <c r="G13" i="5" s="1"/>
  <c r="H12" i="5"/>
  <c r="F12" i="5"/>
  <c r="G12" i="5" s="1"/>
  <c r="H11" i="5"/>
  <c r="F11" i="5"/>
  <c r="G11" i="5" s="1"/>
  <c r="H10" i="5"/>
  <c r="F10" i="5"/>
  <c r="G10" i="5" s="1"/>
  <c r="H9" i="5"/>
  <c r="F9" i="5"/>
  <c r="G9" i="5" s="1"/>
  <c r="H8" i="5"/>
  <c r="F8" i="5"/>
  <c r="G8" i="5" s="1"/>
  <c r="H7" i="5"/>
  <c r="F7" i="5"/>
  <c r="G7" i="5" s="1"/>
  <c r="H6" i="5"/>
  <c r="F6" i="5"/>
  <c r="G6" i="5" s="1"/>
  <c r="H5" i="5"/>
  <c r="F5" i="5"/>
  <c r="G5" i="5" s="1"/>
  <c r="H4" i="5"/>
  <c r="F4" i="5"/>
  <c r="G4" i="5" s="1"/>
  <c r="H3" i="5"/>
  <c r="F3" i="5"/>
  <c r="G3" i="5" s="1"/>
  <c r="H2" i="5"/>
  <c r="F2" i="5"/>
  <c r="G2" i="5" s="1"/>
  <c r="P1056" i="4"/>
  <c r="I1056" i="4"/>
  <c r="J1056" i="4" s="1"/>
  <c r="L1056" i="4" s="1"/>
  <c r="O1056" i="4" s="1"/>
  <c r="G1056" i="4"/>
  <c r="H1056" i="4" s="1"/>
  <c r="P1055" i="4"/>
  <c r="I1055" i="4"/>
  <c r="J1055" i="4" s="1"/>
  <c r="L1055" i="4" s="1"/>
  <c r="O1055" i="4" s="1"/>
  <c r="G1055" i="4"/>
  <c r="H1055" i="4" s="1"/>
  <c r="P1054" i="4"/>
  <c r="I1054" i="4"/>
  <c r="J1054" i="4" s="1"/>
  <c r="L1054" i="4" s="1"/>
  <c r="O1054" i="4" s="1"/>
  <c r="G1054" i="4"/>
  <c r="H1054" i="4" s="1"/>
  <c r="P1053" i="4"/>
  <c r="I1053" i="4"/>
  <c r="J1053" i="4" s="1"/>
  <c r="L1053" i="4" s="1"/>
  <c r="O1053" i="4" s="1"/>
  <c r="G1053" i="4"/>
  <c r="H1053" i="4" s="1"/>
  <c r="P1052" i="4"/>
  <c r="I1052" i="4"/>
  <c r="J1052" i="4" s="1"/>
  <c r="L1052" i="4" s="1"/>
  <c r="O1052" i="4" s="1"/>
  <c r="G1052" i="4"/>
  <c r="H1052" i="4" s="1"/>
  <c r="P1051" i="4"/>
  <c r="I1051" i="4"/>
  <c r="J1051" i="4" s="1"/>
  <c r="L1051" i="4" s="1"/>
  <c r="O1051" i="4" s="1"/>
  <c r="G1051" i="4"/>
  <c r="H1051" i="4" s="1"/>
  <c r="P1050" i="4"/>
  <c r="I1050" i="4"/>
  <c r="J1050" i="4" s="1"/>
  <c r="L1050" i="4" s="1"/>
  <c r="O1050" i="4" s="1"/>
  <c r="G1050" i="4"/>
  <c r="H1050" i="4" s="1"/>
  <c r="P1049" i="4"/>
  <c r="I1049" i="4"/>
  <c r="J1049" i="4" s="1"/>
  <c r="L1049" i="4" s="1"/>
  <c r="O1049" i="4" s="1"/>
  <c r="G1049" i="4"/>
  <c r="H1049" i="4" s="1"/>
  <c r="P1048" i="4"/>
  <c r="I1048" i="4"/>
  <c r="J1048" i="4" s="1"/>
  <c r="L1048" i="4" s="1"/>
  <c r="O1048" i="4" s="1"/>
  <c r="G1048" i="4"/>
  <c r="H1048" i="4" s="1"/>
  <c r="P1047" i="4"/>
  <c r="I1047" i="4"/>
  <c r="J1047" i="4" s="1"/>
  <c r="L1047" i="4" s="1"/>
  <c r="O1047" i="4" s="1"/>
  <c r="G1047" i="4"/>
  <c r="H1047" i="4" s="1"/>
  <c r="P1046" i="4"/>
  <c r="I1046" i="4"/>
  <c r="J1046" i="4" s="1"/>
  <c r="L1046" i="4" s="1"/>
  <c r="O1046" i="4" s="1"/>
  <c r="G1046" i="4"/>
  <c r="H1046" i="4" s="1"/>
  <c r="P1045" i="4"/>
  <c r="I1045" i="4"/>
  <c r="J1045" i="4" s="1"/>
  <c r="L1045" i="4" s="1"/>
  <c r="O1045" i="4" s="1"/>
  <c r="G1045" i="4"/>
  <c r="H1045" i="4" s="1"/>
  <c r="P1044" i="4"/>
  <c r="I1044" i="4"/>
  <c r="J1044" i="4" s="1"/>
  <c r="L1044" i="4" s="1"/>
  <c r="O1044" i="4" s="1"/>
  <c r="G1044" i="4"/>
  <c r="H1044" i="4" s="1"/>
  <c r="P1043" i="4"/>
  <c r="I1043" i="4"/>
  <c r="J1043" i="4" s="1"/>
  <c r="L1043" i="4" s="1"/>
  <c r="O1043" i="4" s="1"/>
  <c r="G1043" i="4"/>
  <c r="H1043" i="4" s="1"/>
  <c r="P1042" i="4"/>
  <c r="I1042" i="4"/>
  <c r="J1042" i="4" s="1"/>
  <c r="L1042" i="4" s="1"/>
  <c r="O1042" i="4" s="1"/>
  <c r="G1042" i="4"/>
  <c r="H1042" i="4" s="1"/>
  <c r="P1041" i="4"/>
  <c r="I1041" i="4"/>
  <c r="J1041" i="4" s="1"/>
  <c r="L1041" i="4" s="1"/>
  <c r="O1041" i="4" s="1"/>
  <c r="G1041" i="4"/>
  <c r="H1041" i="4" s="1"/>
  <c r="P1040" i="4"/>
  <c r="I1040" i="4"/>
  <c r="J1040" i="4" s="1"/>
  <c r="L1040" i="4" s="1"/>
  <c r="O1040" i="4" s="1"/>
  <c r="G1040" i="4"/>
  <c r="H1040" i="4" s="1"/>
  <c r="P1039" i="4"/>
  <c r="I1039" i="4"/>
  <c r="J1039" i="4" s="1"/>
  <c r="L1039" i="4" s="1"/>
  <c r="O1039" i="4" s="1"/>
  <c r="G1039" i="4"/>
  <c r="H1039" i="4" s="1"/>
  <c r="P1038" i="4"/>
  <c r="I1038" i="4"/>
  <c r="J1038" i="4" s="1"/>
  <c r="L1038" i="4" s="1"/>
  <c r="O1038" i="4" s="1"/>
  <c r="G1038" i="4"/>
  <c r="H1038" i="4" s="1"/>
  <c r="P1037" i="4"/>
  <c r="I1037" i="4"/>
  <c r="J1037" i="4" s="1"/>
  <c r="L1037" i="4" s="1"/>
  <c r="O1037" i="4" s="1"/>
  <c r="G1037" i="4"/>
  <c r="H1037" i="4" s="1"/>
  <c r="P1036" i="4"/>
  <c r="I1036" i="4"/>
  <c r="J1036" i="4" s="1"/>
  <c r="L1036" i="4" s="1"/>
  <c r="O1036" i="4" s="1"/>
  <c r="G1036" i="4"/>
  <c r="H1036" i="4" s="1"/>
  <c r="P1035" i="4"/>
  <c r="I1035" i="4"/>
  <c r="J1035" i="4" s="1"/>
  <c r="L1035" i="4" s="1"/>
  <c r="O1035" i="4" s="1"/>
  <c r="G1035" i="4"/>
  <c r="H1035" i="4" s="1"/>
  <c r="P1034" i="4"/>
  <c r="I1034" i="4"/>
  <c r="J1034" i="4" s="1"/>
  <c r="L1034" i="4" s="1"/>
  <c r="O1034" i="4" s="1"/>
  <c r="G1034" i="4"/>
  <c r="H1034" i="4" s="1"/>
  <c r="P1033" i="4"/>
  <c r="I1033" i="4"/>
  <c r="J1033" i="4" s="1"/>
  <c r="L1033" i="4" s="1"/>
  <c r="O1033" i="4" s="1"/>
  <c r="G1033" i="4"/>
  <c r="H1033" i="4" s="1"/>
  <c r="P1032" i="4"/>
  <c r="I1032" i="4"/>
  <c r="J1032" i="4" s="1"/>
  <c r="L1032" i="4" s="1"/>
  <c r="O1032" i="4" s="1"/>
  <c r="G1032" i="4"/>
  <c r="H1032" i="4" s="1"/>
  <c r="P1031" i="4"/>
  <c r="I1031" i="4"/>
  <c r="J1031" i="4" s="1"/>
  <c r="L1031" i="4" s="1"/>
  <c r="O1031" i="4" s="1"/>
  <c r="G1031" i="4"/>
  <c r="H1031" i="4" s="1"/>
  <c r="P1030" i="4"/>
  <c r="I1030" i="4"/>
  <c r="J1030" i="4" s="1"/>
  <c r="L1030" i="4" s="1"/>
  <c r="O1030" i="4" s="1"/>
  <c r="G1030" i="4"/>
  <c r="H1030" i="4" s="1"/>
  <c r="P1029" i="4"/>
  <c r="I1029" i="4"/>
  <c r="J1029" i="4" s="1"/>
  <c r="L1029" i="4" s="1"/>
  <c r="O1029" i="4" s="1"/>
  <c r="G1029" i="4"/>
  <c r="H1029" i="4" s="1"/>
  <c r="P1028" i="4"/>
  <c r="I1028" i="4"/>
  <c r="J1028" i="4" s="1"/>
  <c r="L1028" i="4" s="1"/>
  <c r="O1028" i="4" s="1"/>
  <c r="G1028" i="4"/>
  <c r="H1028" i="4" s="1"/>
  <c r="P1027" i="4"/>
  <c r="I1027" i="4"/>
  <c r="J1027" i="4" s="1"/>
  <c r="L1027" i="4" s="1"/>
  <c r="O1027" i="4" s="1"/>
  <c r="G1027" i="4"/>
  <c r="H1027" i="4" s="1"/>
  <c r="P1026" i="4"/>
  <c r="I1026" i="4"/>
  <c r="J1026" i="4" s="1"/>
  <c r="L1026" i="4" s="1"/>
  <c r="O1026" i="4" s="1"/>
  <c r="G1026" i="4"/>
  <c r="H1026" i="4" s="1"/>
  <c r="P1025" i="4"/>
  <c r="I1025" i="4"/>
  <c r="J1025" i="4" s="1"/>
  <c r="L1025" i="4" s="1"/>
  <c r="O1025" i="4" s="1"/>
  <c r="G1025" i="4"/>
  <c r="H1025" i="4" s="1"/>
  <c r="P1024" i="4"/>
  <c r="I1024" i="4"/>
  <c r="J1024" i="4" s="1"/>
  <c r="L1024" i="4" s="1"/>
  <c r="O1024" i="4" s="1"/>
  <c r="G1024" i="4"/>
  <c r="H1024" i="4" s="1"/>
  <c r="P1023" i="4"/>
  <c r="I1023" i="4"/>
  <c r="J1023" i="4" s="1"/>
  <c r="L1023" i="4" s="1"/>
  <c r="O1023" i="4" s="1"/>
  <c r="G1023" i="4"/>
  <c r="H1023" i="4" s="1"/>
  <c r="P1022" i="4"/>
  <c r="I1022" i="4"/>
  <c r="J1022" i="4" s="1"/>
  <c r="L1022" i="4" s="1"/>
  <c r="O1022" i="4" s="1"/>
  <c r="G1022" i="4"/>
  <c r="H1022" i="4" s="1"/>
  <c r="P1021" i="4"/>
  <c r="I1021" i="4"/>
  <c r="J1021" i="4" s="1"/>
  <c r="L1021" i="4" s="1"/>
  <c r="O1021" i="4" s="1"/>
  <c r="G1021" i="4"/>
  <c r="H1021" i="4" s="1"/>
  <c r="P1020" i="4"/>
  <c r="I1020" i="4"/>
  <c r="J1020" i="4" s="1"/>
  <c r="L1020" i="4" s="1"/>
  <c r="O1020" i="4" s="1"/>
  <c r="G1020" i="4"/>
  <c r="H1020" i="4" s="1"/>
  <c r="P1019" i="4"/>
  <c r="I1019" i="4"/>
  <c r="J1019" i="4" s="1"/>
  <c r="L1019" i="4" s="1"/>
  <c r="O1019" i="4" s="1"/>
  <c r="G1019" i="4"/>
  <c r="H1019" i="4" s="1"/>
  <c r="P1018" i="4"/>
  <c r="I1018" i="4"/>
  <c r="J1018" i="4" s="1"/>
  <c r="L1018" i="4" s="1"/>
  <c r="O1018" i="4" s="1"/>
  <c r="G1018" i="4"/>
  <c r="H1018" i="4" s="1"/>
  <c r="P1017" i="4"/>
  <c r="I1017" i="4"/>
  <c r="J1017" i="4" s="1"/>
  <c r="L1017" i="4" s="1"/>
  <c r="O1017" i="4" s="1"/>
  <c r="G1017" i="4"/>
  <c r="H1017" i="4" s="1"/>
  <c r="P1016" i="4"/>
  <c r="I1016" i="4"/>
  <c r="J1016" i="4" s="1"/>
  <c r="L1016" i="4" s="1"/>
  <c r="O1016" i="4" s="1"/>
  <c r="G1016" i="4"/>
  <c r="H1016" i="4" s="1"/>
  <c r="P1015" i="4"/>
  <c r="I1015" i="4"/>
  <c r="J1015" i="4" s="1"/>
  <c r="L1015" i="4" s="1"/>
  <c r="O1015" i="4" s="1"/>
  <c r="G1015" i="4"/>
  <c r="H1015" i="4" s="1"/>
  <c r="P1014" i="4"/>
  <c r="I1014" i="4"/>
  <c r="J1014" i="4" s="1"/>
  <c r="L1014" i="4" s="1"/>
  <c r="O1014" i="4" s="1"/>
  <c r="G1014" i="4"/>
  <c r="H1014" i="4" s="1"/>
  <c r="P1013" i="4"/>
  <c r="I1013" i="4"/>
  <c r="J1013" i="4" s="1"/>
  <c r="L1013" i="4" s="1"/>
  <c r="O1013" i="4" s="1"/>
  <c r="G1013" i="4"/>
  <c r="H1013" i="4" s="1"/>
  <c r="P1012" i="4"/>
  <c r="I1012" i="4"/>
  <c r="J1012" i="4" s="1"/>
  <c r="L1012" i="4" s="1"/>
  <c r="O1012" i="4" s="1"/>
  <c r="G1012" i="4"/>
  <c r="H1012" i="4" s="1"/>
  <c r="P1011" i="4"/>
  <c r="I1011" i="4"/>
  <c r="J1011" i="4" s="1"/>
  <c r="L1011" i="4" s="1"/>
  <c r="O1011" i="4" s="1"/>
  <c r="G1011" i="4"/>
  <c r="H1011" i="4" s="1"/>
  <c r="P1010" i="4"/>
  <c r="I1010" i="4"/>
  <c r="J1010" i="4" s="1"/>
  <c r="L1010" i="4" s="1"/>
  <c r="O1010" i="4" s="1"/>
  <c r="G1010" i="4"/>
  <c r="H1010" i="4" s="1"/>
  <c r="P1009" i="4"/>
  <c r="I1009" i="4"/>
  <c r="J1009" i="4" s="1"/>
  <c r="L1009" i="4" s="1"/>
  <c r="O1009" i="4" s="1"/>
  <c r="G1009" i="4"/>
  <c r="H1009" i="4" s="1"/>
  <c r="P1008" i="4"/>
  <c r="I1008" i="4"/>
  <c r="J1008" i="4" s="1"/>
  <c r="L1008" i="4" s="1"/>
  <c r="O1008" i="4" s="1"/>
  <c r="G1008" i="4"/>
  <c r="H1008" i="4" s="1"/>
  <c r="P1007" i="4"/>
  <c r="I1007" i="4"/>
  <c r="J1007" i="4" s="1"/>
  <c r="L1007" i="4" s="1"/>
  <c r="O1007" i="4" s="1"/>
  <c r="G1007" i="4"/>
  <c r="H1007" i="4" s="1"/>
  <c r="P1006" i="4"/>
  <c r="I1006" i="4"/>
  <c r="J1006" i="4" s="1"/>
  <c r="L1006" i="4" s="1"/>
  <c r="O1006" i="4" s="1"/>
  <c r="G1006" i="4"/>
  <c r="H1006" i="4" s="1"/>
  <c r="P1005" i="4"/>
  <c r="I1005" i="4"/>
  <c r="J1005" i="4" s="1"/>
  <c r="L1005" i="4" s="1"/>
  <c r="O1005" i="4" s="1"/>
  <c r="G1005" i="4"/>
  <c r="H1005" i="4" s="1"/>
  <c r="P1004" i="4"/>
  <c r="I1004" i="4"/>
  <c r="J1004" i="4" s="1"/>
  <c r="L1004" i="4" s="1"/>
  <c r="O1004" i="4" s="1"/>
  <c r="G1004" i="4"/>
  <c r="H1004" i="4" s="1"/>
  <c r="P1003" i="4"/>
  <c r="I1003" i="4"/>
  <c r="J1003" i="4" s="1"/>
  <c r="L1003" i="4" s="1"/>
  <c r="O1003" i="4" s="1"/>
  <c r="G1003" i="4"/>
  <c r="H1003" i="4" s="1"/>
  <c r="P1002" i="4"/>
  <c r="I1002" i="4"/>
  <c r="J1002" i="4" s="1"/>
  <c r="L1002" i="4" s="1"/>
  <c r="O1002" i="4" s="1"/>
  <c r="G1002" i="4"/>
  <c r="H1002" i="4" s="1"/>
  <c r="P1001" i="4"/>
  <c r="I1001" i="4"/>
  <c r="J1001" i="4" s="1"/>
  <c r="L1001" i="4" s="1"/>
  <c r="O1001" i="4" s="1"/>
  <c r="G1001" i="4"/>
  <c r="H1001" i="4" s="1"/>
  <c r="P1000" i="4"/>
  <c r="I1000" i="4"/>
  <c r="J1000" i="4" s="1"/>
  <c r="L1000" i="4" s="1"/>
  <c r="O1000" i="4" s="1"/>
  <c r="G1000" i="4"/>
  <c r="H1000" i="4" s="1"/>
  <c r="P999" i="4"/>
  <c r="I999" i="4"/>
  <c r="J999" i="4" s="1"/>
  <c r="L999" i="4" s="1"/>
  <c r="O999" i="4" s="1"/>
  <c r="G999" i="4"/>
  <c r="H999" i="4" s="1"/>
  <c r="P998" i="4"/>
  <c r="I998" i="4"/>
  <c r="J998" i="4" s="1"/>
  <c r="L998" i="4" s="1"/>
  <c r="O998" i="4" s="1"/>
  <c r="G998" i="4"/>
  <c r="H998" i="4" s="1"/>
  <c r="P997" i="4"/>
  <c r="I997" i="4"/>
  <c r="J997" i="4" s="1"/>
  <c r="L997" i="4" s="1"/>
  <c r="O997" i="4" s="1"/>
  <c r="G997" i="4"/>
  <c r="H997" i="4" s="1"/>
  <c r="P996" i="4"/>
  <c r="I996" i="4"/>
  <c r="J996" i="4" s="1"/>
  <c r="L996" i="4" s="1"/>
  <c r="O996" i="4" s="1"/>
  <c r="G996" i="4"/>
  <c r="H996" i="4" s="1"/>
  <c r="P995" i="4"/>
  <c r="I995" i="4"/>
  <c r="J995" i="4" s="1"/>
  <c r="L995" i="4" s="1"/>
  <c r="O995" i="4" s="1"/>
  <c r="G995" i="4"/>
  <c r="H995" i="4" s="1"/>
  <c r="P994" i="4"/>
  <c r="I994" i="4"/>
  <c r="J994" i="4" s="1"/>
  <c r="L994" i="4" s="1"/>
  <c r="O994" i="4" s="1"/>
  <c r="G994" i="4"/>
  <c r="H994" i="4" s="1"/>
  <c r="P993" i="4"/>
  <c r="I993" i="4"/>
  <c r="J993" i="4" s="1"/>
  <c r="L993" i="4" s="1"/>
  <c r="O993" i="4" s="1"/>
  <c r="G993" i="4"/>
  <c r="H993" i="4" s="1"/>
  <c r="P992" i="4"/>
  <c r="G992" i="4"/>
  <c r="H992" i="4" s="1"/>
  <c r="P991" i="4"/>
  <c r="G991" i="4"/>
  <c r="H991" i="4" s="1"/>
  <c r="P990" i="4"/>
  <c r="G990" i="4"/>
  <c r="H990" i="4" s="1"/>
  <c r="P989" i="4"/>
  <c r="G989" i="4"/>
  <c r="H989" i="4" s="1"/>
  <c r="P988" i="4"/>
  <c r="G988" i="4"/>
  <c r="H988" i="4" s="1"/>
  <c r="P987" i="4"/>
  <c r="G987" i="4"/>
  <c r="H987" i="4" s="1"/>
  <c r="P986" i="4"/>
  <c r="G986" i="4"/>
  <c r="H986" i="4" s="1"/>
  <c r="P985" i="4"/>
  <c r="G985" i="4"/>
  <c r="H985" i="4" s="1"/>
  <c r="P984" i="4"/>
  <c r="G984" i="4"/>
  <c r="H984" i="4" s="1"/>
  <c r="P983" i="4"/>
  <c r="G983" i="4"/>
  <c r="H983" i="4" s="1"/>
  <c r="P982" i="4"/>
  <c r="G982" i="4"/>
  <c r="H982" i="4" s="1"/>
  <c r="P981" i="4"/>
  <c r="G981" i="4"/>
  <c r="H981" i="4" s="1"/>
  <c r="P980" i="4"/>
  <c r="G980" i="4"/>
  <c r="H980" i="4" s="1"/>
  <c r="P979" i="4"/>
  <c r="G979" i="4"/>
  <c r="H979" i="4" s="1"/>
  <c r="P978" i="4"/>
  <c r="G978" i="4"/>
  <c r="H978" i="4" s="1"/>
  <c r="P977" i="4"/>
  <c r="G977" i="4"/>
  <c r="H977" i="4" s="1"/>
  <c r="P976" i="4"/>
  <c r="G976" i="4"/>
  <c r="H976" i="4" s="1"/>
  <c r="P975" i="4"/>
  <c r="G975" i="4"/>
  <c r="H975" i="4" s="1"/>
  <c r="P974" i="4"/>
  <c r="G974" i="4"/>
  <c r="H974" i="4" s="1"/>
  <c r="P973" i="4"/>
  <c r="G973" i="4"/>
  <c r="H973" i="4" s="1"/>
  <c r="P972" i="4"/>
  <c r="G972" i="4"/>
  <c r="H972" i="4" s="1"/>
  <c r="P971" i="4"/>
  <c r="G971" i="4"/>
  <c r="H971" i="4" s="1"/>
  <c r="P970" i="4"/>
  <c r="G970" i="4"/>
  <c r="H970" i="4" s="1"/>
  <c r="P969" i="4"/>
  <c r="G969" i="4"/>
  <c r="H969" i="4" s="1"/>
  <c r="P968" i="4"/>
  <c r="G968" i="4"/>
  <c r="H968" i="4" s="1"/>
  <c r="P967" i="4"/>
  <c r="G967" i="4"/>
  <c r="H967" i="4" s="1"/>
  <c r="P966" i="4"/>
  <c r="G966" i="4"/>
  <c r="H966" i="4" s="1"/>
  <c r="P965" i="4"/>
  <c r="G965" i="4"/>
  <c r="H965" i="4" s="1"/>
  <c r="P964" i="4"/>
  <c r="G964" i="4"/>
  <c r="H964" i="4" s="1"/>
  <c r="P963" i="4"/>
  <c r="G963" i="4"/>
  <c r="H963" i="4" s="1"/>
  <c r="P962" i="4"/>
  <c r="I962" i="4"/>
  <c r="J962" i="4" s="1"/>
  <c r="L962" i="4" s="1"/>
  <c r="O962" i="4" s="1"/>
  <c r="G962" i="4"/>
  <c r="H962" i="4" s="1"/>
  <c r="P961" i="4"/>
  <c r="I961" i="4"/>
  <c r="J961" i="4" s="1"/>
  <c r="L961" i="4" s="1"/>
  <c r="O961" i="4" s="1"/>
  <c r="G961" i="4"/>
  <c r="H961" i="4" s="1"/>
  <c r="P960" i="4"/>
  <c r="I960" i="4"/>
  <c r="J960" i="4" s="1"/>
  <c r="L960" i="4" s="1"/>
  <c r="O960" i="4" s="1"/>
  <c r="G960" i="4"/>
  <c r="H960" i="4" s="1"/>
  <c r="P959" i="4"/>
  <c r="I959" i="4"/>
  <c r="J959" i="4" s="1"/>
  <c r="L959" i="4" s="1"/>
  <c r="O959" i="4" s="1"/>
  <c r="G959" i="4"/>
  <c r="H959" i="4" s="1"/>
  <c r="P958" i="4"/>
  <c r="I958" i="4"/>
  <c r="J958" i="4" s="1"/>
  <c r="L958" i="4" s="1"/>
  <c r="O958" i="4" s="1"/>
  <c r="G958" i="4"/>
  <c r="H958" i="4" s="1"/>
  <c r="P957" i="4"/>
  <c r="I957" i="4"/>
  <c r="J957" i="4" s="1"/>
  <c r="L957" i="4" s="1"/>
  <c r="O957" i="4" s="1"/>
  <c r="G957" i="4"/>
  <c r="H957" i="4" s="1"/>
  <c r="P956" i="4"/>
  <c r="I956" i="4"/>
  <c r="J956" i="4" s="1"/>
  <c r="L956" i="4" s="1"/>
  <c r="O956" i="4" s="1"/>
  <c r="G956" i="4"/>
  <c r="H956" i="4" s="1"/>
  <c r="P955" i="4"/>
  <c r="I955" i="4"/>
  <c r="J955" i="4" s="1"/>
  <c r="L955" i="4" s="1"/>
  <c r="O955" i="4" s="1"/>
  <c r="G955" i="4"/>
  <c r="H955" i="4" s="1"/>
  <c r="P954" i="4"/>
  <c r="I954" i="4"/>
  <c r="J954" i="4" s="1"/>
  <c r="L954" i="4" s="1"/>
  <c r="O954" i="4" s="1"/>
  <c r="G954" i="4"/>
  <c r="H954" i="4" s="1"/>
  <c r="P953" i="4"/>
  <c r="I953" i="4"/>
  <c r="J953" i="4" s="1"/>
  <c r="L953" i="4" s="1"/>
  <c r="O953" i="4" s="1"/>
  <c r="G953" i="4"/>
  <c r="H953" i="4" s="1"/>
  <c r="P952" i="4"/>
  <c r="I952" i="4"/>
  <c r="J952" i="4" s="1"/>
  <c r="L952" i="4" s="1"/>
  <c r="O952" i="4" s="1"/>
  <c r="G952" i="4"/>
  <c r="H952" i="4" s="1"/>
  <c r="P951" i="4"/>
  <c r="I951" i="4"/>
  <c r="J951" i="4" s="1"/>
  <c r="L951" i="4" s="1"/>
  <c r="O951" i="4" s="1"/>
  <c r="G951" i="4"/>
  <c r="H951" i="4" s="1"/>
  <c r="P950" i="4"/>
  <c r="I950" i="4"/>
  <c r="J950" i="4" s="1"/>
  <c r="L950" i="4" s="1"/>
  <c r="O950" i="4" s="1"/>
  <c r="G950" i="4"/>
  <c r="H950" i="4" s="1"/>
  <c r="P949" i="4"/>
  <c r="I949" i="4"/>
  <c r="J949" i="4" s="1"/>
  <c r="L949" i="4" s="1"/>
  <c r="O949" i="4" s="1"/>
  <c r="G949" i="4"/>
  <c r="H949" i="4" s="1"/>
  <c r="P948" i="4"/>
  <c r="I948" i="4"/>
  <c r="J948" i="4" s="1"/>
  <c r="L948" i="4" s="1"/>
  <c r="O948" i="4" s="1"/>
  <c r="G948" i="4"/>
  <c r="H948" i="4" s="1"/>
  <c r="P947" i="4"/>
  <c r="I947" i="4"/>
  <c r="J947" i="4" s="1"/>
  <c r="L947" i="4" s="1"/>
  <c r="O947" i="4" s="1"/>
  <c r="G947" i="4"/>
  <c r="H947" i="4" s="1"/>
  <c r="P946" i="4"/>
  <c r="I946" i="4"/>
  <c r="J946" i="4" s="1"/>
  <c r="L946" i="4" s="1"/>
  <c r="O946" i="4" s="1"/>
  <c r="G946" i="4"/>
  <c r="H946" i="4" s="1"/>
  <c r="P945" i="4"/>
  <c r="I945" i="4"/>
  <c r="J945" i="4" s="1"/>
  <c r="L945" i="4" s="1"/>
  <c r="O945" i="4" s="1"/>
  <c r="G945" i="4"/>
  <c r="H945" i="4" s="1"/>
  <c r="P944" i="4"/>
  <c r="I944" i="4"/>
  <c r="J944" i="4" s="1"/>
  <c r="L944" i="4" s="1"/>
  <c r="O944" i="4" s="1"/>
  <c r="G944" i="4"/>
  <c r="H944" i="4" s="1"/>
  <c r="P943" i="4"/>
  <c r="I943" i="4"/>
  <c r="J943" i="4" s="1"/>
  <c r="L943" i="4" s="1"/>
  <c r="O943" i="4" s="1"/>
  <c r="G943" i="4"/>
  <c r="H943" i="4" s="1"/>
  <c r="P942" i="4"/>
  <c r="I942" i="4"/>
  <c r="J942" i="4" s="1"/>
  <c r="L942" i="4" s="1"/>
  <c r="O942" i="4" s="1"/>
  <c r="G942" i="4"/>
  <c r="H942" i="4" s="1"/>
  <c r="P941" i="4"/>
  <c r="I941" i="4"/>
  <c r="J941" i="4" s="1"/>
  <c r="L941" i="4" s="1"/>
  <c r="O941" i="4" s="1"/>
  <c r="G941" i="4"/>
  <c r="H941" i="4" s="1"/>
  <c r="P940" i="4"/>
  <c r="I940" i="4"/>
  <c r="J940" i="4" s="1"/>
  <c r="L940" i="4" s="1"/>
  <c r="O940" i="4" s="1"/>
  <c r="G940" i="4"/>
  <c r="H940" i="4" s="1"/>
  <c r="P939" i="4"/>
  <c r="I939" i="4"/>
  <c r="J939" i="4" s="1"/>
  <c r="L939" i="4" s="1"/>
  <c r="O939" i="4" s="1"/>
  <c r="G939" i="4"/>
  <c r="H939" i="4" s="1"/>
  <c r="P938" i="4"/>
  <c r="I938" i="4"/>
  <c r="J938" i="4" s="1"/>
  <c r="L938" i="4" s="1"/>
  <c r="O938" i="4" s="1"/>
  <c r="G938" i="4"/>
  <c r="H938" i="4" s="1"/>
  <c r="P937" i="4"/>
  <c r="I937" i="4"/>
  <c r="J937" i="4" s="1"/>
  <c r="L937" i="4" s="1"/>
  <c r="O937" i="4" s="1"/>
  <c r="G937" i="4"/>
  <c r="H937" i="4" s="1"/>
  <c r="P936" i="4"/>
  <c r="I936" i="4"/>
  <c r="J936" i="4" s="1"/>
  <c r="L936" i="4" s="1"/>
  <c r="O936" i="4" s="1"/>
  <c r="G936" i="4"/>
  <c r="H936" i="4" s="1"/>
  <c r="P935" i="4"/>
  <c r="I935" i="4"/>
  <c r="J935" i="4" s="1"/>
  <c r="L935" i="4" s="1"/>
  <c r="O935" i="4" s="1"/>
  <c r="G935" i="4"/>
  <c r="H935" i="4" s="1"/>
  <c r="P934" i="4"/>
  <c r="I934" i="4"/>
  <c r="J934" i="4" s="1"/>
  <c r="L934" i="4" s="1"/>
  <c r="O934" i="4" s="1"/>
  <c r="G934" i="4"/>
  <c r="H934" i="4" s="1"/>
  <c r="P933" i="4"/>
  <c r="I933" i="4"/>
  <c r="J933" i="4" s="1"/>
  <c r="L933" i="4" s="1"/>
  <c r="O933" i="4" s="1"/>
  <c r="G933" i="4"/>
  <c r="H933" i="4" s="1"/>
  <c r="P932" i="4"/>
  <c r="I932" i="4"/>
  <c r="J932" i="4" s="1"/>
  <c r="L932" i="4" s="1"/>
  <c r="O932" i="4" s="1"/>
  <c r="G932" i="4"/>
  <c r="H932" i="4" s="1"/>
  <c r="P931" i="4"/>
  <c r="I931" i="4"/>
  <c r="J931" i="4" s="1"/>
  <c r="L931" i="4" s="1"/>
  <c r="O931" i="4" s="1"/>
  <c r="G931" i="4"/>
  <c r="H931" i="4" s="1"/>
  <c r="P930" i="4"/>
  <c r="I930" i="4"/>
  <c r="J930" i="4" s="1"/>
  <c r="L930" i="4" s="1"/>
  <c r="O930" i="4" s="1"/>
  <c r="G930" i="4"/>
  <c r="H930" i="4" s="1"/>
  <c r="P929" i="4"/>
  <c r="I929" i="4"/>
  <c r="J929" i="4" s="1"/>
  <c r="L929" i="4" s="1"/>
  <c r="O929" i="4" s="1"/>
  <c r="G929" i="4"/>
  <c r="H929" i="4" s="1"/>
  <c r="P928" i="4"/>
  <c r="I928" i="4"/>
  <c r="J928" i="4" s="1"/>
  <c r="L928" i="4" s="1"/>
  <c r="O928" i="4" s="1"/>
  <c r="G928" i="4"/>
  <c r="H928" i="4" s="1"/>
  <c r="P927" i="4"/>
  <c r="I927" i="4"/>
  <c r="J927" i="4" s="1"/>
  <c r="L927" i="4" s="1"/>
  <c r="O927" i="4" s="1"/>
  <c r="G927" i="4"/>
  <c r="H927" i="4" s="1"/>
  <c r="P926" i="4"/>
  <c r="I926" i="4"/>
  <c r="J926" i="4" s="1"/>
  <c r="L926" i="4" s="1"/>
  <c r="O926" i="4" s="1"/>
  <c r="G926" i="4"/>
  <c r="H926" i="4" s="1"/>
  <c r="P925" i="4"/>
  <c r="I925" i="4"/>
  <c r="J925" i="4" s="1"/>
  <c r="L925" i="4" s="1"/>
  <c r="O925" i="4" s="1"/>
  <c r="G925" i="4"/>
  <c r="H925" i="4" s="1"/>
  <c r="P924" i="4"/>
  <c r="I924" i="4"/>
  <c r="J924" i="4" s="1"/>
  <c r="L924" i="4" s="1"/>
  <c r="O924" i="4" s="1"/>
  <c r="G924" i="4"/>
  <c r="H924" i="4" s="1"/>
  <c r="P923" i="4"/>
  <c r="I923" i="4"/>
  <c r="J923" i="4" s="1"/>
  <c r="L923" i="4" s="1"/>
  <c r="O923" i="4" s="1"/>
  <c r="G923" i="4"/>
  <c r="H923" i="4" s="1"/>
  <c r="P922" i="4"/>
  <c r="I922" i="4"/>
  <c r="J922" i="4" s="1"/>
  <c r="L922" i="4" s="1"/>
  <c r="O922" i="4" s="1"/>
  <c r="G922" i="4"/>
  <c r="H922" i="4" s="1"/>
  <c r="P921" i="4"/>
  <c r="I921" i="4"/>
  <c r="J921" i="4" s="1"/>
  <c r="L921" i="4" s="1"/>
  <c r="O921" i="4" s="1"/>
  <c r="G921" i="4"/>
  <c r="H921" i="4" s="1"/>
  <c r="P920" i="4"/>
  <c r="I920" i="4"/>
  <c r="J920" i="4" s="1"/>
  <c r="L920" i="4" s="1"/>
  <c r="O920" i="4" s="1"/>
  <c r="G920" i="4"/>
  <c r="H920" i="4" s="1"/>
  <c r="P919" i="4"/>
  <c r="I919" i="4"/>
  <c r="J919" i="4" s="1"/>
  <c r="L919" i="4" s="1"/>
  <c r="O919" i="4" s="1"/>
  <c r="G919" i="4"/>
  <c r="H919" i="4" s="1"/>
  <c r="P918" i="4"/>
  <c r="I918" i="4"/>
  <c r="J918" i="4" s="1"/>
  <c r="L918" i="4" s="1"/>
  <c r="O918" i="4" s="1"/>
  <c r="G918" i="4"/>
  <c r="H918" i="4" s="1"/>
  <c r="P917" i="4"/>
  <c r="I917" i="4"/>
  <c r="J917" i="4" s="1"/>
  <c r="L917" i="4" s="1"/>
  <c r="O917" i="4" s="1"/>
  <c r="G917" i="4"/>
  <c r="H917" i="4" s="1"/>
  <c r="P916" i="4"/>
  <c r="I916" i="4"/>
  <c r="J916" i="4" s="1"/>
  <c r="L916" i="4" s="1"/>
  <c r="O916" i="4" s="1"/>
  <c r="G916" i="4"/>
  <c r="H916" i="4" s="1"/>
  <c r="P915" i="4"/>
  <c r="I915" i="4"/>
  <c r="J915" i="4" s="1"/>
  <c r="L915" i="4" s="1"/>
  <c r="O915" i="4" s="1"/>
  <c r="G915" i="4"/>
  <c r="H915" i="4" s="1"/>
  <c r="P914" i="4"/>
  <c r="I914" i="4"/>
  <c r="J914" i="4" s="1"/>
  <c r="L914" i="4" s="1"/>
  <c r="O914" i="4" s="1"/>
  <c r="G914" i="4"/>
  <c r="H914" i="4" s="1"/>
  <c r="P913" i="4"/>
  <c r="I913" i="4"/>
  <c r="J913" i="4" s="1"/>
  <c r="L913" i="4" s="1"/>
  <c r="O913" i="4" s="1"/>
  <c r="G913" i="4"/>
  <c r="H913" i="4" s="1"/>
  <c r="P912" i="4"/>
  <c r="I912" i="4"/>
  <c r="J912" i="4" s="1"/>
  <c r="L912" i="4" s="1"/>
  <c r="O912" i="4" s="1"/>
  <c r="G912" i="4"/>
  <c r="H912" i="4" s="1"/>
  <c r="P911" i="4"/>
  <c r="I911" i="4"/>
  <c r="J911" i="4" s="1"/>
  <c r="L911" i="4" s="1"/>
  <c r="O911" i="4" s="1"/>
  <c r="G911" i="4"/>
  <c r="H911" i="4" s="1"/>
  <c r="P910" i="4"/>
  <c r="I910" i="4"/>
  <c r="J910" i="4" s="1"/>
  <c r="L910" i="4" s="1"/>
  <c r="O910" i="4" s="1"/>
  <c r="G910" i="4"/>
  <c r="H910" i="4" s="1"/>
  <c r="P909" i="4"/>
  <c r="I909" i="4"/>
  <c r="J909" i="4" s="1"/>
  <c r="L909" i="4" s="1"/>
  <c r="O909" i="4" s="1"/>
  <c r="G909" i="4"/>
  <c r="H909" i="4" s="1"/>
  <c r="P908" i="4"/>
  <c r="I908" i="4"/>
  <c r="J908" i="4" s="1"/>
  <c r="L908" i="4" s="1"/>
  <c r="O908" i="4" s="1"/>
  <c r="G908" i="4"/>
  <c r="H908" i="4" s="1"/>
  <c r="P907" i="4"/>
  <c r="I907" i="4"/>
  <c r="J907" i="4" s="1"/>
  <c r="L907" i="4" s="1"/>
  <c r="O907" i="4" s="1"/>
  <c r="G907" i="4"/>
  <c r="H907" i="4" s="1"/>
  <c r="P906" i="4"/>
  <c r="I906" i="4"/>
  <c r="J906" i="4" s="1"/>
  <c r="L906" i="4" s="1"/>
  <c r="O906" i="4" s="1"/>
  <c r="G906" i="4"/>
  <c r="H906" i="4" s="1"/>
  <c r="P905" i="4"/>
  <c r="I905" i="4"/>
  <c r="J905" i="4" s="1"/>
  <c r="L905" i="4" s="1"/>
  <c r="O905" i="4" s="1"/>
  <c r="G905" i="4"/>
  <c r="H905" i="4" s="1"/>
  <c r="P904" i="4"/>
  <c r="I904" i="4"/>
  <c r="J904" i="4" s="1"/>
  <c r="L904" i="4" s="1"/>
  <c r="O904" i="4" s="1"/>
  <c r="G904" i="4"/>
  <c r="H904" i="4" s="1"/>
  <c r="P903" i="4"/>
  <c r="I903" i="4"/>
  <c r="J903" i="4" s="1"/>
  <c r="L903" i="4" s="1"/>
  <c r="O903" i="4" s="1"/>
  <c r="G903" i="4"/>
  <c r="H903" i="4" s="1"/>
  <c r="P902" i="4"/>
  <c r="I902" i="4"/>
  <c r="J902" i="4" s="1"/>
  <c r="L902" i="4" s="1"/>
  <c r="O902" i="4" s="1"/>
  <c r="G902" i="4"/>
  <c r="H902" i="4" s="1"/>
  <c r="P901" i="4"/>
  <c r="I901" i="4"/>
  <c r="J901" i="4" s="1"/>
  <c r="L901" i="4" s="1"/>
  <c r="O901" i="4" s="1"/>
  <c r="G901" i="4"/>
  <c r="H901" i="4" s="1"/>
  <c r="P900" i="4"/>
  <c r="I900" i="4"/>
  <c r="J900" i="4" s="1"/>
  <c r="L900" i="4" s="1"/>
  <c r="O900" i="4" s="1"/>
  <c r="G900" i="4"/>
  <c r="H900" i="4" s="1"/>
  <c r="P899" i="4"/>
  <c r="I899" i="4"/>
  <c r="J899" i="4" s="1"/>
  <c r="L899" i="4" s="1"/>
  <c r="O899" i="4" s="1"/>
  <c r="G899" i="4"/>
  <c r="H899" i="4" s="1"/>
  <c r="P898" i="4"/>
  <c r="I898" i="4"/>
  <c r="J898" i="4" s="1"/>
  <c r="L898" i="4" s="1"/>
  <c r="O898" i="4" s="1"/>
  <c r="G898" i="4"/>
  <c r="H898" i="4" s="1"/>
  <c r="P897" i="4"/>
  <c r="I897" i="4"/>
  <c r="J897" i="4" s="1"/>
  <c r="L897" i="4" s="1"/>
  <c r="O897" i="4" s="1"/>
  <c r="G897" i="4"/>
  <c r="H897" i="4" s="1"/>
  <c r="P896" i="4"/>
  <c r="I896" i="4"/>
  <c r="J896" i="4" s="1"/>
  <c r="L896" i="4" s="1"/>
  <c r="O896" i="4" s="1"/>
  <c r="G896" i="4"/>
  <c r="H896" i="4" s="1"/>
  <c r="P895" i="4"/>
  <c r="I895" i="4"/>
  <c r="J895" i="4" s="1"/>
  <c r="L895" i="4" s="1"/>
  <c r="O895" i="4" s="1"/>
  <c r="G895" i="4"/>
  <c r="H895" i="4" s="1"/>
  <c r="P894" i="4"/>
  <c r="I894" i="4"/>
  <c r="J894" i="4" s="1"/>
  <c r="L894" i="4" s="1"/>
  <c r="O894" i="4" s="1"/>
  <c r="G894" i="4"/>
  <c r="H894" i="4" s="1"/>
  <c r="P893" i="4"/>
  <c r="I893" i="4"/>
  <c r="J893" i="4" s="1"/>
  <c r="L893" i="4" s="1"/>
  <c r="O893" i="4" s="1"/>
  <c r="G893" i="4"/>
  <c r="H893" i="4" s="1"/>
  <c r="P892" i="4"/>
  <c r="I892" i="4"/>
  <c r="J892" i="4" s="1"/>
  <c r="L892" i="4" s="1"/>
  <c r="O892" i="4" s="1"/>
  <c r="G892" i="4"/>
  <c r="H892" i="4" s="1"/>
  <c r="P891" i="4"/>
  <c r="I891" i="4"/>
  <c r="J891" i="4" s="1"/>
  <c r="L891" i="4" s="1"/>
  <c r="O891" i="4" s="1"/>
  <c r="G891" i="4"/>
  <c r="H891" i="4" s="1"/>
  <c r="P890" i="4"/>
  <c r="I890" i="4"/>
  <c r="J890" i="4" s="1"/>
  <c r="L890" i="4" s="1"/>
  <c r="O890" i="4" s="1"/>
  <c r="G890" i="4"/>
  <c r="H890" i="4" s="1"/>
  <c r="P889" i="4"/>
  <c r="I889" i="4"/>
  <c r="J889" i="4" s="1"/>
  <c r="L889" i="4" s="1"/>
  <c r="O889" i="4" s="1"/>
  <c r="G889" i="4"/>
  <c r="H889" i="4" s="1"/>
  <c r="P888" i="4"/>
  <c r="I888" i="4"/>
  <c r="J888" i="4" s="1"/>
  <c r="L888" i="4" s="1"/>
  <c r="O888" i="4" s="1"/>
  <c r="G888" i="4"/>
  <c r="H888" i="4" s="1"/>
  <c r="P887" i="4"/>
  <c r="I887" i="4"/>
  <c r="J887" i="4" s="1"/>
  <c r="L887" i="4" s="1"/>
  <c r="O887" i="4" s="1"/>
  <c r="G887" i="4"/>
  <c r="H887" i="4" s="1"/>
  <c r="P886" i="4"/>
  <c r="I886" i="4"/>
  <c r="J886" i="4" s="1"/>
  <c r="L886" i="4" s="1"/>
  <c r="O886" i="4" s="1"/>
  <c r="G886" i="4"/>
  <c r="H886" i="4" s="1"/>
  <c r="P885" i="4"/>
  <c r="I885" i="4"/>
  <c r="J885" i="4" s="1"/>
  <c r="L885" i="4" s="1"/>
  <c r="O885" i="4" s="1"/>
  <c r="G885" i="4"/>
  <c r="H885" i="4" s="1"/>
  <c r="P884" i="4"/>
  <c r="I884" i="4"/>
  <c r="J884" i="4" s="1"/>
  <c r="L884" i="4" s="1"/>
  <c r="O884" i="4" s="1"/>
  <c r="G884" i="4"/>
  <c r="H884" i="4" s="1"/>
  <c r="P883" i="4"/>
  <c r="I883" i="4"/>
  <c r="J883" i="4" s="1"/>
  <c r="L883" i="4" s="1"/>
  <c r="O883" i="4" s="1"/>
  <c r="G883" i="4"/>
  <c r="H883" i="4" s="1"/>
  <c r="P882" i="4"/>
  <c r="I882" i="4"/>
  <c r="J882" i="4" s="1"/>
  <c r="L882" i="4" s="1"/>
  <c r="O882" i="4" s="1"/>
  <c r="G882" i="4"/>
  <c r="H882" i="4" s="1"/>
  <c r="P881" i="4"/>
  <c r="I881" i="4"/>
  <c r="J881" i="4" s="1"/>
  <c r="L881" i="4" s="1"/>
  <c r="O881" i="4" s="1"/>
  <c r="G881" i="4"/>
  <c r="H881" i="4" s="1"/>
  <c r="P880" i="4"/>
  <c r="I880" i="4"/>
  <c r="J880" i="4" s="1"/>
  <c r="L880" i="4" s="1"/>
  <c r="O880" i="4" s="1"/>
  <c r="G880" i="4"/>
  <c r="H880" i="4" s="1"/>
  <c r="P879" i="4"/>
  <c r="I879" i="4"/>
  <c r="J879" i="4" s="1"/>
  <c r="L879" i="4" s="1"/>
  <c r="O879" i="4" s="1"/>
  <c r="G879" i="4"/>
  <c r="H879" i="4" s="1"/>
  <c r="P878" i="4"/>
  <c r="I878" i="4"/>
  <c r="J878" i="4" s="1"/>
  <c r="L878" i="4" s="1"/>
  <c r="O878" i="4" s="1"/>
  <c r="G878" i="4"/>
  <c r="H878" i="4" s="1"/>
  <c r="P877" i="4"/>
  <c r="I877" i="4"/>
  <c r="J877" i="4" s="1"/>
  <c r="L877" i="4" s="1"/>
  <c r="O877" i="4" s="1"/>
  <c r="G877" i="4"/>
  <c r="H877" i="4" s="1"/>
  <c r="P876" i="4"/>
  <c r="I876" i="4"/>
  <c r="J876" i="4" s="1"/>
  <c r="L876" i="4" s="1"/>
  <c r="O876" i="4" s="1"/>
  <c r="G876" i="4"/>
  <c r="H876" i="4" s="1"/>
  <c r="P875" i="4"/>
  <c r="I875" i="4"/>
  <c r="J875" i="4" s="1"/>
  <c r="L875" i="4" s="1"/>
  <c r="O875" i="4" s="1"/>
  <c r="G875" i="4"/>
  <c r="H875" i="4" s="1"/>
  <c r="P874" i="4"/>
  <c r="I874" i="4"/>
  <c r="J874" i="4" s="1"/>
  <c r="L874" i="4" s="1"/>
  <c r="O874" i="4" s="1"/>
  <c r="G874" i="4"/>
  <c r="H874" i="4" s="1"/>
  <c r="P873" i="4"/>
  <c r="I873" i="4"/>
  <c r="J873" i="4" s="1"/>
  <c r="L873" i="4" s="1"/>
  <c r="O873" i="4" s="1"/>
  <c r="G873" i="4"/>
  <c r="H873" i="4" s="1"/>
  <c r="P872" i="4"/>
  <c r="I872" i="4"/>
  <c r="J872" i="4" s="1"/>
  <c r="L872" i="4" s="1"/>
  <c r="O872" i="4" s="1"/>
  <c r="G872" i="4"/>
  <c r="H872" i="4" s="1"/>
  <c r="P871" i="4"/>
  <c r="I871" i="4"/>
  <c r="J871" i="4" s="1"/>
  <c r="L871" i="4" s="1"/>
  <c r="O871" i="4" s="1"/>
  <c r="G871" i="4"/>
  <c r="H871" i="4" s="1"/>
  <c r="P870" i="4"/>
  <c r="I870" i="4"/>
  <c r="J870" i="4" s="1"/>
  <c r="L870" i="4" s="1"/>
  <c r="O870" i="4" s="1"/>
  <c r="G870" i="4"/>
  <c r="H870" i="4" s="1"/>
  <c r="P869" i="4"/>
  <c r="I869" i="4"/>
  <c r="J869" i="4" s="1"/>
  <c r="L869" i="4" s="1"/>
  <c r="O869" i="4" s="1"/>
  <c r="G869" i="4"/>
  <c r="H869" i="4" s="1"/>
  <c r="P868" i="4"/>
  <c r="I868" i="4"/>
  <c r="J868" i="4" s="1"/>
  <c r="L868" i="4" s="1"/>
  <c r="O868" i="4" s="1"/>
  <c r="G868" i="4"/>
  <c r="H868" i="4" s="1"/>
  <c r="P867" i="4"/>
  <c r="I867" i="4"/>
  <c r="J867" i="4" s="1"/>
  <c r="L867" i="4" s="1"/>
  <c r="O867" i="4" s="1"/>
  <c r="G867" i="4"/>
  <c r="H867" i="4" s="1"/>
  <c r="P866" i="4"/>
  <c r="I866" i="4"/>
  <c r="J866" i="4" s="1"/>
  <c r="L866" i="4" s="1"/>
  <c r="O866" i="4" s="1"/>
  <c r="G866" i="4"/>
  <c r="H866" i="4" s="1"/>
  <c r="P865" i="4"/>
  <c r="I865" i="4"/>
  <c r="J865" i="4" s="1"/>
  <c r="L865" i="4" s="1"/>
  <c r="O865" i="4" s="1"/>
  <c r="G865" i="4"/>
  <c r="H865" i="4" s="1"/>
  <c r="P864" i="4"/>
  <c r="I864" i="4"/>
  <c r="J864" i="4" s="1"/>
  <c r="L864" i="4" s="1"/>
  <c r="O864" i="4" s="1"/>
  <c r="G864" i="4"/>
  <c r="H864" i="4" s="1"/>
  <c r="P863" i="4"/>
  <c r="I863" i="4"/>
  <c r="J863" i="4" s="1"/>
  <c r="L863" i="4" s="1"/>
  <c r="O863" i="4" s="1"/>
  <c r="G863" i="4"/>
  <c r="H863" i="4" s="1"/>
  <c r="P862" i="4"/>
  <c r="I862" i="4"/>
  <c r="J862" i="4" s="1"/>
  <c r="L862" i="4" s="1"/>
  <c r="O862" i="4" s="1"/>
  <c r="G862" i="4"/>
  <c r="H862" i="4" s="1"/>
  <c r="P861" i="4"/>
  <c r="I861" i="4"/>
  <c r="J861" i="4" s="1"/>
  <c r="L861" i="4" s="1"/>
  <c r="O861" i="4" s="1"/>
  <c r="G861" i="4"/>
  <c r="H861" i="4" s="1"/>
  <c r="P860" i="4"/>
  <c r="I860" i="4"/>
  <c r="J860" i="4" s="1"/>
  <c r="L860" i="4" s="1"/>
  <c r="O860" i="4" s="1"/>
  <c r="G860" i="4"/>
  <c r="H860" i="4" s="1"/>
  <c r="P859" i="4"/>
  <c r="I859" i="4"/>
  <c r="J859" i="4" s="1"/>
  <c r="L859" i="4" s="1"/>
  <c r="O859" i="4" s="1"/>
  <c r="G859" i="4"/>
  <c r="H859" i="4" s="1"/>
  <c r="P858" i="4"/>
  <c r="I858" i="4"/>
  <c r="J858" i="4" s="1"/>
  <c r="L858" i="4" s="1"/>
  <c r="O858" i="4" s="1"/>
  <c r="G858" i="4"/>
  <c r="H858" i="4" s="1"/>
  <c r="P857" i="4"/>
  <c r="I857" i="4"/>
  <c r="J857" i="4" s="1"/>
  <c r="L857" i="4" s="1"/>
  <c r="O857" i="4" s="1"/>
  <c r="G857" i="4"/>
  <c r="H857" i="4" s="1"/>
  <c r="P856" i="4"/>
  <c r="I856" i="4"/>
  <c r="J856" i="4" s="1"/>
  <c r="L856" i="4" s="1"/>
  <c r="O856" i="4" s="1"/>
  <c r="G856" i="4"/>
  <c r="H856" i="4" s="1"/>
  <c r="P855" i="4"/>
  <c r="I855" i="4"/>
  <c r="J855" i="4" s="1"/>
  <c r="L855" i="4" s="1"/>
  <c r="O855" i="4" s="1"/>
  <c r="G855" i="4"/>
  <c r="H855" i="4" s="1"/>
  <c r="P854" i="4"/>
  <c r="I854" i="4"/>
  <c r="J854" i="4" s="1"/>
  <c r="L854" i="4" s="1"/>
  <c r="O854" i="4" s="1"/>
  <c r="G854" i="4"/>
  <c r="H854" i="4" s="1"/>
  <c r="P853" i="4"/>
  <c r="I853" i="4"/>
  <c r="J853" i="4" s="1"/>
  <c r="L853" i="4" s="1"/>
  <c r="O853" i="4" s="1"/>
  <c r="G853" i="4"/>
  <c r="H853" i="4" s="1"/>
  <c r="P852" i="4"/>
  <c r="I852" i="4"/>
  <c r="J852" i="4" s="1"/>
  <c r="L852" i="4" s="1"/>
  <c r="O852" i="4" s="1"/>
  <c r="G852" i="4"/>
  <c r="H852" i="4" s="1"/>
  <c r="P851" i="4"/>
  <c r="I851" i="4"/>
  <c r="J851" i="4" s="1"/>
  <c r="L851" i="4" s="1"/>
  <c r="O851" i="4" s="1"/>
  <c r="G851" i="4"/>
  <c r="H851" i="4" s="1"/>
  <c r="P850" i="4"/>
  <c r="I850" i="4"/>
  <c r="J850" i="4" s="1"/>
  <c r="L850" i="4" s="1"/>
  <c r="O850" i="4" s="1"/>
  <c r="G850" i="4"/>
  <c r="H850" i="4" s="1"/>
  <c r="P849" i="4"/>
  <c r="I849" i="4"/>
  <c r="J849" i="4" s="1"/>
  <c r="L849" i="4" s="1"/>
  <c r="O849" i="4" s="1"/>
  <c r="G849" i="4"/>
  <c r="H849" i="4" s="1"/>
  <c r="P848" i="4"/>
  <c r="I848" i="4"/>
  <c r="J848" i="4" s="1"/>
  <c r="L848" i="4" s="1"/>
  <c r="O848" i="4" s="1"/>
  <c r="G848" i="4"/>
  <c r="H848" i="4" s="1"/>
  <c r="P847" i="4"/>
  <c r="I847" i="4"/>
  <c r="J847" i="4" s="1"/>
  <c r="L847" i="4" s="1"/>
  <c r="O847" i="4" s="1"/>
  <c r="G847" i="4"/>
  <c r="H847" i="4" s="1"/>
  <c r="P846" i="4"/>
  <c r="I846" i="4"/>
  <c r="J846" i="4" s="1"/>
  <c r="L846" i="4" s="1"/>
  <c r="O846" i="4" s="1"/>
  <c r="G846" i="4"/>
  <c r="H846" i="4" s="1"/>
  <c r="P845" i="4"/>
  <c r="I845" i="4"/>
  <c r="J845" i="4" s="1"/>
  <c r="L845" i="4" s="1"/>
  <c r="O845" i="4" s="1"/>
  <c r="G845" i="4"/>
  <c r="H845" i="4" s="1"/>
  <c r="P844" i="4"/>
  <c r="I844" i="4"/>
  <c r="J844" i="4" s="1"/>
  <c r="L844" i="4" s="1"/>
  <c r="O844" i="4" s="1"/>
  <c r="G844" i="4"/>
  <c r="H844" i="4" s="1"/>
  <c r="P843" i="4"/>
  <c r="I843" i="4"/>
  <c r="J843" i="4" s="1"/>
  <c r="L843" i="4" s="1"/>
  <c r="O843" i="4" s="1"/>
  <c r="G843" i="4"/>
  <c r="H843" i="4" s="1"/>
  <c r="P842" i="4"/>
  <c r="I842" i="4"/>
  <c r="J842" i="4" s="1"/>
  <c r="L842" i="4" s="1"/>
  <c r="O842" i="4" s="1"/>
  <c r="G842" i="4"/>
  <c r="H842" i="4" s="1"/>
  <c r="P841" i="4"/>
  <c r="I841" i="4"/>
  <c r="J841" i="4" s="1"/>
  <c r="L841" i="4" s="1"/>
  <c r="O841" i="4" s="1"/>
  <c r="G841" i="4"/>
  <c r="H841" i="4" s="1"/>
  <c r="P840" i="4"/>
  <c r="I840" i="4"/>
  <c r="J840" i="4" s="1"/>
  <c r="L840" i="4" s="1"/>
  <c r="O840" i="4" s="1"/>
  <c r="G840" i="4"/>
  <c r="H840" i="4" s="1"/>
  <c r="P839" i="4"/>
  <c r="I839" i="4"/>
  <c r="J839" i="4" s="1"/>
  <c r="L839" i="4" s="1"/>
  <c r="O839" i="4" s="1"/>
  <c r="G839" i="4"/>
  <c r="H839" i="4" s="1"/>
  <c r="P838" i="4"/>
  <c r="I838" i="4"/>
  <c r="J838" i="4" s="1"/>
  <c r="L838" i="4" s="1"/>
  <c r="O838" i="4" s="1"/>
  <c r="G838" i="4"/>
  <c r="H838" i="4" s="1"/>
  <c r="P837" i="4"/>
  <c r="I837" i="4"/>
  <c r="J837" i="4" s="1"/>
  <c r="L837" i="4" s="1"/>
  <c r="O837" i="4" s="1"/>
  <c r="G837" i="4"/>
  <c r="H837" i="4" s="1"/>
  <c r="P836" i="4"/>
  <c r="I836" i="4"/>
  <c r="J836" i="4" s="1"/>
  <c r="L836" i="4" s="1"/>
  <c r="O836" i="4" s="1"/>
  <c r="G836" i="4"/>
  <c r="H836" i="4" s="1"/>
  <c r="P835" i="4"/>
  <c r="I835" i="4"/>
  <c r="J835" i="4" s="1"/>
  <c r="L835" i="4" s="1"/>
  <c r="O835" i="4" s="1"/>
  <c r="G835" i="4"/>
  <c r="H835" i="4" s="1"/>
  <c r="P834" i="4"/>
  <c r="I834" i="4"/>
  <c r="J834" i="4" s="1"/>
  <c r="L834" i="4" s="1"/>
  <c r="O834" i="4" s="1"/>
  <c r="G834" i="4"/>
  <c r="H834" i="4" s="1"/>
  <c r="P833" i="4"/>
  <c r="I833" i="4"/>
  <c r="J833" i="4" s="1"/>
  <c r="L833" i="4" s="1"/>
  <c r="O833" i="4" s="1"/>
  <c r="G833" i="4"/>
  <c r="H833" i="4" s="1"/>
  <c r="P832" i="4"/>
  <c r="I832" i="4"/>
  <c r="J832" i="4" s="1"/>
  <c r="L832" i="4" s="1"/>
  <c r="O832" i="4" s="1"/>
  <c r="G832" i="4"/>
  <c r="H832" i="4" s="1"/>
  <c r="P831" i="4"/>
  <c r="G831" i="4"/>
  <c r="H831" i="4" s="1"/>
  <c r="P830" i="4"/>
  <c r="G830" i="4"/>
  <c r="H830" i="4" s="1"/>
  <c r="P829" i="4"/>
  <c r="G829" i="4"/>
  <c r="H829" i="4" s="1"/>
  <c r="P828" i="4"/>
  <c r="G828" i="4"/>
  <c r="H828" i="4" s="1"/>
  <c r="P827" i="4"/>
  <c r="G827" i="4"/>
  <c r="H827" i="4" s="1"/>
  <c r="P826" i="4"/>
  <c r="G826" i="4"/>
  <c r="H826" i="4" s="1"/>
  <c r="P825" i="4"/>
  <c r="G825" i="4"/>
  <c r="H825" i="4" s="1"/>
  <c r="P824" i="4"/>
  <c r="G824" i="4"/>
  <c r="H824" i="4" s="1"/>
  <c r="P823" i="4"/>
  <c r="G823" i="4"/>
  <c r="H823" i="4" s="1"/>
  <c r="P822" i="4"/>
  <c r="G822" i="4"/>
  <c r="H822" i="4" s="1"/>
  <c r="P821" i="4"/>
  <c r="G821" i="4"/>
  <c r="H821" i="4" s="1"/>
  <c r="P820" i="4"/>
  <c r="G820" i="4"/>
  <c r="H820" i="4" s="1"/>
  <c r="P819" i="4"/>
  <c r="G819" i="4"/>
  <c r="H819" i="4" s="1"/>
  <c r="P818" i="4"/>
  <c r="G818" i="4"/>
  <c r="H818" i="4" s="1"/>
  <c r="P817" i="4"/>
  <c r="G817" i="4"/>
  <c r="H817" i="4" s="1"/>
  <c r="P816" i="4"/>
  <c r="G816" i="4"/>
  <c r="H816" i="4" s="1"/>
  <c r="P815" i="4"/>
  <c r="G815" i="4"/>
  <c r="H815" i="4" s="1"/>
  <c r="P814" i="4"/>
  <c r="G814" i="4"/>
  <c r="H814" i="4" s="1"/>
  <c r="P813" i="4"/>
  <c r="G813" i="4"/>
  <c r="H813" i="4" s="1"/>
  <c r="P812" i="4"/>
  <c r="G812" i="4"/>
  <c r="H812" i="4" s="1"/>
  <c r="P811" i="4"/>
  <c r="G811" i="4"/>
  <c r="H811" i="4" s="1"/>
  <c r="P810" i="4"/>
  <c r="G810" i="4"/>
  <c r="H810" i="4" s="1"/>
  <c r="P809" i="4"/>
  <c r="G809" i="4"/>
  <c r="H809" i="4" s="1"/>
  <c r="P808" i="4"/>
  <c r="G808" i="4"/>
  <c r="H808" i="4" s="1"/>
  <c r="P807" i="4"/>
  <c r="G807" i="4"/>
  <c r="H807" i="4" s="1"/>
  <c r="P806" i="4"/>
  <c r="G806" i="4"/>
  <c r="H806" i="4" s="1"/>
  <c r="P805" i="4"/>
  <c r="G805" i="4"/>
  <c r="H805" i="4" s="1"/>
  <c r="P804" i="4"/>
  <c r="G804" i="4"/>
  <c r="H804" i="4" s="1"/>
  <c r="P803" i="4"/>
  <c r="G803" i="4"/>
  <c r="H803" i="4" s="1"/>
  <c r="P802" i="4"/>
  <c r="I802" i="4"/>
  <c r="J802" i="4" s="1"/>
  <c r="L802" i="4" s="1"/>
  <c r="O802" i="4" s="1"/>
  <c r="G802" i="4"/>
  <c r="H802" i="4" s="1"/>
  <c r="P801" i="4"/>
  <c r="I801" i="4"/>
  <c r="J801" i="4" s="1"/>
  <c r="L801" i="4" s="1"/>
  <c r="O801" i="4" s="1"/>
  <c r="G801" i="4"/>
  <c r="H801" i="4" s="1"/>
  <c r="P800" i="4"/>
  <c r="I800" i="4"/>
  <c r="J800" i="4" s="1"/>
  <c r="L800" i="4" s="1"/>
  <c r="O800" i="4" s="1"/>
  <c r="G800" i="4"/>
  <c r="H800" i="4" s="1"/>
  <c r="P799" i="4"/>
  <c r="I799" i="4"/>
  <c r="J799" i="4" s="1"/>
  <c r="L799" i="4" s="1"/>
  <c r="O799" i="4" s="1"/>
  <c r="G799" i="4"/>
  <c r="H799" i="4" s="1"/>
  <c r="P798" i="4"/>
  <c r="I798" i="4"/>
  <c r="J798" i="4" s="1"/>
  <c r="L798" i="4" s="1"/>
  <c r="O798" i="4" s="1"/>
  <c r="G798" i="4"/>
  <c r="H798" i="4" s="1"/>
  <c r="P797" i="4"/>
  <c r="I797" i="4"/>
  <c r="J797" i="4" s="1"/>
  <c r="L797" i="4" s="1"/>
  <c r="O797" i="4" s="1"/>
  <c r="G797" i="4"/>
  <c r="H797" i="4" s="1"/>
  <c r="P796" i="4"/>
  <c r="I796" i="4"/>
  <c r="J796" i="4" s="1"/>
  <c r="L796" i="4" s="1"/>
  <c r="O796" i="4" s="1"/>
  <c r="G796" i="4"/>
  <c r="H796" i="4" s="1"/>
  <c r="P795" i="4"/>
  <c r="I795" i="4"/>
  <c r="J795" i="4" s="1"/>
  <c r="L795" i="4" s="1"/>
  <c r="O795" i="4" s="1"/>
  <c r="G795" i="4"/>
  <c r="H795" i="4" s="1"/>
  <c r="P794" i="4"/>
  <c r="I794" i="4"/>
  <c r="J794" i="4" s="1"/>
  <c r="L794" i="4" s="1"/>
  <c r="O794" i="4" s="1"/>
  <c r="G794" i="4"/>
  <c r="H794" i="4" s="1"/>
  <c r="P793" i="4"/>
  <c r="I793" i="4"/>
  <c r="J793" i="4" s="1"/>
  <c r="L793" i="4" s="1"/>
  <c r="O793" i="4" s="1"/>
  <c r="G793" i="4"/>
  <c r="H793" i="4" s="1"/>
  <c r="P792" i="4"/>
  <c r="I792" i="4"/>
  <c r="J792" i="4" s="1"/>
  <c r="L792" i="4" s="1"/>
  <c r="O792" i="4" s="1"/>
  <c r="G792" i="4"/>
  <c r="H792" i="4" s="1"/>
  <c r="P791" i="4"/>
  <c r="I791" i="4"/>
  <c r="J791" i="4" s="1"/>
  <c r="L791" i="4" s="1"/>
  <c r="O791" i="4" s="1"/>
  <c r="G791" i="4"/>
  <c r="H791" i="4" s="1"/>
  <c r="P790" i="4"/>
  <c r="I790" i="4"/>
  <c r="J790" i="4" s="1"/>
  <c r="L790" i="4" s="1"/>
  <c r="O790" i="4" s="1"/>
  <c r="G790" i="4"/>
  <c r="H790" i="4" s="1"/>
  <c r="P789" i="4"/>
  <c r="I789" i="4"/>
  <c r="J789" i="4" s="1"/>
  <c r="L789" i="4" s="1"/>
  <c r="O789" i="4" s="1"/>
  <c r="G789" i="4"/>
  <c r="H789" i="4" s="1"/>
  <c r="P788" i="4"/>
  <c r="I788" i="4"/>
  <c r="J788" i="4" s="1"/>
  <c r="L788" i="4" s="1"/>
  <c r="O788" i="4" s="1"/>
  <c r="G788" i="4"/>
  <c r="H788" i="4" s="1"/>
  <c r="P787" i="4"/>
  <c r="I787" i="4"/>
  <c r="J787" i="4" s="1"/>
  <c r="L787" i="4" s="1"/>
  <c r="O787" i="4" s="1"/>
  <c r="G787" i="4"/>
  <c r="H787" i="4" s="1"/>
  <c r="P786" i="4"/>
  <c r="I786" i="4"/>
  <c r="J786" i="4" s="1"/>
  <c r="L786" i="4" s="1"/>
  <c r="O786" i="4" s="1"/>
  <c r="G786" i="4"/>
  <c r="H786" i="4" s="1"/>
  <c r="P785" i="4"/>
  <c r="I785" i="4"/>
  <c r="J785" i="4" s="1"/>
  <c r="L785" i="4" s="1"/>
  <c r="O785" i="4" s="1"/>
  <c r="G785" i="4"/>
  <c r="H785" i="4" s="1"/>
  <c r="P784" i="4"/>
  <c r="I784" i="4"/>
  <c r="J784" i="4" s="1"/>
  <c r="L784" i="4" s="1"/>
  <c r="O784" i="4" s="1"/>
  <c r="G784" i="4"/>
  <c r="H784" i="4" s="1"/>
  <c r="P783" i="4"/>
  <c r="I783" i="4"/>
  <c r="J783" i="4" s="1"/>
  <c r="L783" i="4" s="1"/>
  <c r="O783" i="4" s="1"/>
  <c r="G783" i="4"/>
  <c r="H783" i="4" s="1"/>
  <c r="P782" i="4"/>
  <c r="I782" i="4"/>
  <c r="J782" i="4" s="1"/>
  <c r="L782" i="4" s="1"/>
  <c r="O782" i="4" s="1"/>
  <c r="G782" i="4"/>
  <c r="H782" i="4" s="1"/>
  <c r="P781" i="4"/>
  <c r="I781" i="4"/>
  <c r="J781" i="4" s="1"/>
  <c r="L781" i="4" s="1"/>
  <c r="O781" i="4" s="1"/>
  <c r="G781" i="4"/>
  <c r="H781" i="4" s="1"/>
  <c r="P780" i="4"/>
  <c r="I780" i="4"/>
  <c r="J780" i="4" s="1"/>
  <c r="L780" i="4" s="1"/>
  <c r="O780" i="4" s="1"/>
  <c r="G780" i="4"/>
  <c r="H780" i="4" s="1"/>
  <c r="P779" i="4"/>
  <c r="I779" i="4"/>
  <c r="J779" i="4" s="1"/>
  <c r="L779" i="4" s="1"/>
  <c r="O779" i="4" s="1"/>
  <c r="G779" i="4"/>
  <c r="H779" i="4" s="1"/>
  <c r="P778" i="4"/>
  <c r="I778" i="4"/>
  <c r="J778" i="4" s="1"/>
  <c r="L778" i="4" s="1"/>
  <c r="O778" i="4" s="1"/>
  <c r="G778" i="4"/>
  <c r="H778" i="4" s="1"/>
  <c r="P777" i="4"/>
  <c r="I777" i="4"/>
  <c r="J777" i="4" s="1"/>
  <c r="L777" i="4" s="1"/>
  <c r="O777" i="4" s="1"/>
  <c r="G777" i="4"/>
  <c r="H777" i="4" s="1"/>
  <c r="P776" i="4"/>
  <c r="I776" i="4"/>
  <c r="J776" i="4" s="1"/>
  <c r="L776" i="4" s="1"/>
  <c r="O776" i="4" s="1"/>
  <c r="G776" i="4"/>
  <c r="H776" i="4" s="1"/>
  <c r="P775" i="4"/>
  <c r="I775" i="4"/>
  <c r="J775" i="4" s="1"/>
  <c r="L775" i="4" s="1"/>
  <c r="O775" i="4" s="1"/>
  <c r="G775" i="4"/>
  <c r="H775" i="4" s="1"/>
  <c r="P774" i="4"/>
  <c r="I774" i="4"/>
  <c r="J774" i="4" s="1"/>
  <c r="L774" i="4" s="1"/>
  <c r="O774" i="4" s="1"/>
  <c r="G774" i="4"/>
  <c r="H774" i="4" s="1"/>
  <c r="P773" i="4"/>
  <c r="I773" i="4"/>
  <c r="J773" i="4" s="1"/>
  <c r="L773" i="4" s="1"/>
  <c r="O773" i="4" s="1"/>
  <c r="G773" i="4"/>
  <c r="H773" i="4" s="1"/>
  <c r="P772" i="4"/>
  <c r="I772" i="4"/>
  <c r="J772" i="4" s="1"/>
  <c r="L772" i="4" s="1"/>
  <c r="O772" i="4" s="1"/>
  <c r="G772" i="4"/>
  <c r="H772" i="4" s="1"/>
  <c r="P771" i="4"/>
  <c r="I771" i="4"/>
  <c r="J771" i="4" s="1"/>
  <c r="L771" i="4" s="1"/>
  <c r="O771" i="4" s="1"/>
  <c r="G771" i="4"/>
  <c r="H771" i="4" s="1"/>
  <c r="P770" i="4"/>
  <c r="I770" i="4"/>
  <c r="J770" i="4" s="1"/>
  <c r="L770" i="4" s="1"/>
  <c r="O770" i="4" s="1"/>
  <c r="G770" i="4"/>
  <c r="H770" i="4" s="1"/>
  <c r="P769" i="4"/>
  <c r="I769" i="4"/>
  <c r="J769" i="4" s="1"/>
  <c r="L769" i="4" s="1"/>
  <c r="O769" i="4" s="1"/>
  <c r="G769" i="4"/>
  <c r="H769" i="4" s="1"/>
  <c r="P768" i="4"/>
  <c r="I768" i="4"/>
  <c r="J768" i="4" s="1"/>
  <c r="L768" i="4" s="1"/>
  <c r="O768" i="4" s="1"/>
  <c r="G768" i="4"/>
  <c r="H768" i="4" s="1"/>
  <c r="P767" i="4"/>
  <c r="I767" i="4"/>
  <c r="J767" i="4" s="1"/>
  <c r="L767" i="4" s="1"/>
  <c r="O767" i="4" s="1"/>
  <c r="G767" i="4"/>
  <c r="H767" i="4" s="1"/>
  <c r="P766" i="4"/>
  <c r="I766" i="4"/>
  <c r="J766" i="4" s="1"/>
  <c r="L766" i="4" s="1"/>
  <c r="O766" i="4" s="1"/>
  <c r="G766" i="4"/>
  <c r="H766" i="4" s="1"/>
  <c r="P765" i="4"/>
  <c r="I765" i="4"/>
  <c r="J765" i="4" s="1"/>
  <c r="L765" i="4" s="1"/>
  <c r="O765" i="4" s="1"/>
  <c r="G765" i="4"/>
  <c r="H765" i="4" s="1"/>
  <c r="P764" i="4"/>
  <c r="I764" i="4"/>
  <c r="J764" i="4" s="1"/>
  <c r="L764" i="4" s="1"/>
  <c r="O764" i="4" s="1"/>
  <c r="G764" i="4"/>
  <c r="H764" i="4" s="1"/>
  <c r="P763" i="4"/>
  <c r="I763" i="4"/>
  <c r="J763" i="4" s="1"/>
  <c r="L763" i="4" s="1"/>
  <c r="O763" i="4" s="1"/>
  <c r="G763" i="4"/>
  <c r="H763" i="4" s="1"/>
  <c r="P762" i="4"/>
  <c r="I762" i="4"/>
  <c r="J762" i="4" s="1"/>
  <c r="L762" i="4" s="1"/>
  <c r="O762" i="4" s="1"/>
  <c r="G762" i="4"/>
  <c r="H762" i="4" s="1"/>
  <c r="P761" i="4"/>
  <c r="I761" i="4"/>
  <c r="J761" i="4" s="1"/>
  <c r="L761" i="4" s="1"/>
  <c r="O761" i="4" s="1"/>
  <c r="G761" i="4"/>
  <c r="H761" i="4" s="1"/>
  <c r="P760" i="4"/>
  <c r="I760" i="4"/>
  <c r="J760" i="4" s="1"/>
  <c r="L760" i="4" s="1"/>
  <c r="O760" i="4" s="1"/>
  <c r="G760" i="4"/>
  <c r="H760" i="4" s="1"/>
  <c r="P759" i="4"/>
  <c r="I759" i="4"/>
  <c r="J759" i="4" s="1"/>
  <c r="L759" i="4" s="1"/>
  <c r="O759" i="4" s="1"/>
  <c r="G759" i="4"/>
  <c r="H759" i="4" s="1"/>
  <c r="P758" i="4"/>
  <c r="I758" i="4"/>
  <c r="J758" i="4" s="1"/>
  <c r="L758" i="4" s="1"/>
  <c r="O758" i="4" s="1"/>
  <c r="G758" i="4"/>
  <c r="H758" i="4" s="1"/>
  <c r="P757" i="4"/>
  <c r="I757" i="4"/>
  <c r="J757" i="4" s="1"/>
  <c r="L757" i="4" s="1"/>
  <c r="O757" i="4" s="1"/>
  <c r="G757" i="4"/>
  <c r="H757" i="4" s="1"/>
  <c r="P756" i="4"/>
  <c r="I756" i="4"/>
  <c r="J756" i="4" s="1"/>
  <c r="L756" i="4" s="1"/>
  <c r="O756" i="4" s="1"/>
  <c r="G756" i="4"/>
  <c r="H756" i="4" s="1"/>
  <c r="P755" i="4"/>
  <c r="I755" i="4"/>
  <c r="J755" i="4" s="1"/>
  <c r="L755" i="4" s="1"/>
  <c r="O755" i="4" s="1"/>
  <c r="G755" i="4"/>
  <c r="H755" i="4" s="1"/>
  <c r="P754" i="4"/>
  <c r="I754" i="4"/>
  <c r="J754" i="4" s="1"/>
  <c r="L754" i="4" s="1"/>
  <c r="O754" i="4" s="1"/>
  <c r="G754" i="4"/>
  <c r="H754" i="4" s="1"/>
  <c r="P753" i="4"/>
  <c r="I753" i="4"/>
  <c r="J753" i="4" s="1"/>
  <c r="L753" i="4" s="1"/>
  <c r="O753" i="4" s="1"/>
  <c r="G753" i="4"/>
  <c r="H753" i="4" s="1"/>
  <c r="P752" i="4"/>
  <c r="I752" i="4"/>
  <c r="J752" i="4" s="1"/>
  <c r="L752" i="4" s="1"/>
  <c r="O752" i="4" s="1"/>
  <c r="G752" i="4"/>
  <c r="H752" i="4" s="1"/>
  <c r="P751" i="4"/>
  <c r="I751" i="4"/>
  <c r="J751" i="4" s="1"/>
  <c r="L751" i="4" s="1"/>
  <c r="O751" i="4" s="1"/>
  <c r="G751" i="4"/>
  <c r="H751" i="4" s="1"/>
  <c r="P750" i="4"/>
  <c r="I750" i="4"/>
  <c r="J750" i="4" s="1"/>
  <c r="L750" i="4" s="1"/>
  <c r="O750" i="4" s="1"/>
  <c r="G750" i="4"/>
  <c r="H750" i="4" s="1"/>
  <c r="P749" i="4"/>
  <c r="I749" i="4"/>
  <c r="J749" i="4" s="1"/>
  <c r="L749" i="4" s="1"/>
  <c r="O749" i="4" s="1"/>
  <c r="G749" i="4"/>
  <c r="H749" i="4" s="1"/>
  <c r="P748" i="4"/>
  <c r="I748" i="4"/>
  <c r="J748" i="4" s="1"/>
  <c r="L748" i="4" s="1"/>
  <c r="O748" i="4" s="1"/>
  <c r="G748" i="4"/>
  <c r="H748" i="4" s="1"/>
  <c r="P747" i="4"/>
  <c r="I747" i="4"/>
  <c r="J747" i="4" s="1"/>
  <c r="L747" i="4" s="1"/>
  <c r="O747" i="4" s="1"/>
  <c r="G747" i="4"/>
  <c r="H747" i="4" s="1"/>
  <c r="P746" i="4"/>
  <c r="I746" i="4"/>
  <c r="J746" i="4" s="1"/>
  <c r="L746" i="4" s="1"/>
  <c r="O746" i="4" s="1"/>
  <c r="G746" i="4"/>
  <c r="H746" i="4" s="1"/>
  <c r="P745" i="4"/>
  <c r="I745" i="4"/>
  <c r="J745" i="4" s="1"/>
  <c r="L745" i="4" s="1"/>
  <c r="O745" i="4" s="1"/>
  <c r="G745" i="4"/>
  <c r="H745" i="4" s="1"/>
  <c r="P744" i="4"/>
  <c r="I744" i="4"/>
  <c r="J744" i="4" s="1"/>
  <c r="L744" i="4" s="1"/>
  <c r="O744" i="4" s="1"/>
  <c r="G744" i="4"/>
  <c r="H744" i="4" s="1"/>
  <c r="P743" i="4"/>
  <c r="I743" i="4"/>
  <c r="J743" i="4" s="1"/>
  <c r="L743" i="4" s="1"/>
  <c r="O743" i="4" s="1"/>
  <c r="G743" i="4"/>
  <c r="H743" i="4" s="1"/>
  <c r="P742" i="4"/>
  <c r="I742" i="4"/>
  <c r="J742" i="4" s="1"/>
  <c r="L742" i="4" s="1"/>
  <c r="O742" i="4" s="1"/>
  <c r="G742" i="4"/>
  <c r="H742" i="4" s="1"/>
  <c r="P741" i="4"/>
  <c r="I741" i="4"/>
  <c r="J741" i="4" s="1"/>
  <c r="L741" i="4" s="1"/>
  <c r="O741" i="4" s="1"/>
  <c r="G741" i="4"/>
  <c r="H741" i="4" s="1"/>
  <c r="P740" i="4"/>
  <c r="I740" i="4"/>
  <c r="J740" i="4" s="1"/>
  <c r="L740" i="4" s="1"/>
  <c r="O740" i="4" s="1"/>
  <c r="G740" i="4"/>
  <c r="H740" i="4" s="1"/>
  <c r="P739" i="4"/>
  <c r="I739" i="4"/>
  <c r="J739" i="4" s="1"/>
  <c r="L739" i="4" s="1"/>
  <c r="O739" i="4" s="1"/>
  <c r="G739" i="4"/>
  <c r="H739" i="4" s="1"/>
  <c r="P738" i="4"/>
  <c r="I738" i="4"/>
  <c r="J738" i="4" s="1"/>
  <c r="L738" i="4" s="1"/>
  <c r="O738" i="4" s="1"/>
  <c r="G738" i="4"/>
  <c r="H738" i="4" s="1"/>
  <c r="P737" i="4"/>
  <c r="I737" i="4"/>
  <c r="J737" i="4" s="1"/>
  <c r="L737" i="4" s="1"/>
  <c r="O737" i="4" s="1"/>
  <c r="G737" i="4"/>
  <c r="H737" i="4" s="1"/>
  <c r="P736" i="4"/>
  <c r="I736" i="4"/>
  <c r="J736" i="4" s="1"/>
  <c r="L736" i="4" s="1"/>
  <c r="O736" i="4" s="1"/>
  <c r="G736" i="4"/>
  <c r="H736" i="4" s="1"/>
  <c r="P735" i="4"/>
  <c r="I735" i="4"/>
  <c r="J735" i="4" s="1"/>
  <c r="L735" i="4" s="1"/>
  <c r="O735" i="4" s="1"/>
  <c r="G735" i="4"/>
  <c r="H735" i="4" s="1"/>
  <c r="P734" i="4"/>
  <c r="I734" i="4"/>
  <c r="J734" i="4" s="1"/>
  <c r="L734" i="4" s="1"/>
  <c r="O734" i="4" s="1"/>
  <c r="G734" i="4"/>
  <c r="H734" i="4" s="1"/>
  <c r="P733" i="4"/>
  <c r="I733" i="4"/>
  <c r="J733" i="4" s="1"/>
  <c r="L733" i="4" s="1"/>
  <c r="O733" i="4" s="1"/>
  <c r="G733" i="4"/>
  <c r="H733" i="4" s="1"/>
  <c r="P732" i="4"/>
  <c r="I732" i="4"/>
  <c r="J732" i="4" s="1"/>
  <c r="L732" i="4" s="1"/>
  <c r="O732" i="4" s="1"/>
  <c r="G732" i="4"/>
  <c r="H732" i="4" s="1"/>
  <c r="P731" i="4"/>
  <c r="I731" i="4"/>
  <c r="J731" i="4" s="1"/>
  <c r="L731" i="4" s="1"/>
  <c r="O731" i="4" s="1"/>
  <c r="G731" i="4"/>
  <c r="H731" i="4" s="1"/>
  <c r="P730" i="4"/>
  <c r="I730" i="4"/>
  <c r="J730" i="4" s="1"/>
  <c r="L730" i="4" s="1"/>
  <c r="O730" i="4" s="1"/>
  <c r="G730" i="4"/>
  <c r="H730" i="4" s="1"/>
  <c r="P729" i="4"/>
  <c r="I729" i="4"/>
  <c r="J729" i="4" s="1"/>
  <c r="L729" i="4" s="1"/>
  <c r="O729" i="4" s="1"/>
  <c r="G729" i="4"/>
  <c r="H729" i="4" s="1"/>
  <c r="P728" i="4"/>
  <c r="I728" i="4"/>
  <c r="J728" i="4" s="1"/>
  <c r="L728" i="4" s="1"/>
  <c r="O728" i="4" s="1"/>
  <c r="G728" i="4"/>
  <c r="H728" i="4" s="1"/>
  <c r="P727" i="4"/>
  <c r="I727" i="4"/>
  <c r="J727" i="4" s="1"/>
  <c r="L727" i="4" s="1"/>
  <c r="O727" i="4" s="1"/>
  <c r="G727" i="4"/>
  <c r="H727" i="4" s="1"/>
  <c r="P726" i="4"/>
  <c r="I726" i="4"/>
  <c r="J726" i="4" s="1"/>
  <c r="L726" i="4" s="1"/>
  <c r="O726" i="4" s="1"/>
  <c r="G726" i="4"/>
  <c r="H726" i="4" s="1"/>
  <c r="P725" i="4"/>
  <c r="I725" i="4"/>
  <c r="J725" i="4" s="1"/>
  <c r="L725" i="4" s="1"/>
  <c r="O725" i="4" s="1"/>
  <c r="G725" i="4"/>
  <c r="H725" i="4" s="1"/>
  <c r="P724" i="4"/>
  <c r="I724" i="4"/>
  <c r="J724" i="4" s="1"/>
  <c r="L724" i="4" s="1"/>
  <c r="O724" i="4" s="1"/>
  <c r="G724" i="4"/>
  <c r="H724" i="4" s="1"/>
  <c r="P723" i="4"/>
  <c r="I723" i="4"/>
  <c r="J723" i="4" s="1"/>
  <c r="L723" i="4" s="1"/>
  <c r="O723" i="4" s="1"/>
  <c r="G723" i="4"/>
  <c r="H723" i="4" s="1"/>
  <c r="P722" i="4"/>
  <c r="I722" i="4"/>
  <c r="J722" i="4" s="1"/>
  <c r="L722" i="4" s="1"/>
  <c r="O722" i="4" s="1"/>
  <c r="G722" i="4"/>
  <c r="H722" i="4" s="1"/>
  <c r="P721" i="4"/>
  <c r="I721" i="4"/>
  <c r="J721" i="4" s="1"/>
  <c r="L721" i="4" s="1"/>
  <c r="O721" i="4" s="1"/>
  <c r="G721" i="4"/>
  <c r="H721" i="4" s="1"/>
  <c r="P720" i="4"/>
  <c r="I720" i="4"/>
  <c r="J720" i="4" s="1"/>
  <c r="L720" i="4" s="1"/>
  <c r="O720" i="4" s="1"/>
  <c r="G720" i="4"/>
  <c r="H720" i="4" s="1"/>
  <c r="P719" i="4"/>
  <c r="I719" i="4"/>
  <c r="J719" i="4" s="1"/>
  <c r="L719" i="4" s="1"/>
  <c r="O719" i="4" s="1"/>
  <c r="G719" i="4"/>
  <c r="H719" i="4" s="1"/>
  <c r="P718" i="4"/>
  <c r="I718" i="4"/>
  <c r="J718" i="4" s="1"/>
  <c r="L718" i="4" s="1"/>
  <c r="O718" i="4" s="1"/>
  <c r="G718" i="4"/>
  <c r="H718" i="4" s="1"/>
  <c r="P717" i="4"/>
  <c r="I717" i="4"/>
  <c r="J717" i="4" s="1"/>
  <c r="L717" i="4" s="1"/>
  <c r="O717" i="4" s="1"/>
  <c r="G717" i="4"/>
  <c r="H717" i="4" s="1"/>
  <c r="P716" i="4"/>
  <c r="I716" i="4"/>
  <c r="J716" i="4" s="1"/>
  <c r="L716" i="4" s="1"/>
  <c r="O716" i="4" s="1"/>
  <c r="G716" i="4"/>
  <c r="H716" i="4" s="1"/>
  <c r="P715" i="4"/>
  <c r="I715" i="4"/>
  <c r="J715" i="4" s="1"/>
  <c r="L715" i="4" s="1"/>
  <c r="O715" i="4" s="1"/>
  <c r="G715" i="4"/>
  <c r="H715" i="4" s="1"/>
  <c r="P714" i="4"/>
  <c r="I714" i="4"/>
  <c r="J714" i="4" s="1"/>
  <c r="L714" i="4" s="1"/>
  <c r="O714" i="4" s="1"/>
  <c r="G714" i="4"/>
  <c r="H714" i="4" s="1"/>
  <c r="P713" i="4"/>
  <c r="I713" i="4"/>
  <c r="J713" i="4" s="1"/>
  <c r="L713" i="4" s="1"/>
  <c r="O713" i="4" s="1"/>
  <c r="G713" i="4"/>
  <c r="H713" i="4" s="1"/>
  <c r="P712" i="4"/>
  <c r="I712" i="4"/>
  <c r="J712" i="4" s="1"/>
  <c r="L712" i="4" s="1"/>
  <c r="O712" i="4" s="1"/>
  <c r="G712" i="4"/>
  <c r="H712" i="4" s="1"/>
  <c r="P711" i="4"/>
  <c r="I711" i="4"/>
  <c r="J711" i="4" s="1"/>
  <c r="L711" i="4" s="1"/>
  <c r="O711" i="4" s="1"/>
  <c r="G711" i="4"/>
  <c r="H711" i="4" s="1"/>
  <c r="P710" i="4"/>
  <c r="I710" i="4"/>
  <c r="J710" i="4" s="1"/>
  <c r="L710" i="4" s="1"/>
  <c r="O710" i="4" s="1"/>
  <c r="G710" i="4"/>
  <c r="H710" i="4" s="1"/>
  <c r="P709" i="4"/>
  <c r="I709" i="4"/>
  <c r="J709" i="4" s="1"/>
  <c r="L709" i="4" s="1"/>
  <c r="O709" i="4" s="1"/>
  <c r="G709" i="4"/>
  <c r="H709" i="4" s="1"/>
  <c r="P708" i="4"/>
  <c r="I708" i="4"/>
  <c r="J708" i="4" s="1"/>
  <c r="L708" i="4" s="1"/>
  <c r="O708" i="4" s="1"/>
  <c r="G708" i="4"/>
  <c r="H708" i="4" s="1"/>
  <c r="P707" i="4"/>
  <c r="I707" i="4"/>
  <c r="J707" i="4" s="1"/>
  <c r="L707" i="4" s="1"/>
  <c r="O707" i="4" s="1"/>
  <c r="G707" i="4"/>
  <c r="H707" i="4" s="1"/>
  <c r="P706" i="4"/>
  <c r="I706" i="4"/>
  <c r="J706" i="4" s="1"/>
  <c r="L706" i="4" s="1"/>
  <c r="O706" i="4" s="1"/>
  <c r="G706" i="4"/>
  <c r="H706" i="4" s="1"/>
  <c r="P705" i="4"/>
  <c r="I705" i="4"/>
  <c r="J705" i="4" s="1"/>
  <c r="L705" i="4" s="1"/>
  <c r="O705" i="4" s="1"/>
  <c r="G705" i="4"/>
  <c r="H705" i="4" s="1"/>
  <c r="P704" i="4"/>
  <c r="I704" i="4"/>
  <c r="J704" i="4" s="1"/>
  <c r="L704" i="4" s="1"/>
  <c r="O704" i="4" s="1"/>
  <c r="G704" i="4"/>
  <c r="H704" i="4" s="1"/>
  <c r="P703" i="4"/>
  <c r="I703" i="4"/>
  <c r="J703" i="4" s="1"/>
  <c r="L703" i="4" s="1"/>
  <c r="O703" i="4" s="1"/>
  <c r="G703" i="4"/>
  <c r="H703" i="4" s="1"/>
  <c r="P702" i="4"/>
  <c r="I702" i="4"/>
  <c r="J702" i="4" s="1"/>
  <c r="L702" i="4" s="1"/>
  <c r="O702" i="4" s="1"/>
  <c r="G702" i="4"/>
  <c r="H702" i="4" s="1"/>
  <c r="P701" i="4"/>
  <c r="I701" i="4"/>
  <c r="J701" i="4" s="1"/>
  <c r="L701" i="4" s="1"/>
  <c r="O701" i="4" s="1"/>
  <c r="G701" i="4"/>
  <c r="H701" i="4" s="1"/>
  <c r="P700" i="4"/>
  <c r="I700" i="4"/>
  <c r="J700" i="4" s="1"/>
  <c r="L700" i="4" s="1"/>
  <c r="O700" i="4" s="1"/>
  <c r="G700" i="4"/>
  <c r="H700" i="4" s="1"/>
  <c r="P699" i="4"/>
  <c r="I699" i="4"/>
  <c r="J699" i="4" s="1"/>
  <c r="L699" i="4" s="1"/>
  <c r="O699" i="4" s="1"/>
  <c r="G699" i="4"/>
  <c r="H699" i="4" s="1"/>
  <c r="P698" i="4"/>
  <c r="I698" i="4"/>
  <c r="J698" i="4" s="1"/>
  <c r="L698" i="4" s="1"/>
  <c r="O698" i="4" s="1"/>
  <c r="G698" i="4"/>
  <c r="H698" i="4" s="1"/>
  <c r="P697" i="4"/>
  <c r="I697" i="4"/>
  <c r="J697" i="4" s="1"/>
  <c r="L697" i="4" s="1"/>
  <c r="O697" i="4" s="1"/>
  <c r="G697" i="4"/>
  <c r="H697" i="4" s="1"/>
  <c r="P696" i="4"/>
  <c r="I696" i="4"/>
  <c r="J696" i="4" s="1"/>
  <c r="L696" i="4" s="1"/>
  <c r="O696" i="4" s="1"/>
  <c r="G696" i="4"/>
  <c r="H696" i="4" s="1"/>
  <c r="P695" i="4"/>
  <c r="I695" i="4"/>
  <c r="J695" i="4" s="1"/>
  <c r="L695" i="4" s="1"/>
  <c r="O695" i="4" s="1"/>
  <c r="G695" i="4"/>
  <c r="H695" i="4" s="1"/>
  <c r="P694" i="4"/>
  <c r="I694" i="4"/>
  <c r="J694" i="4" s="1"/>
  <c r="L694" i="4" s="1"/>
  <c r="O694" i="4" s="1"/>
  <c r="G694" i="4"/>
  <c r="H694" i="4" s="1"/>
  <c r="P693" i="4"/>
  <c r="I693" i="4"/>
  <c r="J693" i="4" s="1"/>
  <c r="L693" i="4" s="1"/>
  <c r="O693" i="4" s="1"/>
  <c r="G693" i="4"/>
  <c r="H693" i="4" s="1"/>
  <c r="P692" i="4"/>
  <c r="I692" i="4"/>
  <c r="J692" i="4" s="1"/>
  <c r="L692" i="4" s="1"/>
  <c r="O692" i="4" s="1"/>
  <c r="G692" i="4"/>
  <c r="H692" i="4" s="1"/>
  <c r="P691" i="4"/>
  <c r="I691" i="4"/>
  <c r="J691" i="4" s="1"/>
  <c r="L691" i="4" s="1"/>
  <c r="O691" i="4" s="1"/>
  <c r="G691" i="4"/>
  <c r="H691" i="4" s="1"/>
  <c r="P690" i="4"/>
  <c r="I690" i="4"/>
  <c r="J690" i="4" s="1"/>
  <c r="L690" i="4" s="1"/>
  <c r="O690" i="4" s="1"/>
  <c r="G690" i="4"/>
  <c r="H690" i="4" s="1"/>
  <c r="P689" i="4"/>
  <c r="I689" i="4"/>
  <c r="J689" i="4" s="1"/>
  <c r="L689" i="4" s="1"/>
  <c r="O689" i="4" s="1"/>
  <c r="G689" i="4"/>
  <c r="H689" i="4" s="1"/>
  <c r="P688" i="4"/>
  <c r="I688" i="4"/>
  <c r="J688" i="4" s="1"/>
  <c r="L688" i="4" s="1"/>
  <c r="O688" i="4" s="1"/>
  <c r="G688" i="4"/>
  <c r="H688" i="4" s="1"/>
  <c r="P687" i="4"/>
  <c r="I687" i="4"/>
  <c r="J687" i="4" s="1"/>
  <c r="L687" i="4" s="1"/>
  <c r="O687" i="4" s="1"/>
  <c r="G687" i="4"/>
  <c r="H687" i="4" s="1"/>
  <c r="P686" i="4"/>
  <c r="I686" i="4"/>
  <c r="J686" i="4" s="1"/>
  <c r="L686" i="4" s="1"/>
  <c r="O686" i="4" s="1"/>
  <c r="G686" i="4"/>
  <c r="H686" i="4" s="1"/>
  <c r="P685" i="4"/>
  <c r="I685" i="4"/>
  <c r="J685" i="4" s="1"/>
  <c r="L685" i="4" s="1"/>
  <c r="O685" i="4" s="1"/>
  <c r="G685" i="4"/>
  <c r="H685" i="4" s="1"/>
  <c r="P684" i="4"/>
  <c r="I684" i="4"/>
  <c r="J684" i="4" s="1"/>
  <c r="L684" i="4" s="1"/>
  <c r="O684" i="4" s="1"/>
  <c r="G684" i="4"/>
  <c r="H684" i="4" s="1"/>
  <c r="P683" i="4"/>
  <c r="I683" i="4"/>
  <c r="J683" i="4" s="1"/>
  <c r="L683" i="4" s="1"/>
  <c r="O683" i="4" s="1"/>
  <c r="G683" i="4"/>
  <c r="H683" i="4" s="1"/>
  <c r="P682" i="4"/>
  <c r="I682" i="4"/>
  <c r="J682" i="4" s="1"/>
  <c r="L682" i="4" s="1"/>
  <c r="O682" i="4" s="1"/>
  <c r="G682" i="4"/>
  <c r="H682" i="4" s="1"/>
  <c r="P681" i="4"/>
  <c r="I681" i="4"/>
  <c r="J681" i="4" s="1"/>
  <c r="L681" i="4" s="1"/>
  <c r="O681" i="4" s="1"/>
  <c r="G681" i="4"/>
  <c r="H681" i="4" s="1"/>
  <c r="P680" i="4"/>
  <c r="I680" i="4"/>
  <c r="J680" i="4" s="1"/>
  <c r="L680" i="4" s="1"/>
  <c r="O680" i="4" s="1"/>
  <c r="G680" i="4"/>
  <c r="H680" i="4" s="1"/>
  <c r="P679" i="4"/>
  <c r="I679" i="4"/>
  <c r="J679" i="4" s="1"/>
  <c r="L679" i="4" s="1"/>
  <c r="O679" i="4" s="1"/>
  <c r="G679" i="4"/>
  <c r="H679" i="4" s="1"/>
  <c r="P678" i="4"/>
  <c r="I678" i="4"/>
  <c r="J678" i="4" s="1"/>
  <c r="L678" i="4" s="1"/>
  <c r="O678" i="4" s="1"/>
  <c r="G678" i="4"/>
  <c r="H678" i="4" s="1"/>
  <c r="P677" i="4"/>
  <c r="I677" i="4"/>
  <c r="J677" i="4" s="1"/>
  <c r="L677" i="4" s="1"/>
  <c r="O677" i="4" s="1"/>
  <c r="G677" i="4"/>
  <c r="H677" i="4" s="1"/>
  <c r="P676" i="4"/>
  <c r="I676" i="4"/>
  <c r="J676" i="4" s="1"/>
  <c r="L676" i="4" s="1"/>
  <c r="O676" i="4" s="1"/>
  <c r="G676" i="4"/>
  <c r="H676" i="4" s="1"/>
  <c r="P675" i="4"/>
  <c r="I675" i="4"/>
  <c r="J675" i="4" s="1"/>
  <c r="L675" i="4" s="1"/>
  <c r="O675" i="4" s="1"/>
  <c r="G675" i="4"/>
  <c r="H675" i="4" s="1"/>
  <c r="P674" i="4"/>
  <c r="I674" i="4"/>
  <c r="J674" i="4" s="1"/>
  <c r="L674" i="4" s="1"/>
  <c r="O674" i="4" s="1"/>
  <c r="G674" i="4"/>
  <c r="H674" i="4" s="1"/>
  <c r="P673" i="4"/>
  <c r="I673" i="4"/>
  <c r="J673" i="4" s="1"/>
  <c r="L673" i="4" s="1"/>
  <c r="O673" i="4" s="1"/>
  <c r="G673" i="4"/>
  <c r="H673" i="4" s="1"/>
  <c r="P672" i="4"/>
  <c r="I672" i="4"/>
  <c r="J672" i="4" s="1"/>
  <c r="L672" i="4" s="1"/>
  <c r="O672" i="4" s="1"/>
  <c r="G672" i="4"/>
  <c r="H672" i="4" s="1"/>
  <c r="P671" i="4"/>
  <c r="I671" i="4"/>
  <c r="J671" i="4" s="1"/>
  <c r="L671" i="4" s="1"/>
  <c r="O671" i="4" s="1"/>
  <c r="G671" i="4"/>
  <c r="H671" i="4" s="1"/>
  <c r="P670" i="4"/>
  <c r="G670" i="4"/>
  <c r="H670" i="4" s="1"/>
  <c r="P669" i="4"/>
  <c r="I669" i="4"/>
  <c r="J669" i="4" s="1"/>
  <c r="L669" i="4" s="1"/>
  <c r="O669" i="4" s="1"/>
  <c r="G669" i="4"/>
  <c r="H669" i="4" s="1"/>
  <c r="P668" i="4"/>
  <c r="I668" i="4"/>
  <c r="J668" i="4" s="1"/>
  <c r="L668" i="4" s="1"/>
  <c r="O668" i="4" s="1"/>
  <c r="G668" i="4"/>
  <c r="H668" i="4" s="1"/>
  <c r="P667" i="4"/>
  <c r="I667" i="4"/>
  <c r="J667" i="4" s="1"/>
  <c r="L667" i="4" s="1"/>
  <c r="O667" i="4" s="1"/>
  <c r="G667" i="4"/>
  <c r="H667" i="4" s="1"/>
  <c r="P666" i="4"/>
  <c r="I666" i="4"/>
  <c r="J666" i="4" s="1"/>
  <c r="L666" i="4" s="1"/>
  <c r="O666" i="4" s="1"/>
  <c r="G666" i="4"/>
  <c r="H666" i="4" s="1"/>
  <c r="P665" i="4"/>
  <c r="I665" i="4"/>
  <c r="J665" i="4" s="1"/>
  <c r="L665" i="4" s="1"/>
  <c r="O665" i="4" s="1"/>
  <c r="G665" i="4"/>
  <c r="H665" i="4" s="1"/>
  <c r="P664" i="4"/>
  <c r="I664" i="4"/>
  <c r="J664" i="4" s="1"/>
  <c r="L664" i="4" s="1"/>
  <c r="O664" i="4" s="1"/>
  <c r="G664" i="4"/>
  <c r="H664" i="4" s="1"/>
  <c r="P663" i="4"/>
  <c r="I663" i="4"/>
  <c r="J663" i="4" s="1"/>
  <c r="L663" i="4" s="1"/>
  <c r="O663" i="4" s="1"/>
  <c r="G663" i="4"/>
  <c r="H663" i="4" s="1"/>
  <c r="P662" i="4"/>
  <c r="I662" i="4"/>
  <c r="J662" i="4" s="1"/>
  <c r="L662" i="4" s="1"/>
  <c r="O662" i="4" s="1"/>
  <c r="G662" i="4"/>
  <c r="H662" i="4" s="1"/>
  <c r="P661" i="4"/>
  <c r="I661" i="4"/>
  <c r="J661" i="4" s="1"/>
  <c r="L661" i="4" s="1"/>
  <c r="O661" i="4" s="1"/>
  <c r="G661" i="4"/>
  <c r="H661" i="4" s="1"/>
  <c r="P660" i="4"/>
  <c r="I660" i="4"/>
  <c r="J660" i="4" s="1"/>
  <c r="L660" i="4" s="1"/>
  <c r="O660" i="4" s="1"/>
  <c r="G660" i="4"/>
  <c r="H660" i="4" s="1"/>
  <c r="P659" i="4"/>
  <c r="I659" i="4"/>
  <c r="J659" i="4" s="1"/>
  <c r="L659" i="4" s="1"/>
  <c r="O659" i="4" s="1"/>
  <c r="G659" i="4"/>
  <c r="H659" i="4" s="1"/>
  <c r="P658" i="4"/>
  <c r="I658" i="4"/>
  <c r="J658" i="4" s="1"/>
  <c r="L658" i="4" s="1"/>
  <c r="O658" i="4" s="1"/>
  <c r="G658" i="4"/>
  <c r="H658" i="4" s="1"/>
  <c r="P657" i="4"/>
  <c r="I657" i="4"/>
  <c r="J657" i="4" s="1"/>
  <c r="L657" i="4" s="1"/>
  <c r="O657" i="4" s="1"/>
  <c r="G657" i="4"/>
  <c r="H657" i="4" s="1"/>
  <c r="P656" i="4"/>
  <c r="I656" i="4"/>
  <c r="J656" i="4" s="1"/>
  <c r="L656" i="4" s="1"/>
  <c r="O656" i="4" s="1"/>
  <c r="G656" i="4"/>
  <c r="H656" i="4" s="1"/>
  <c r="P655" i="4"/>
  <c r="I655" i="4"/>
  <c r="J655" i="4" s="1"/>
  <c r="L655" i="4" s="1"/>
  <c r="O655" i="4" s="1"/>
  <c r="G655" i="4"/>
  <c r="H655" i="4" s="1"/>
  <c r="P654" i="4"/>
  <c r="I654" i="4"/>
  <c r="J654" i="4" s="1"/>
  <c r="L654" i="4" s="1"/>
  <c r="O654" i="4" s="1"/>
  <c r="G654" i="4"/>
  <c r="H654" i="4" s="1"/>
  <c r="P653" i="4"/>
  <c r="I653" i="4"/>
  <c r="J653" i="4" s="1"/>
  <c r="L653" i="4" s="1"/>
  <c r="O653" i="4" s="1"/>
  <c r="G653" i="4"/>
  <c r="H653" i="4" s="1"/>
  <c r="P652" i="4"/>
  <c r="I652" i="4"/>
  <c r="J652" i="4" s="1"/>
  <c r="L652" i="4" s="1"/>
  <c r="O652" i="4" s="1"/>
  <c r="G652" i="4"/>
  <c r="H652" i="4" s="1"/>
  <c r="P651" i="4"/>
  <c r="I651" i="4"/>
  <c r="J651" i="4" s="1"/>
  <c r="L651" i="4" s="1"/>
  <c r="O651" i="4" s="1"/>
  <c r="G651" i="4"/>
  <c r="H651" i="4" s="1"/>
  <c r="P650" i="4"/>
  <c r="I650" i="4"/>
  <c r="J650" i="4" s="1"/>
  <c r="L650" i="4" s="1"/>
  <c r="O650" i="4" s="1"/>
  <c r="G650" i="4"/>
  <c r="H650" i="4" s="1"/>
  <c r="P649" i="4"/>
  <c r="I649" i="4"/>
  <c r="J649" i="4" s="1"/>
  <c r="L649" i="4" s="1"/>
  <c r="O649" i="4" s="1"/>
  <c r="G649" i="4"/>
  <c r="H649" i="4" s="1"/>
  <c r="P648" i="4"/>
  <c r="I648" i="4"/>
  <c r="J648" i="4" s="1"/>
  <c r="L648" i="4" s="1"/>
  <c r="O648" i="4" s="1"/>
  <c r="G648" i="4"/>
  <c r="H648" i="4" s="1"/>
  <c r="P647" i="4"/>
  <c r="I647" i="4"/>
  <c r="J647" i="4" s="1"/>
  <c r="L647" i="4" s="1"/>
  <c r="O647" i="4" s="1"/>
  <c r="G647" i="4"/>
  <c r="H647" i="4" s="1"/>
  <c r="P646" i="4"/>
  <c r="I646" i="4"/>
  <c r="J646" i="4" s="1"/>
  <c r="L646" i="4" s="1"/>
  <c r="O646" i="4" s="1"/>
  <c r="G646" i="4"/>
  <c r="H646" i="4" s="1"/>
  <c r="P645" i="4"/>
  <c r="I645" i="4"/>
  <c r="J645" i="4" s="1"/>
  <c r="L645" i="4" s="1"/>
  <c r="O645" i="4" s="1"/>
  <c r="G645" i="4"/>
  <c r="H645" i="4" s="1"/>
  <c r="P644" i="4"/>
  <c r="I644" i="4"/>
  <c r="J644" i="4" s="1"/>
  <c r="L644" i="4" s="1"/>
  <c r="O644" i="4" s="1"/>
  <c r="G644" i="4"/>
  <c r="H644" i="4" s="1"/>
  <c r="P643" i="4"/>
  <c r="I643" i="4"/>
  <c r="J643" i="4" s="1"/>
  <c r="L643" i="4" s="1"/>
  <c r="O643" i="4" s="1"/>
  <c r="G643" i="4"/>
  <c r="H643" i="4" s="1"/>
  <c r="P642" i="4"/>
  <c r="I642" i="4"/>
  <c r="J642" i="4" s="1"/>
  <c r="L642" i="4" s="1"/>
  <c r="O642" i="4" s="1"/>
  <c r="G642" i="4"/>
  <c r="H642" i="4" s="1"/>
  <c r="P641" i="4"/>
  <c r="I641" i="4"/>
  <c r="J641" i="4" s="1"/>
  <c r="L641" i="4" s="1"/>
  <c r="O641" i="4" s="1"/>
  <c r="G641" i="4"/>
  <c r="H641" i="4" s="1"/>
  <c r="P640" i="4"/>
  <c r="I640" i="4"/>
  <c r="J640" i="4" s="1"/>
  <c r="L640" i="4" s="1"/>
  <c r="O640" i="4" s="1"/>
  <c r="G640" i="4"/>
  <c r="H640" i="4" s="1"/>
  <c r="P639" i="4"/>
  <c r="I639" i="4"/>
  <c r="J639" i="4" s="1"/>
  <c r="L639" i="4" s="1"/>
  <c r="O639" i="4" s="1"/>
  <c r="G639" i="4"/>
  <c r="H639" i="4" s="1"/>
  <c r="P638" i="4"/>
  <c r="I638" i="4"/>
  <c r="J638" i="4" s="1"/>
  <c r="L638" i="4" s="1"/>
  <c r="O638" i="4" s="1"/>
  <c r="G638" i="4"/>
  <c r="H638" i="4" s="1"/>
  <c r="P637" i="4"/>
  <c r="I637" i="4"/>
  <c r="J637" i="4" s="1"/>
  <c r="L637" i="4" s="1"/>
  <c r="O637" i="4" s="1"/>
  <c r="G637" i="4"/>
  <c r="H637" i="4" s="1"/>
  <c r="P636" i="4"/>
  <c r="I636" i="4"/>
  <c r="J636" i="4" s="1"/>
  <c r="L636" i="4" s="1"/>
  <c r="O636" i="4" s="1"/>
  <c r="G636" i="4"/>
  <c r="H636" i="4" s="1"/>
  <c r="P635" i="4"/>
  <c r="I635" i="4"/>
  <c r="J635" i="4" s="1"/>
  <c r="L635" i="4" s="1"/>
  <c r="O635" i="4" s="1"/>
  <c r="G635" i="4"/>
  <c r="H635" i="4" s="1"/>
  <c r="P634" i="4"/>
  <c r="I634" i="4"/>
  <c r="J634" i="4" s="1"/>
  <c r="L634" i="4" s="1"/>
  <c r="O634" i="4" s="1"/>
  <c r="G634" i="4"/>
  <c r="H634" i="4" s="1"/>
  <c r="P633" i="4"/>
  <c r="I633" i="4"/>
  <c r="J633" i="4" s="1"/>
  <c r="L633" i="4" s="1"/>
  <c r="O633" i="4" s="1"/>
  <c r="G633" i="4"/>
  <c r="H633" i="4" s="1"/>
  <c r="P632" i="4"/>
  <c r="I632" i="4"/>
  <c r="J632" i="4" s="1"/>
  <c r="L632" i="4" s="1"/>
  <c r="O632" i="4" s="1"/>
  <c r="G632" i="4"/>
  <c r="H632" i="4" s="1"/>
  <c r="P631" i="4"/>
  <c r="I631" i="4"/>
  <c r="J631" i="4" s="1"/>
  <c r="L631" i="4" s="1"/>
  <c r="O631" i="4" s="1"/>
  <c r="G631" i="4"/>
  <c r="H631" i="4" s="1"/>
  <c r="P630" i="4"/>
  <c r="I630" i="4"/>
  <c r="J630" i="4" s="1"/>
  <c r="L630" i="4" s="1"/>
  <c r="O630" i="4" s="1"/>
  <c r="G630" i="4"/>
  <c r="H630" i="4" s="1"/>
  <c r="P629" i="4"/>
  <c r="I629" i="4"/>
  <c r="J629" i="4" s="1"/>
  <c r="L629" i="4" s="1"/>
  <c r="O629" i="4" s="1"/>
  <c r="G629" i="4"/>
  <c r="H629" i="4" s="1"/>
  <c r="P628" i="4"/>
  <c r="I628" i="4"/>
  <c r="J628" i="4" s="1"/>
  <c r="L628" i="4" s="1"/>
  <c r="O628" i="4" s="1"/>
  <c r="G628" i="4"/>
  <c r="H628" i="4" s="1"/>
  <c r="P627" i="4"/>
  <c r="I627" i="4"/>
  <c r="J627" i="4" s="1"/>
  <c r="L627" i="4" s="1"/>
  <c r="O627" i="4" s="1"/>
  <c r="G627" i="4"/>
  <c r="H627" i="4" s="1"/>
  <c r="P626" i="4"/>
  <c r="I626" i="4"/>
  <c r="J626" i="4" s="1"/>
  <c r="L626" i="4" s="1"/>
  <c r="O626" i="4" s="1"/>
  <c r="G626" i="4"/>
  <c r="H626" i="4" s="1"/>
  <c r="P625" i="4"/>
  <c r="I625" i="4"/>
  <c r="J625" i="4" s="1"/>
  <c r="L625" i="4" s="1"/>
  <c r="O625" i="4" s="1"/>
  <c r="G625" i="4"/>
  <c r="H625" i="4" s="1"/>
  <c r="P624" i="4"/>
  <c r="I624" i="4"/>
  <c r="J624" i="4" s="1"/>
  <c r="L624" i="4" s="1"/>
  <c r="O624" i="4" s="1"/>
  <c r="G624" i="4"/>
  <c r="H624" i="4" s="1"/>
  <c r="P623" i="4"/>
  <c r="I623" i="4"/>
  <c r="J623" i="4" s="1"/>
  <c r="L623" i="4" s="1"/>
  <c r="O623" i="4" s="1"/>
  <c r="G623" i="4"/>
  <c r="H623" i="4" s="1"/>
  <c r="P622" i="4"/>
  <c r="I622" i="4"/>
  <c r="J622" i="4" s="1"/>
  <c r="L622" i="4" s="1"/>
  <c r="O622" i="4" s="1"/>
  <c r="G622" i="4"/>
  <c r="H622" i="4" s="1"/>
  <c r="P621" i="4"/>
  <c r="I621" i="4"/>
  <c r="J621" i="4" s="1"/>
  <c r="L621" i="4" s="1"/>
  <c r="O621" i="4" s="1"/>
  <c r="G621" i="4"/>
  <c r="H621" i="4" s="1"/>
  <c r="P620" i="4"/>
  <c r="I620" i="4"/>
  <c r="J620" i="4" s="1"/>
  <c r="L620" i="4" s="1"/>
  <c r="O620" i="4" s="1"/>
  <c r="G620" i="4"/>
  <c r="H620" i="4" s="1"/>
  <c r="P619" i="4"/>
  <c r="I619" i="4"/>
  <c r="J619" i="4" s="1"/>
  <c r="L619" i="4" s="1"/>
  <c r="O619" i="4" s="1"/>
  <c r="G619" i="4"/>
  <c r="H619" i="4" s="1"/>
  <c r="P618" i="4"/>
  <c r="I618" i="4"/>
  <c r="J618" i="4" s="1"/>
  <c r="L618" i="4" s="1"/>
  <c r="O618" i="4" s="1"/>
  <c r="G618" i="4"/>
  <c r="H618" i="4" s="1"/>
  <c r="P617" i="4"/>
  <c r="I617" i="4"/>
  <c r="J617" i="4" s="1"/>
  <c r="L617" i="4" s="1"/>
  <c r="O617" i="4" s="1"/>
  <c r="G617" i="4"/>
  <c r="H617" i="4" s="1"/>
  <c r="P616" i="4"/>
  <c r="I616" i="4"/>
  <c r="J616" i="4" s="1"/>
  <c r="L616" i="4" s="1"/>
  <c r="O616" i="4" s="1"/>
  <c r="G616" i="4"/>
  <c r="H616" i="4" s="1"/>
  <c r="P615" i="4"/>
  <c r="I615" i="4"/>
  <c r="J615" i="4" s="1"/>
  <c r="L615" i="4" s="1"/>
  <c r="O615" i="4" s="1"/>
  <c r="G615" i="4"/>
  <c r="H615" i="4" s="1"/>
  <c r="P614" i="4"/>
  <c r="I614" i="4"/>
  <c r="J614" i="4" s="1"/>
  <c r="L614" i="4" s="1"/>
  <c r="O614" i="4" s="1"/>
  <c r="G614" i="4"/>
  <c r="H614" i="4" s="1"/>
  <c r="P613" i="4"/>
  <c r="I613" i="4"/>
  <c r="J613" i="4" s="1"/>
  <c r="L613" i="4" s="1"/>
  <c r="O613" i="4" s="1"/>
  <c r="G613" i="4"/>
  <c r="H613" i="4" s="1"/>
  <c r="P612" i="4"/>
  <c r="I612" i="4"/>
  <c r="J612" i="4" s="1"/>
  <c r="L612" i="4" s="1"/>
  <c r="O612" i="4" s="1"/>
  <c r="G612" i="4"/>
  <c r="H612" i="4" s="1"/>
  <c r="P611" i="4"/>
  <c r="I611" i="4"/>
  <c r="J611" i="4" s="1"/>
  <c r="L611" i="4" s="1"/>
  <c r="O611" i="4" s="1"/>
  <c r="G611" i="4"/>
  <c r="H611" i="4" s="1"/>
  <c r="P610" i="4"/>
  <c r="I610" i="4"/>
  <c r="J610" i="4" s="1"/>
  <c r="L610" i="4" s="1"/>
  <c r="O610" i="4" s="1"/>
  <c r="G610" i="4"/>
  <c r="H610" i="4" s="1"/>
  <c r="P609" i="4"/>
  <c r="I609" i="4"/>
  <c r="J609" i="4" s="1"/>
  <c r="L609" i="4" s="1"/>
  <c r="O609" i="4" s="1"/>
  <c r="G609" i="4"/>
  <c r="H609" i="4" s="1"/>
  <c r="P608" i="4"/>
  <c r="I608" i="4"/>
  <c r="J608" i="4" s="1"/>
  <c r="L608" i="4" s="1"/>
  <c r="O608" i="4" s="1"/>
  <c r="G608" i="4"/>
  <c r="H608" i="4" s="1"/>
  <c r="P607" i="4"/>
  <c r="I607" i="4"/>
  <c r="J607" i="4" s="1"/>
  <c r="L607" i="4" s="1"/>
  <c r="O607" i="4" s="1"/>
  <c r="G607" i="4"/>
  <c r="H607" i="4" s="1"/>
  <c r="P606" i="4"/>
  <c r="I606" i="4"/>
  <c r="J606" i="4" s="1"/>
  <c r="L606" i="4" s="1"/>
  <c r="O606" i="4" s="1"/>
  <c r="G606" i="4"/>
  <c r="H606" i="4" s="1"/>
  <c r="P605" i="4"/>
  <c r="I605" i="4"/>
  <c r="J605" i="4" s="1"/>
  <c r="L605" i="4" s="1"/>
  <c r="O605" i="4" s="1"/>
  <c r="G605" i="4"/>
  <c r="H605" i="4" s="1"/>
  <c r="P604" i="4"/>
  <c r="I604" i="4"/>
  <c r="J604" i="4" s="1"/>
  <c r="L604" i="4" s="1"/>
  <c r="O604" i="4" s="1"/>
  <c r="G604" i="4"/>
  <c r="H604" i="4" s="1"/>
  <c r="P603" i="4"/>
  <c r="I603" i="4"/>
  <c r="J603" i="4" s="1"/>
  <c r="L603" i="4" s="1"/>
  <c r="O603" i="4" s="1"/>
  <c r="G603" i="4"/>
  <c r="H603" i="4" s="1"/>
  <c r="P602" i="4"/>
  <c r="I602" i="4"/>
  <c r="J602" i="4" s="1"/>
  <c r="L602" i="4" s="1"/>
  <c r="O602" i="4" s="1"/>
  <c r="G602" i="4"/>
  <c r="H602" i="4" s="1"/>
  <c r="P601" i="4"/>
  <c r="I601" i="4"/>
  <c r="J601" i="4" s="1"/>
  <c r="L601" i="4" s="1"/>
  <c r="O601" i="4" s="1"/>
  <c r="G601" i="4"/>
  <c r="H601" i="4" s="1"/>
  <c r="P600" i="4"/>
  <c r="I600" i="4"/>
  <c r="J600" i="4" s="1"/>
  <c r="L600" i="4" s="1"/>
  <c r="O600" i="4" s="1"/>
  <c r="G600" i="4"/>
  <c r="H600" i="4" s="1"/>
  <c r="P599" i="4"/>
  <c r="I599" i="4"/>
  <c r="J599" i="4" s="1"/>
  <c r="L599" i="4" s="1"/>
  <c r="O599" i="4" s="1"/>
  <c r="G599" i="4"/>
  <c r="H599" i="4" s="1"/>
  <c r="P598" i="4"/>
  <c r="I598" i="4"/>
  <c r="J598" i="4" s="1"/>
  <c r="L598" i="4" s="1"/>
  <c r="O598" i="4" s="1"/>
  <c r="G598" i="4"/>
  <c r="H598" i="4" s="1"/>
  <c r="P597" i="4"/>
  <c r="I597" i="4"/>
  <c r="J597" i="4" s="1"/>
  <c r="L597" i="4" s="1"/>
  <c r="O597" i="4" s="1"/>
  <c r="G597" i="4"/>
  <c r="H597" i="4" s="1"/>
  <c r="P596" i="4"/>
  <c r="I596" i="4"/>
  <c r="J596" i="4" s="1"/>
  <c r="L596" i="4" s="1"/>
  <c r="O596" i="4" s="1"/>
  <c r="G596" i="4"/>
  <c r="H596" i="4" s="1"/>
  <c r="P595" i="4"/>
  <c r="I595" i="4"/>
  <c r="J595" i="4" s="1"/>
  <c r="L595" i="4" s="1"/>
  <c r="O595" i="4" s="1"/>
  <c r="G595" i="4"/>
  <c r="H595" i="4" s="1"/>
  <c r="P594" i="4"/>
  <c r="I594" i="4"/>
  <c r="J594" i="4" s="1"/>
  <c r="L594" i="4" s="1"/>
  <c r="O594" i="4" s="1"/>
  <c r="G594" i="4"/>
  <c r="H594" i="4" s="1"/>
  <c r="P593" i="4"/>
  <c r="I593" i="4"/>
  <c r="J593" i="4" s="1"/>
  <c r="L593" i="4" s="1"/>
  <c r="O593" i="4" s="1"/>
  <c r="G593" i="4"/>
  <c r="H593" i="4" s="1"/>
  <c r="P592" i="4"/>
  <c r="I592" i="4"/>
  <c r="J592" i="4" s="1"/>
  <c r="L592" i="4" s="1"/>
  <c r="O592" i="4" s="1"/>
  <c r="G592" i="4"/>
  <c r="H592" i="4" s="1"/>
  <c r="P591" i="4"/>
  <c r="I591" i="4"/>
  <c r="J591" i="4" s="1"/>
  <c r="L591" i="4" s="1"/>
  <c r="O591" i="4" s="1"/>
  <c r="G591" i="4"/>
  <c r="H591" i="4" s="1"/>
  <c r="P590" i="4"/>
  <c r="I590" i="4"/>
  <c r="J590" i="4" s="1"/>
  <c r="L590" i="4" s="1"/>
  <c r="O590" i="4" s="1"/>
  <c r="G590" i="4"/>
  <c r="H590" i="4" s="1"/>
  <c r="P589" i="4"/>
  <c r="I589" i="4"/>
  <c r="J589" i="4" s="1"/>
  <c r="L589" i="4" s="1"/>
  <c r="O589" i="4" s="1"/>
  <c r="G589" i="4"/>
  <c r="H589" i="4" s="1"/>
  <c r="P588" i="4"/>
  <c r="I588" i="4"/>
  <c r="J588" i="4" s="1"/>
  <c r="L588" i="4" s="1"/>
  <c r="O588" i="4" s="1"/>
  <c r="G588" i="4"/>
  <c r="H588" i="4" s="1"/>
  <c r="P587" i="4"/>
  <c r="I587" i="4"/>
  <c r="J587" i="4" s="1"/>
  <c r="L587" i="4" s="1"/>
  <c r="O587" i="4" s="1"/>
  <c r="G587" i="4"/>
  <c r="H587" i="4" s="1"/>
  <c r="P586" i="4"/>
  <c r="I586" i="4"/>
  <c r="J586" i="4" s="1"/>
  <c r="L586" i="4" s="1"/>
  <c r="O586" i="4" s="1"/>
  <c r="G586" i="4"/>
  <c r="H586" i="4" s="1"/>
  <c r="P585" i="4"/>
  <c r="I585" i="4"/>
  <c r="J585" i="4" s="1"/>
  <c r="L585" i="4" s="1"/>
  <c r="O585" i="4" s="1"/>
  <c r="G585" i="4"/>
  <c r="H585" i="4" s="1"/>
  <c r="P584" i="4"/>
  <c r="I584" i="4"/>
  <c r="J584" i="4" s="1"/>
  <c r="L584" i="4" s="1"/>
  <c r="O584" i="4" s="1"/>
  <c r="G584" i="4"/>
  <c r="H584" i="4" s="1"/>
  <c r="P583" i="4"/>
  <c r="I583" i="4"/>
  <c r="J583" i="4" s="1"/>
  <c r="L583" i="4" s="1"/>
  <c r="O583" i="4" s="1"/>
  <c r="G583" i="4"/>
  <c r="H583" i="4" s="1"/>
  <c r="P582" i="4"/>
  <c r="I582" i="4"/>
  <c r="J582" i="4" s="1"/>
  <c r="L582" i="4" s="1"/>
  <c r="O582" i="4" s="1"/>
  <c r="G582" i="4"/>
  <c r="H582" i="4" s="1"/>
  <c r="P581" i="4"/>
  <c r="I581" i="4"/>
  <c r="J581" i="4" s="1"/>
  <c r="L581" i="4" s="1"/>
  <c r="O581" i="4" s="1"/>
  <c r="G581" i="4"/>
  <c r="H581" i="4" s="1"/>
  <c r="P580" i="4"/>
  <c r="I580" i="4"/>
  <c r="J580" i="4" s="1"/>
  <c r="L580" i="4" s="1"/>
  <c r="O580" i="4" s="1"/>
  <c r="G580" i="4"/>
  <c r="H580" i="4" s="1"/>
  <c r="P579" i="4"/>
  <c r="I579" i="4"/>
  <c r="J579" i="4" s="1"/>
  <c r="L579" i="4" s="1"/>
  <c r="O579" i="4" s="1"/>
  <c r="G579" i="4"/>
  <c r="H579" i="4" s="1"/>
  <c r="P578" i="4"/>
  <c r="I578" i="4"/>
  <c r="J578" i="4" s="1"/>
  <c r="L578" i="4" s="1"/>
  <c r="O578" i="4" s="1"/>
  <c r="G578" i="4"/>
  <c r="H578" i="4" s="1"/>
  <c r="P577" i="4"/>
  <c r="I577" i="4"/>
  <c r="J577" i="4" s="1"/>
  <c r="L577" i="4" s="1"/>
  <c r="O577" i="4" s="1"/>
  <c r="G577" i="4"/>
  <c r="H577" i="4" s="1"/>
  <c r="P576" i="4"/>
  <c r="I576" i="4"/>
  <c r="J576" i="4" s="1"/>
  <c r="L576" i="4" s="1"/>
  <c r="O576" i="4" s="1"/>
  <c r="G576" i="4"/>
  <c r="H576" i="4" s="1"/>
  <c r="P575" i="4"/>
  <c r="I575" i="4"/>
  <c r="J575" i="4" s="1"/>
  <c r="L575" i="4" s="1"/>
  <c r="O575" i="4" s="1"/>
  <c r="G575" i="4"/>
  <c r="H575" i="4" s="1"/>
  <c r="P574" i="4"/>
  <c r="I574" i="4"/>
  <c r="J574" i="4" s="1"/>
  <c r="L574" i="4" s="1"/>
  <c r="O574" i="4" s="1"/>
  <c r="G574" i="4"/>
  <c r="H574" i="4" s="1"/>
  <c r="P573" i="4"/>
  <c r="I573" i="4"/>
  <c r="J573" i="4" s="1"/>
  <c r="L573" i="4" s="1"/>
  <c r="O573" i="4" s="1"/>
  <c r="G573" i="4"/>
  <c r="H573" i="4" s="1"/>
  <c r="P572" i="4"/>
  <c r="I572" i="4"/>
  <c r="J572" i="4" s="1"/>
  <c r="L572" i="4" s="1"/>
  <c r="O572" i="4" s="1"/>
  <c r="G572" i="4"/>
  <c r="H572" i="4" s="1"/>
  <c r="P571" i="4"/>
  <c r="I571" i="4"/>
  <c r="J571" i="4" s="1"/>
  <c r="L571" i="4" s="1"/>
  <c r="O571" i="4" s="1"/>
  <c r="G571" i="4"/>
  <c r="H571" i="4" s="1"/>
  <c r="P570" i="4"/>
  <c r="I570" i="4"/>
  <c r="J570" i="4" s="1"/>
  <c r="L570" i="4" s="1"/>
  <c r="O570" i="4" s="1"/>
  <c r="G570" i="4"/>
  <c r="H570" i="4" s="1"/>
  <c r="P569" i="4"/>
  <c r="I569" i="4"/>
  <c r="J569" i="4" s="1"/>
  <c r="L569" i="4" s="1"/>
  <c r="O569" i="4" s="1"/>
  <c r="G569" i="4"/>
  <c r="H569" i="4" s="1"/>
  <c r="P568" i="4"/>
  <c r="I568" i="4"/>
  <c r="J568" i="4" s="1"/>
  <c r="L568" i="4" s="1"/>
  <c r="O568" i="4" s="1"/>
  <c r="G568" i="4"/>
  <c r="H568" i="4" s="1"/>
  <c r="P567" i="4"/>
  <c r="I567" i="4"/>
  <c r="J567" i="4" s="1"/>
  <c r="L567" i="4" s="1"/>
  <c r="O567" i="4" s="1"/>
  <c r="G567" i="4"/>
  <c r="H567" i="4" s="1"/>
  <c r="P566" i="4"/>
  <c r="I566" i="4"/>
  <c r="J566" i="4" s="1"/>
  <c r="L566" i="4" s="1"/>
  <c r="O566" i="4" s="1"/>
  <c r="G566" i="4"/>
  <c r="H566" i="4" s="1"/>
  <c r="P565" i="4"/>
  <c r="I565" i="4"/>
  <c r="J565" i="4" s="1"/>
  <c r="L565" i="4" s="1"/>
  <c r="O565" i="4" s="1"/>
  <c r="G565" i="4"/>
  <c r="H565" i="4" s="1"/>
  <c r="P564" i="4"/>
  <c r="I564" i="4"/>
  <c r="J564" i="4" s="1"/>
  <c r="L564" i="4" s="1"/>
  <c r="O564" i="4" s="1"/>
  <c r="G564" i="4"/>
  <c r="H564" i="4" s="1"/>
  <c r="P563" i="4"/>
  <c r="I563" i="4"/>
  <c r="J563" i="4" s="1"/>
  <c r="L563" i="4" s="1"/>
  <c r="O563" i="4" s="1"/>
  <c r="G563" i="4"/>
  <c r="H563" i="4" s="1"/>
  <c r="P562" i="4"/>
  <c r="I562" i="4"/>
  <c r="J562" i="4" s="1"/>
  <c r="L562" i="4" s="1"/>
  <c r="O562" i="4" s="1"/>
  <c r="G562" i="4"/>
  <c r="H562" i="4" s="1"/>
  <c r="P561" i="4"/>
  <c r="I561" i="4"/>
  <c r="J561" i="4" s="1"/>
  <c r="L561" i="4" s="1"/>
  <c r="O561" i="4" s="1"/>
  <c r="G561" i="4"/>
  <c r="H561" i="4" s="1"/>
  <c r="P560" i="4"/>
  <c r="I560" i="4"/>
  <c r="J560" i="4" s="1"/>
  <c r="L560" i="4" s="1"/>
  <c r="O560" i="4" s="1"/>
  <c r="G560" i="4"/>
  <c r="H560" i="4" s="1"/>
  <c r="P559" i="4"/>
  <c r="I559" i="4"/>
  <c r="J559" i="4" s="1"/>
  <c r="L559" i="4" s="1"/>
  <c r="O559" i="4" s="1"/>
  <c r="G559" i="4"/>
  <c r="H559" i="4" s="1"/>
  <c r="P558" i="4"/>
  <c r="I558" i="4"/>
  <c r="J558" i="4" s="1"/>
  <c r="L558" i="4" s="1"/>
  <c r="O558" i="4" s="1"/>
  <c r="G558" i="4"/>
  <c r="H558" i="4" s="1"/>
  <c r="P557" i="4"/>
  <c r="I557" i="4"/>
  <c r="J557" i="4" s="1"/>
  <c r="L557" i="4" s="1"/>
  <c r="O557" i="4" s="1"/>
  <c r="G557" i="4"/>
  <c r="H557" i="4" s="1"/>
  <c r="P556" i="4"/>
  <c r="I556" i="4"/>
  <c r="J556" i="4" s="1"/>
  <c r="L556" i="4" s="1"/>
  <c r="O556" i="4" s="1"/>
  <c r="G556" i="4"/>
  <c r="H556" i="4" s="1"/>
  <c r="P555" i="4"/>
  <c r="I555" i="4"/>
  <c r="J555" i="4" s="1"/>
  <c r="L555" i="4" s="1"/>
  <c r="O555" i="4" s="1"/>
  <c r="G555" i="4"/>
  <c r="H555" i="4" s="1"/>
  <c r="P554" i="4"/>
  <c r="I554" i="4"/>
  <c r="J554" i="4" s="1"/>
  <c r="L554" i="4" s="1"/>
  <c r="O554" i="4" s="1"/>
  <c r="G554" i="4"/>
  <c r="H554" i="4" s="1"/>
  <c r="P553" i="4"/>
  <c r="I553" i="4"/>
  <c r="J553" i="4" s="1"/>
  <c r="L553" i="4" s="1"/>
  <c r="O553" i="4" s="1"/>
  <c r="G553" i="4"/>
  <c r="H553" i="4" s="1"/>
  <c r="P552" i="4"/>
  <c r="I552" i="4"/>
  <c r="J552" i="4" s="1"/>
  <c r="L552" i="4" s="1"/>
  <c r="O552" i="4" s="1"/>
  <c r="G552" i="4"/>
  <c r="H552" i="4" s="1"/>
  <c r="P551" i="4"/>
  <c r="I551" i="4"/>
  <c r="J551" i="4" s="1"/>
  <c r="L551" i="4" s="1"/>
  <c r="O551" i="4" s="1"/>
  <c r="G551" i="4"/>
  <c r="H551" i="4" s="1"/>
  <c r="P550" i="4"/>
  <c r="I550" i="4"/>
  <c r="J550" i="4" s="1"/>
  <c r="L550" i="4" s="1"/>
  <c r="O550" i="4" s="1"/>
  <c r="G550" i="4"/>
  <c r="H550" i="4" s="1"/>
  <c r="P549" i="4"/>
  <c r="I549" i="4"/>
  <c r="J549" i="4" s="1"/>
  <c r="L549" i="4" s="1"/>
  <c r="O549" i="4" s="1"/>
  <c r="G549" i="4"/>
  <c r="H549" i="4" s="1"/>
  <c r="P548" i="4"/>
  <c r="I548" i="4"/>
  <c r="J548" i="4" s="1"/>
  <c r="L548" i="4" s="1"/>
  <c r="O548" i="4" s="1"/>
  <c r="G548" i="4"/>
  <c r="H548" i="4" s="1"/>
  <c r="P547" i="4"/>
  <c r="I547" i="4"/>
  <c r="J547" i="4" s="1"/>
  <c r="L547" i="4" s="1"/>
  <c r="O547" i="4" s="1"/>
  <c r="G547" i="4"/>
  <c r="H547" i="4" s="1"/>
  <c r="P546" i="4"/>
  <c r="I546" i="4"/>
  <c r="J546" i="4" s="1"/>
  <c r="L546" i="4" s="1"/>
  <c r="O546" i="4" s="1"/>
  <c r="G546" i="4"/>
  <c r="H546" i="4" s="1"/>
  <c r="P545" i="4"/>
  <c r="I545" i="4"/>
  <c r="J545" i="4" s="1"/>
  <c r="L545" i="4" s="1"/>
  <c r="O545" i="4" s="1"/>
  <c r="G545" i="4"/>
  <c r="H545" i="4" s="1"/>
  <c r="P544" i="4"/>
  <c r="I544" i="4"/>
  <c r="J544" i="4" s="1"/>
  <c r="L544" i="4" s="1"/>
  <c r="O544" i="4" s="1"/>
  <c r="G544" i="4"/>
  <c r="H544" i="4" s="1"/>
  <c r="P543" i="4"/>
  <c r="I543" i="4"/>
  <c r="J543" i="4" s="1"/>
  <c r="L543" i="4" s="1"/>
  <c r="O543" i="4" s="1"/>
  <c r="G543" i="4"/>
  <c r="H543" i="4" s="1"/>
  <c r="P542" i="4"/>
  <c r="I542" i="4"/>
  <c r="J542" i="4" s="1"/>
  <c r="L542" i="4" s="1"/>
  <c r="O542" i="4" s="1"/>
  <c r="G542" i="4"/>
  <c r="H542" i="4" s="1"/>
  <c r="P541" i="4"/>
  <c r="I541" i="4"/>
  <c r="J541" i="4" s="1"/>
  <c r="L541" i="4" s="1"/>
  <c r="O541" i="4" s="1"/>
  <c r="G541" i="4"/>
  <c r="H541" i="4" s="1"/>
  <c r="P540" i="4"/>
  <c r="I540" i="4"/>
  <c r="J540" i="4" s="1"/>
  <c r="L540" i="4" s="1"/>
  <c r="O540" i="4" s="1"/>
  <c r="G540" i="4"/>
  <c r="H540" i="4" s="1"/>
  <c r="P539" i="4"/>
  <c r="I539" i="4"/>
  <c r="J539" i="4" s="1"/>
  <c r="L539" i="4" s="1"/>
  <c r="O539" i="4" s="1"/>
  <c r="G539" i="4"/>
  <c r="H539" i="4" s="1"/>
  <c r="P538" i="4"/>
  <c r="I538" i="4"/>
  <c r="J538" i="4" s="1"/>
  <c r="L538" i="4" s="1"/>
  <c r="O538" i="4" s="1"/>
  <c r="G538" i="4"/>
  <c r="H538" i="4" s="1"/>
  <c r="P537" i="4"/>
  <c r="I537" i="4"/>
  <c r="J537" i="4" s="1"/>
  <c r="L537" i="4" s="1"/>
  <c r="O537" i="4" s="1"/>
  <c r="G537" i="4"/>
  <c r="H537" i="4" s="1"/>
  <c r="P536" i="4"/>
  <c r="I536" i="4"/>
  <c r="J536" i="4" s="1"/>
  <c r="L536" i="4" s="1"/>
  <c r="O536" i="4" s="1"/>
  <c r="G536" i="4"/>
  <c r="H536" i="4" s="1"/>
  <c r="P535" i="4"/>
  <c r="I535" i="4"/>
  <c r="J535" i="4" s="1"/>
  <c r="L535" i="4" s="1"/>
  <c r="O535" i="4" s="1"/>
  <c r="G535" i="4"/>
  <c r="H535" i="4" s="1"/>
  <c r="P534" i="4"/>
  <c r="I534" i="4"/>
  <c r="J534" i="4" s="1"/>
  <c r="L534" i="4" s="1"/>
  <c r="O534" i="4" s="1"/>
  <c r="G534" i="4"/>
  <c r="H534" i="4" s="1"/>
  <c r="P533" i="4"/>
  <c r="I533" i="4"/>
  <c r="J533" i="4" s="1"/>
  <c r="L533" i="4" s="1"/>
  <c r="O533" i="4" s="1"/>
  <c r="G533" i="4"/>
  <c r="H533" i="4" s="1"/>
  <c r="P532" i="4"/>
  <c r="I532" i="4"/>
  <c r="J532" i="4" s="1"/>
  <c r="L532" i="4" s="1"/>
  <c r="O532" i="4" s="1"/>
  <c r="G532" i="4"/>
  <c r="H532" i="4" s="1"/>
  <c r="P531" i="4"/>
  <c r="I531" i="4"/>
  <c r="J531" i="4" s="1"/>
  <c r="L531" i="4" s="1"/>
  <c r="O531" i="4" s="1"/>
  <c r="G531" i="4"/>
  <c r="H531" i="4" s="1"/>
  <c r="P530" i="4"/>
  <c r="I530" i="4"/>
  <c r="J530" i="4" s="1"/>
  <c r="L530" i="4" s="1"/>
  <c r="O530" i="4" s="1"/>
  <c r="G530" i="4"/>
  <c r="H530" i="4" s="1"/>
  <c r="P529" i="4"/>
  <c r="I529" i="4"/>
  <c r="J529" i="4" s="1"/>
  <c r="L529" i="4" s="1"/>
  <c r="O529" i="4" s="1"/>
  <c r="G529" i="4"/>
  <c r="H529" i="4" s="1"/>
  <c r="P528" i="4"/>
  <c r="I528" i="4"/>
  <c r="J528" i="4" s="1"/>
  <c r="L528" i="4" s="1"/>
  <c r="O528" i="4" s="1"/>
  <c r="G528" i="4"/>
  <c r="H528" i="4" s="1"/>
  <c r="P527" i="4"/>
  <c r="I527" i="4"/>
  <c r="J527" i="4" s="1"/>
  <c r="L527" i="4" s="1"/>
  <c r="O527" i="4" s="1"/>
  <c r="G527" i="4"/>
  <c r="H527" i="4" s="1"/>
  <c r="P526" i="4"/>
  <c r="I526" i="4"/>
  <c r="J526" i="4" s="1"/>
  <c r="L526" i="4" s="1"/>
  <c r="O526" i="4" s="1"/>
  <c r="G526" i="4"/>
  <c r="H526" i="4" s="1"/>
  <c r="P525" i="4"/>
  <c r="I525" i="4"/>
  <c r="J525" i="4" s="1"/>
  <c r="L525" i="4" s="1"/>
  <c r="O525" i="4" s="1"/>
  <c r="G525" i="4"/>
  <c r="H525" i="4" s="1"/>
  <c r="P524" i="4"/>
  <c r="I524" i="4"/>
  <c r="J524" i="4" s="1"/>
  <c r="L524" i="4" s="1"/>
  <c r="O524" i="4" s="1"/>
  <c r="G524" i="4"/>
  <c r="H524" i="4" s="1"/>
  <c r="P523" i="4"/>
  <c r="I523" i="4"/>
  <c r="J523" i="4" s="1"/>
  <c r="L523" i="4" s="1"/>
  <c r="O523" i="4" s="1"/>
  <c r="G523" i="4"/>
  <c r="H523" i="4" s="1"/>
  <c r="P522" i="4"/>
  <c r="I522" i="4"/>
  <c r="J522" i="4" s="1"/>
  <c r="L522" i="4" s="1"/>
  <c r="O522" i="4" s="1"/>
  <c r="G522" i="4"/>
  <c r="H522" i="4" s="1"/>
  <c r="P521" i="4"/>
  <c r="I521" i="4"/>
  <c r="J521" i="4" s="1"/>
  <c r="L521" i="4" s="1"/>
  <c r="O521" i="4" s="1"/>
  <c r="G521" i="4"/>
  <c r="H521" i="4" s="1"/>
  <c r="P520" i="4"/>
  <c r="I520" i="4"/>
  <c r="J520" i="4" s="1"/>
  <c r="L520" i="4" s="1"/>
  <c r="O520" i="4" s="1"/>
  <c r="G520" i="4"/>
  <c r="H520" i="4" s="1"/>
  <c r="P519" i="4"/>
  <c r="I519" i="4"/>
  <c r="J519" i="4" s="1"/>
  <c r="L519" i="4" s="1"/>
  <c r="O519" i="4" s="1"/>
  <c r="G519" i="4"/>
  <c r="H519" i="4" s="1"/>
  <c r="P518" i="4"/>
  <c r="I518" i="4"/>
  <c r="J518" i="4" s="1"/>
  <c r="L518" i="4" s="1"/>
  <c r="O518" i="4" s="1"/>
  <c r="G518" i="4"/>
  <c r="H518" i="4" s="1"/>
  <c r="P517" i="4"/>
  <c r="I517" i="4"/>
  <c r="J517" i="4" s="1"/>
  <c r="L517" i="4" s="1"/>
  <c r="O517" i="4" s="1"/>
  <c r="G517" i="4"/>
  <c r="H517" i="4" s="1"/>
  <c r="P516" i="4"/>
  <c r="I516" i="4"/>
  <c r="J516" i="4" s="1"/>
  <c r="L516" i="4" s="1"/>
  <c r="O516" i="4" s="1"/>
  <c r="G516" i="4"/>
  <c r="H516" i="4" s="1"/>
  <c r="P515" i="4"/>
  <c r="I515" i="4"/>
  <c r="J515" i="4" s="1"/>
  <c r="L515" i="4" s="1"/>
  <c r="O515" i="4" s="1"/>
  <c r="G515" i="4"/>
  <c r="H515" i="4" s="1"/>
  <c r="P514" i="4"/>
  <c r="I514" i="4"/>
  <c r="J514" i="4" s="1"/>
  <c r="L514" i="4" s="1"/>
  <c r="O514" i="4" s="1"/>
  <c r="G514" i="4"/>
  <c r="H514" i="4" s="1"/>
  <c r="P513" i="4"/>
  <c r="I513" i="4"/>
  <c r="J513" i="4" s="1"/>
  <c r="L513" i="4" s="1"/>
  <c r="O513" i="4" s="1"/>
  <c r="G513" i="4"/>
  <c r="H513" i="4" s="1"/>
  <c r="P512" i="4"/>
  <c r="I512" i="4"/>
  <c r="J512" i="4" s="1"/>
  <c r="L512" i="4" s="1"/>
  <c r="O512" i="4" s="1"/>
  <c r="G512" i="4"/>
  <c r="H512" i="4" s="1"/>
  <c r="P511" i="4"/>
  <c r="I511" i="4"/>
  <c r="J511" i="4" s="1"/>
  <c r="L511" i="4" s="1"/>
  <c r="O511" i="4" s="1"/>
  <c r="G511" i="4"/>
  <c r="H511" i="4" s="1"/>
  <c r="P510" i="4"/>
  <c r="I510" i="4"/>
  <c r="J510" i="4" s="1"/>
  <c r="L510" i="4" s="1"/>
  <c r="O510" i="4" s="1"/>
  <c r="H510" i="4"/>
  <c r="G510" i="4"/>
  <c r="P509" i="4"/>
  <c r="G509" i="4"/>
  <c r="H509" i="4" s="1"/>
  <c r="P508" i="4"/>
  <c r="I508" i="4"/>
  <c r="J508" i="4" s="1"/>
  <c r="L508" i="4" s="1"/>
  <c r="O508" i="4" s="1"/>
  <c r="G508" i="4"/>
  <c r="H508" i="4" s="1"/>
  <c r="P507" i="4"/>
  <c r="I507" i="4"/>
  <c r="J507" i="4" s="1"/>
  <c r="L507" i="4" s="1"/>
  <c r="O507" i="4" s="1"/>
  <c r="G507" i="4"/>
  <c r="H507" i="4" s="1"/>
  <c r="P506" i="4"/>
  <c r="I506" i="4"/>
  <c r="J506" i="4" s="1"/>
  <c r="L506" i="4" s="1"/>
  <c r="O506" i="4" s="1"/>
  <c r="G506" i="4"/>
  <c r="H506" i="4" s="1"/>
  <c r="P505" i="4"/>
  <c r="I505" i="4"/>
  <c r="J505" i="4" s="1"/>
  <c r="L505" i="4" s="1"/>
  <c r="O505" i="4" s="1"/>
  <c r="G505" i="4"/>
  <c r="H505" i="4" s="1"/>
  <c r="P504" i="4"/>
  <c r="I504" i="4"/>
  <c r="J504" i="4" s="1"/>
  <c r="L504" i="4" s="1"/>
  <c r="O504" i="4" s="1"/>
  <c r="G504" i="4"/>
  <c r="H504" i="4" s="1"/>
  <c r="P503" i="4"/>
  <c r="I503" i="4"/>
  <c r="J503" i="4" s="1"/>
  <c r="L503" i="4" s="1"/>
  <c r="O503" i="4" s="1"/>
  <c r="G503" i="4"/>
  <c r="H503" i="4" s="1"/>
  <c r="P502" i="4"/>
  <c r="I502" i="4"/>
  <c r="J502" i="4" s="1"/>
  <c r="L502" i="4" s="1"/>
  <c r="O502" i="4" s="1"/>
  <c r="G502" i="4"/>
  <c r="H502" i="4" s="1"/>
  <c r="P501" i="4"/>
  <c r="I501" i="4"/>
  <c r="J501" i="4" s="1"/>
  <c r="L501" i="4" s="1"/>
  <c r="O501" i="4" s="1"/>
  <c r="G501" i="4"/>
  <c r="H501" i="4" s="1"/>
  <c r="P500" i="4"/>
  <c r="I500" i="4"/>
  <c r="J500" i="4" s="1"/>
  <c r="L500" i="4" s="1"/>
  <c r="O500" i="4" s="1"/>
  <c r="G500" i="4"/>
  <c r="H500" i="4" s="1"/>
  <c r="P499" i="4"/>
  <c r="I499" i="4"/>
  <c r="J499" i="4" s="1"/>
  <c r="L499" i="4" s="1"/>
  <c r="O499" i="4" s="1"/>
  <c r="G499" i="4"/>
  <c r="H499" i="4" s="1"/>
  <c r="P498" i="4"/>
  <c r="I498" i="4"/>
  <c r="J498" i="4" s="1"/>
  <c r="L498" i="4" s="1"/>
  <c r="O498" i="4" s="1"/>
  <c r="G498" i="4"/>
  <c r="H498" i="4" s="1"/>
  <c r="P497" i="4"/>
  <c r="I497" i="4"/>
  <c r="J497" i="4" s="1"/>
  <c r="L497" i="4" s="1"/>
  <c r="O497" i="4" s="1"/>
  <c r="G497" i="4"/>
  <c r="H497" i="4" s="1"/>
  <c r="P496" i="4"/>
  <c r="I496" i="4"/>
  <c r="J496" i="4" s="1"/>
  <c r="L496" i="4" s="1"/>
  <c r="O496" i="4" s="1"/>
  <c r="G496" i="4"/>
  <c r="H496" i="4" s="1"/>
  <c r="P495" i="4"/>
  <c r="I495" i="4"/>
  <c r="J495" i="4" s="1"/>
  <c r="L495" i="4" s="1"/>
  <c r="O495" i="4" s="1"/>
  <c r="G495" i="4"/>
  <c r="H495" i="4" s="1"/>
  <c r="P494" i="4"/>
  <c r="I494" i="4"/>
  <c r="J494" i="4" s="1"/>
  <c r="L494" i="4" s="1"/>
  <c r="O494" i="4" s="1"/>
  <c r="G494" i="4"/>
  <c r="H494" i="4" s="1"/>
  <c r="P493" i="4"/>
  <c r="I493" i="4"/>
  <c r="J493" i="4" s="1"/>
  <c r="L493" i="4" s="1"/>
  <c r="O493" i="4" s="1"/>
  <c r="G493" i="4"/>
  <c r="H493" i="4" s="1"/>
  <c r="P492" i="4"/>
  <c r="I492" i="4"/>
  <c r="J492" i="4" s="1"/>
  <c r="L492" i="4" s="1"/>
  <c r="O492" i="4" s="1"/>
  <c r="G492" i="4"/>
  <c r="H492" i="4" s="1"/>
  <c r="P491" i="4"/>
  <c r="I491" i="4"/>
  <c r="J491" i="4" s="1"/>
  <c r="L491" i="4" s="1"/>
  <c r="O491" i="4" s="1"/>
  <c r="G491" i="4"/>
  <c r="H491" i="4" s="1"/>
  <c r="P490" i="4"/>
  <c r="I490" i="4"/>
  <c r="J490" i="4" s="1"/>
  <c r="L490" i="4" s="1"/>
  <c r="O490" i="4" s="1"/>
  <c r="G490" i="4"/>
  <c r="H490" i="4" s="1"/>
  <c r="P489" i="4"/>
  <c r="I489" i="4"/>
  <c r="J489" i="4" s="1"/>
  <c r="L489" i="4" s="1"/>
  <c r="O489" i="4" s="1"/>
  <c r="G489" i="4"/>
  <c r="H489" i="4" s="1"/>
  <c r="P488" i="4"/>
  <c r="I488" i="4"/>
  <c r="J488" i="4" s="1"/>
  <c r="L488" i="4" s="1"/>
  <c r="O488" i="4" s="1"/>
  <c r="G488" i="4"/>
  <c r="H488" i="4" s="1"/>
  <c r="P487" i="4"/>
  <c r="I487" i="4"/>
  <c r="J487" i="4" s="1"/>
  <c r="L487" i="4" s="1"/>
  <c r="O487" i="4" s="1"/>
  <c r="G487" i="4"/>
  <c r="H487" i="4" s="1"/>
  <c r="P486" i="4"/>
  <c r="I486" i="4"/>
  <c r="J486" i="4" s="1"/>
  <c r="L486" i="4" s="1"/>
  <c r="O486" i="4" s="1"/>
  <c r="G486" i="4"/>
  <c r="H486" i="4" s="1"/>
  <c r="P485" i="4"/>
  <c r="I485" i="4"/>
  <c r="J485" i="4" s="1"/>
  <c r="L485" i="4" s="1"/>
  <c r="O485" i="4" s="1"/>
  <c r="G485" i="4"/>
  <c r="H485" i="4" s="1"/>
  <c r="P484" i="4"/>
  <c r="I484" i="4"/>
  <c r="J484" i="4" s="1"/>
  <c r="L484" i="4" s="1"/>
  <c r="O484" i="4" s="1"/>
  <c r="G484" i="4"/>
  <c r="H484" i="4" s="1"/>
  <c r="P483" i="4"/>
  <c r="I483" i="4"/>
  <c r="J483" i="4" s="1"/>
  <c r="L483" i="4" s="1"/>
  <c r="O483" i="4" s="1"/>
  <c r="G483" i="4"/>
  <c r="H483" i="4" s="1"/>
  <c r="P482" i="4"/>
  <c r="I482" i="4"/>
  <c r="J482" i="4" s="1"/>
  <c r="L482" i="4" s="1"/>
  <c r="O482" i="4" s="1"/>
  <c r="G482" i="4"/>
  <c r="H482" i="4" s="1"/>
  <c r="P481" i="4"/>
  <c r="I481" i="4"/>
  <c r="J481" i="4" s="1"/>
  <c r="L481" i="4" s="1"/>
  <c r="O481" i="4" s="1"/>
  <c r="G481" i="4"/>
  <c r="H481" i="4" s="1"/>
  <c r="P480" i="4"/>
  <c r="I480" i="4"/>
  <c r="J480" i="4" s="1"/>
  <c r="L480" i="4" s="1"/>
  <c r="O480" i="4" s="1"/>
  <c r="G480" i="4"/>
  <c r="H480" i="4" s="1"/>
  <c r="P479" i="4"/>
  <c r="I479" i="4"/>
  <c r="J479" i="4" s="1"/>
  <c r="L479" i="4" s="1"/>
  <c r="O479" i="4" s="1"/>
  <c r="G479" i="4"/>
  <c r="H479" i="4" s="1"/>
  <c r="P478" i="4"/>
  <c r="I478" i="4"/>
  <c r="J478" i="4" s="1"/>
  <c r="L478" i="4" s="1"/>
  <c r="O478" i="4" s="1"/>
  <c r="G478" i="4"/>
  <c r="H478" i="4" s="1"/>
  <c r="P477" i="4"/>
  <c r="I477" i="4"/>
  <c r="J477" i="4" s="1"/>
  <c r="L477" i="4" s="1"/>
  <c r="O477" i="4" s="1"/>
  <c r="G477" i="4"/>
  <c r="H477" i="4" s="1"/>
  <c r="P476" i="4"/>
  <c r="I476" i="4"/>
  <c r="J476" i="4" s="1"/>
  <c r="L476" i="4" s="1"/>
  <c r="O476" i="4" s="1"/>
  <c r="G476" i="4"/>
  <c r="H476" i="4" s="1"/>
  <c r="P475" i="4"/>
  <c r="I475" i="4"/>
  <c r="J475" i="4" s="1"/>
  <c r="L475" i="4" s="1"/>
  <c r="O475" i="4" s="1"/>
  <c r="G475" i="4"/>
  <c r="H475" i="4" s="1"/>
  <c r="P474" i="4"/>
  <c r="I474" i="4"/>
  <c r="J474" i="4" s="1"/>
  <c r="L474" i="4" s="1"/>
  <c r="O474" i="4" s="1"/>
  <c r="G474" i="4"/>
  <c r="H474" i="4" s="1"/>
  <c r="P473" i="4"/>
  <c r="I473" i="4"/>
  <c r="J473" i="4" s="1"/>
  <c r="L473" i="4" s="1"/>
  <c r="O473" i="4" s="1"/>
  <c r="G473" i="4"/>
  <c r="H473" i="4" s="1"/>
  <c r="P472" i="4"/>
  <c r="I472" i="4"/>
  <c r="J472" i="4" s="1"/>
  <c r="L472" i="4" s="1"/>
  <c r="O472" i="4" s="1"/>
  <c r="G472" i="4"/>
  <c r="H472" i="4" s="1"/>
  <c r="P471" i="4"/>
  <c r="I471" i="4"/>
  <c r="J471" i="4" s="1"/>
  <c r="L471" i="4" s="1"/>
  <c r="O471" i="4" s="1"/>
  <c r="G471" i="4"/>
  <c r="H471" i="4" s="1"/>
  <c r="P470" i="4"/>
  <c r="I470" i="4"/>
  <c r="J470" i="4" s="1"/>
  <c r="L470" i="4" s="1"/>
  <c r="O470" i="4" s="1"/>
  <c r="G470" i="4"/>
  <c r="H470" i="4" s="1"/>
  <c r="P469" i="4"/>
  <c r="I469" i="4"/>
  <c r="J469" i="4" s="1"/>
  <c r="L469" i="4" s="1"/>
  <c r="O469" i="4" s="1"/>
  <c r="G469" i="4"/>
  <c r="H469" i="4" s="1"/>
  <c r="P468" i="4"/>
  <c r="I468" i="4"/>
  <c r="J468" i="4" s="1"/>
  <c r="L468" i="4" s="1"/>
  <c r="O468" i="4" s="1"/>
  <c r="G468" i="4"/>
  <c r="H468" i="4" s="1"/>
  <c r="P467" i="4"/>
  <c r="I467" i="4"/>
  <c r="J467" i="4" s="1"/>
  <c r="L467" i="4" s="1"/>
  <c r="O467" i="4" s="1"/>
  <c r="G467" i="4"/>
  <c r="H467" i="4" s="1"/>
  <c r="P466" i="4"/>
  <c r="I466" i="4"/>
  <c r="J466" i="4" s="1"/>
  <c r="L466" i="4" s="1"/>
  <c r="O466" i="4" s="1"/>
  <c r="G466" i="4"/>
  <c r="H466" i="4" s="1"/>
  <c r="P465" i="4"/>
  <c r="I465" i="4"/>
  <c r="J465" i="4" s="1"/>
  <c r="L465" i="4" s="1"/>
  <c r="O465" i="4" s="1"/>
  <c r="G465" i="4"/>
  <c r="H465" i="4" s="1"/>
  <c r="P464" i="4"/>
  <c r="I464" i="4"/>
  <c r="J464" i="4" s="1"/>
  <c r="L464" i="4" s="1"/>
  <c r="O464" i="4" s="1"/>
  <c r="G464" i="4"/>
  <c r="H464" i="4" s="1"/>
  <c r="P463" i="4"/>
  <c r="I463" i="4"/>
  <c r="J463" i="4" s="1"/>
  <c r="L463" i="4" s="1"/>
  <c r="O463" i="4" s="1"/>
  <c r="G463" i="4"/>
  <c r="H463" i="4" s="1"/>
  <c r="P462" i="4"/>
  <c r="I462" i="4"/>
  <c r="J462" i="4" s="1"/>
  <c r="L462" i="4" s="1"/>
  <c r="O462" i="4" s="1"/>
  <c r="G462" i="4"/>
  <c r="H462" i="4" s="1"/>
  <c r="P461" i="4"/>
  <c r="I461" i="4"/>
  <c r="J461" i="4" s="1"/>
  <c r="L461" i="4" s="1"/>
  <c r="O461" i="4" s="1"/>
  <c r="G461" i="4"/>
  <c r="H461" i="4" s="1"/>
  <c r="P460" i="4"/>
  <c r="I460" i="4"/>
  <c r="J460" i="4" s="1"/>
  <c r="L460" i="4" s="1"/>
  <c r="O460" i="4" s="1"/>
  <c r="G460" i="4"/>
  <c r="H460" i="4" s="1"/>
  <c r="P459" i="4"/>
  <c r="I459" i="4"/>
  <c r="J459" i="4" s="1"/>
  <c r="L459" i="4" s="1"/>
  <c r="O459" i="4" s="1"/>
  <c r="G459" i="4"/>
  <c r="H459" i="4" s="1"/>
  <c r="P458" i="4"/>
  <c r="I458" i="4"/>
  <c r="J458" i="4" s="1"/>
  <c r="L458" i="4" s="1"/>
  <c r="O458" i="4" s="1"/>
  <c r="G458" i="4"/>
  <c r="H458" i="4" s="1"/>
  <c r="P457" i="4"/>
  <c r="I457" i="4"/>
  <c r="J457" i="4" s="1"/>
  <c r="L457" i="4" s="1"/>
  <c r="O457" i="4" s="1"/>
  <c r="G457" i="4"/>
  <c r="H457" i="4" s="1"/>
  <c r="P456" i="4"/>
  <c r="I456" i="4"/>
  <c r="J456" i="4" s="1"/>
  <c r="L456" i="4" s="1"/>
  <c r="O456" i="4" s="1"/>
  <c r="G456" i="4"/>
  <c r="H456" i="4" s="1"/>
  <c r="P455" i="4"/>
  <c r="I455" i="4"/>
  <c r="J455" i="4" s="1"/>
  <c r="L455" i="4" s="1"/>
  <c r="O455" i="4" s="1"/>
  <c r="G455" i="4"/>
  <c r="H455" i="4" s="1"/>
  <c r="P454" i="4"/>
  <c r="I454" i="4"/>
  <c r="J454" i="4" s="1"/>
  <c r="L454" i="4" s="1"/>
  <c r="O454" i="4" s="1"/>
  <c r="G454" i="4"/>
  <c r="H454" i="4" s="1"/>
  <c r="P453" i="4"/>
  <c r="I453" i="4"/>
  <c r="J453" i="4" s="1"/>
  <c r="L453" i="4" s="1"/>
  <c r="O453" i="4" s="1"/>
  <c r="G453" i="4"/>
  <c r="H453" i="4" s="1"/>
  <c r="P452" i="4"/>
  <c r="I452" i="4"/>
  <c r="J452" i="4" s="1"/>
  <c r="L452" i="4" s="1"/>
  <c r="O452" i="4" s="1"/>
  <c r="G452" i="4"/>
  <c r="H452" i="4" s="1"/>
  <c r="P451" i="4"/>
  <c r="I451" i="4"/>
  <c r="J451" i="4" s="1"/>
  <c r="L451" i="4" s="1"/>
  <c r="O451" i="4" s="1"/>
  <c r="G451" i="4"/>
  <c r="H451" i="4" s="1"/>
  <c r="P450" i="4"/>
  <c r="I450" i="4"/>
  <c r="J450" i="4" s="1"/>
  <c r="L450" i="4" s="1"/>
  <c r="O450" i="4" s="1"/>
  <c r="G450" i="4"/>
  <c r="H450" i="4" s="1"/>
  <c r="P449" i="4"/>
  <c r="I449" i="4"/>
  <c r="J449" i="4" s="1"/>
  <c r="L449" i="4" s="1"/>
  <c r="O449" i="4" s="1"/>
  <c r="G449" i="4"/>
  <c r="H449" i="4" s="1"/>
  <c r="P448" i="4"/>
  <c r="I448" i="4"/>
  <c r="J448" i="4" s="1"/>
  <c r="L448" i="4" s="1"/>
  <c r="O448" i="4" s="1"/>
  <c r="G448" i="4"/>
  <c r="H448" i="4" s="1"/>
  <c r="P447" i="4"/>
  <c r="I447" i="4"/>
  <c r="J447" i="4" s="1"/>
  <c r="L447" i="4" s="1"/>
  <c r="O447" i="4" s="1"/>
  <c r="G447" i="4"/>
  <c r="H447" i="4" s="1"/>
  <c r="P446" i="4"/>
  <c r="I446" i="4"/>
  <c r="J446" i="4" s="1"/>
  <c r="L446" i="4" s="1"/>
  <c r="O446" i="4" s="1"/>
  <c r="G446" i="4"/>
  <c r="H446" i="4" s="1"/>
  <c r="P445" i="4"/>
  <c r="I445" i="4"/>
  <c r="J445" i="4" s="1"/>
  <c r="L445" i="4" s="1"/>
  <c r="O445" i="4" s="1"/>
  <c r="G445" i="4"/>
  <c r="H445" i="4" s="1"/>
  <c r="P444" i="4"/>
  <c r="I444" i="4"/>
  <c r="J444" i="4" s="1"/>
  <c r="L444" i="4" s="1"/>
  <c r="O444" i="4" s="1"/>
  <c r="G444" i="4"/>
  <c r="H444" i="4" s="1"/>
  <c r="P443" i="4"/>
  <c r="I443" i="4"/>
  <c r="J443" i="4" s="1"/>
  <c r="L443" i="4" s="1"/>
  <c r="O443" i="4" s="1"/>
  <c r="G443" i="4"/>
  <c r="H443" i="4" s="1"/>
  <c r="P442" i="4"/>
  <c r="I442" i="4"/>
  <c r="J442" i="4" s="1"/>
  <c r="L442" i="4" s="1"/>
  <c r="O442" i="4" s="1"/>
  <c r="G442" i="4"/>
  <c r="H442" i="4" s="1"/>
  <c r="P441" i="4"/>
  <c r="I441" i="4"/>
  <c r="J441" i="4" s="1"/>
  <c r="L441" i="4" s="1"/>
  <c r="O441" i="4" s="1"/>
  <c r="G441" i="4"/>
  <c r="H441" i="4" s="1"/>
  <c r="P440" i="4"/>
  <c r="I440" i="4"/>
  <c r="J440" i="4" s="1"/>
  <c r="L440" i="4" s="1"/>
  <c r="O440" i="4" s="1"/>
  <c r="G440" i="4"/>
  <c r="H440" i="4" s="1"/>
  <c r="P439" i="4"/>
  <c r="I439" i="4"/>
  <c r="J439" i="4" s="1"/>
  <c r="L439" i="4" s="1"/>
  <c r="O439" i="4" s="1"/>
  <c r="G439" i="4"/>
  <c r="H439" i="4" s="1"/>
  <c r="P438" i="4"/>
  <c r="I438" i="4"/>
  <c r="J438" i="4" s="1"/>
  <c r="L438" i="4" s="1"/>
  <c r="O438" i="4" s="1"/>
  <c r="G438" i="4"/>
  <c r="H438" i="4" s="1"/>
  <c r="P437" i="4"/>
  <c r="I437" i="4"/>
  <c r="J437" i="4" s="1"/>
  <c r="L437" i="4" s="1"/>
  <c r="O437" i="4" s="1"/>
  <c r="G437" i="4"/>
  <c r="H437" i="4" s="1"/>
  <c r="P436" i="4"/>
  <c r="I436" i="4"/>
  <c r="J436" i="4" s="1"/>
  <c r="L436" i="4" s="1"/>
  <c r="O436" i="4" s="1"/>
  <c r="G436" i="4"/>
  <c r="H436" i="4" s="1"/>
  <c r="P435" i="4"/>
  <c r="I435" i="4"/>
  <c r="J435" i="4" s="1"/>
  <c r="L435" i="4" s="1"/>
  <c r="O435" i="4" s="1"/>
  <c r="G435" i="4"/>
  <c r="H435" i="4" s="1"/>
  <c r="P434" i="4"/>
  <c r="I434" i="4"/>
  <c r="J434" i="4" s="1"/>
  <c r="L434" i="4" s="1"/>
  <c r="O434" i="4" s="1"/>
  <c r="G434" i="4"/>
  <c r="H434" i="4" s="1"/>
  <c r="P433" i="4"/>
  <c r="I433" i="4"/>
  <c r="J433" i="4" s="1"/>
  <c r="L433" i="4" s="1"/>
  <c r="O433" i="4" s="1"/>
  <c r="G433" i="4"/>
  <c r="H433" i="4" s="1"/>
  <c r="P432" i="4"/>
  <c r="I432" i="4"/>
  <c r="J432" i="4" s="1"/>
  <c r="L432" i="4" s="1"/>
  <c r="O432" i="4" s="1"/>
  <c r="G432" i="4"/>
  <c r="H432" i="4" s="1"/>
  <c r="P431" i="4"/>
  <c r="I431" i="4"/>
  <c r="J431" i="4" s="1"/>
  <c r="L431" i="4" s="1"/>
  <c r="O431" i="4" s="1"/>
  <c r="G431" i="4"/>
  <c r="H431" i="4" s="1"/>
  <c r="P430" i="4"/>
  <c r="I430" i="4"/>
  <c r="J430" i="4" s="1"/>
  <c r="L430" i="4" s="1"/>
  <c r="O430" i="4" s="1"/>
  <c r="G430" i="4"/>
  <c r="H430" i="4" s="1"/>
  <c r="P429" i="4"/>
  <c r="I429" i="4"/>
  <c r="J429" i="4" s="1"/>
  <c r="L429" i="4" s="1"/>
  <c r="O429" i="4" s="1"/>
  <c r="G429" i="4"/>
  <c r="H429" i="4" s="1"/>
  <c r="P428" i="4"/>
  <c r="I428" i="4"/>
  <c r="J428" i="4" s="1"/>
  <c r="L428" i="4" s="1"/>
  <c r="O428" i="4" s="1"/>
  <c r="G428" i="4"/>
  <c r="H428" i="4" s="1"/>
  <c r="P427" i="4"/>
  <c r="I427" i="4"/>
  <c r="J427" i="4" s="1"/>
  <c r="L427" i="4" s="1"/>
  <c r="O427" i="4" s="1"/>
  <c r="G427" i="4"/>
  <c r="H427" i="4" s="1"/>
  <c r="P426" i="4"/>
  <c r="I426" i="4"/>
  <c r="J426" i="4" s="1"/>
  <c r="L426" i="4" s="1"/>
  <c r="O426" i="4" s="1"/>
  <c r="G426" i="4"/>
  <c r="H426" i="4" s="1"/>
  <c r="P425" i="4"/>
  <c r="I425" i="4"/>
  <c r="J425" i="4" s="1"/>
  <c r="L425" i="4" s="1"/>
  <c r="O425" i="4" s="1"/>
  <c r="G425" i="4"/>
  <c r="H425" i="4" s="1"/>
  <c r="P424" i="4"/>
  <c r="I424" i="4"/>
  <c r="J424" i="4" s="1"/>
  <c r="L424" i="4" s="1"/>
  <c r="O424" i="4" s="1"/>
  <c r="G424" i="4"/>
  <c r="H424" i="4" s="1"/>
  <c r="P423" i="4"/>
  <c r="I423" i="4"/>
  <c r="J423" i="4" s="1"/>
  <c r="L423" i="4" s="1"/>
  <c r="O423" i="4" s="1"/>
  <c r="G423" i="4"/>
  <c r="H423" i="4" s="1"/>
  <c r="P422" i="4"/>
  <c r="I422" i="4"/>
  <c r="J422" i="4" s="1"/>
  <c r="L422" i="4" s="1"/>
  <c r="O422" i="4" s="1"/>
  <c r="G422" i="4"/>
  <c r="H422" i="4" s="1"/>
  <c r="P421" i="4"/>
  <c r="I421" i="4"/>
  <c r="J421" i="4" s="1"/>
  <c r="L421" i="4" s="1"/>
  <c r="O421" i="4" s="1"/>
  <c r="G421" i="4"/>
  <c r="H421" i="4" s="1"/>
  <c r="P420" i="4"/>
  <c r="I420" i="4"/>
  <c r="J420" i="4" s="1"/>
  <c r="L420" i="4" s="1"/>
  <c r="O420" i="4" s="1"/>
  <c r="G420" i="4"/>
  <c r="H420" i="4" s="1"/>
  <c r="P419" i="4"/>
  <c r="I419" i="4"/>
  <c r="J419" i="4" s="1"/>
  <c r="L419" i="4" s="1"/>
  <c r="O419" i="4" s="1"/>
  <c r="G419" i="4"/>
  <c r="H419" i="4" s="1"/>
  <c r="P418" i="4"/>
  <c r="I418" i="4"/>
  <c r="J418" i="4" s="1"/>
  <c r="L418" i="4" s="1"/>
  <c r="O418" i="4" s="1"/>
  <c r="G418" i="4"/>
  <c r="H418" i="4" s="1"/>
  <c r="P417" i="4"/>
  <c r="I417" i="4"/>
  <c r="J417" i="4" s="1"/>
  <c r="L417" i="4" s="1"/>
  <c r="O417" i="4" s="1"/>
  <c r="G417" i="4"/>
  <c r="H417" i="4" s="1"/>
  <c r="P416" i="4"/>
  <c r="I416" i="4"/>
  <c r="J416" i="4" s="1"/>
  <c r="L416" i="4" s="1"/>
  <c r="O416" i="4" s="1"/>
  <c r="G416" i="4"/>
  <c r="H416" i="4" s="1"/>
  <c r="P415" i="4"/>
  <c r="I415" i="4"/>
  <c r="J415" i="4" s="1"/>
  <c r="L415" i="4" s="1"/>
  <c r="O415" i="4" s="1"/>
  <c r="G415" i="4"/>
  <c r="H415" i="4" s="1"/>
  <c r="P414" i="4"/>
  <c r="I414" i="4"/>
  <c r="J414" i="4" s="1"/>
  <c r="L414" i="4" s="1"/>
  <c r="O414" i="4" s="1"/>
  <c r="G414" i="4"/>
  <c r="H414" i="4" s="1"/>
  <c r="P413" i="4"/>
  <c r="I413" i="4"/>
  <c r="J413" i="4" s="1"/>
  <c r="L413" i="4" s="1"/>
  <c r="O413" i="4" s="1"/>
  <c r="G413" i="4"/>
  <c r="H413" i="4" s="1"/>
  <c r="P412" i="4"/>
  <c r="I412" i="4"/>
  <c r="J412" i="4" s="1"/>
  <c r="L412" i="4" s="1"/>
  <c r="O412" i="4" s="1"/>
  <c r="G412" i="4"/>
  <c r="H412" i="4" s="1"/>
  <c r="P411" i="4"/>
  <c r="I411" i="4"/>
  <c r="J411" i="4" s="1"/>
  <c r="L411" i="4" s="1"/>
  <c r="O411" i="4" s="1"/>
  <c r="G411" i="4"/>
  <c r="H411" i="4" s="1"/>
  <c r="P410" i="4"/>
  <c r="I410" i="4"/>
  <c r="J410" i="4" s="1"/>
  <c r="L410" i="4" s="1"/>
  <c r="O410" i="4" s="1"/>
  <c r="G410" i="4"/>
  <c r="H410" i="4" s="1"/>
  <c r="P409" i="4"/>
  <c r="I409" i="4"/>
  <c r="J409" i="4" s="1"/>
  <c r="L409" i="4" s="1"/>
  <c r="O409" i="4" s="1"/>
  <c r="G409" i="4"/>
  <c r="H409" i="4" s="1"/>
  <c r="P408" i="4"/>
  <c r="I408" i="4"/>
  <c r="J408" i="4" s="1"/>
  <c r="L408" i="4" s="1"/>
  <c r="O408" i="4" s="1"/>
  <c r="G408" i="4"/>
  <c r="H408" i="4" s="1"/>
  <c r="P407" i="4"/>
  <c r="I407" i="4"/>
  <c r="J407" i="4" s="1"/>
  <c r="L407" i="4" s="1"/>
  <c r="O407" i="4" s="1"/>
  <c r="G407" i="4"/>
  <c r="H407" i="4" s="1"/>
  <c r="P406" i="4"/>
  <c r="I406" i="4"/>
  <c r="J406" i="4" s="1"/>
  <c r="L406" i="4" s="1"/>
  <c r="O406" i="4" s="1"/>
  <c r="G406" i="4"/>
  <c r="H406" i="4" s="1"/>
  <c r="P405" i="4"/>
  <c r="I405" i="4"/>
  <c r="J405" i="4" s="1"/>
  <c r="L405" i="4" s="1"/>
  <c r="O405" i="4" s="1"/>
  <c r="G405" i="4"/>
  <c r="H405" i="4" s="1"/>
  <c r="P404" i="4"/>
  <c r="I404" i="4"/>
  <c r="J404" i="4" s="1"/>
  <c r="L404" i="4" s="1"/>
  <c r="O404" i="4" s="1"/>
  <c r="G404" i="4"/>
  <c r="H404" i="4" s="1"/>
  <c r="P403" i="4"/>
  <c r="I403" i="4"/>
  <c r="J403" i="4" s="1"/>
  <c r="L403" i="4" s="1"/>
  <c r="O403" i="4" s="1"/>
  <c r="G403" i="4"/>
  <c r="H403" i="4" s="1"/>
  <c r="P402" i="4"/>
  <c r="I402" i="4"/>
  <c r="J402" i="4" s="1"/>
  <c r="L402" i="4" s="1"/>
  <c r="O402" i="4" s="1"/>
  <c r="G402" i="4"/>
  <c r="H402" i="4" s="1"/>
  <c r="P401" i="4"/>
  <c r="I401" i="4"/>
  <c r="J401" i="4" s="1"/>
  <c r="L401" i="4" s="1"/>
  <c r="O401" i="4" s="1"/>
  <c r="G401" i="4"/>
  <c r="H401" i="4" s="1"/>
  <c r="P400" i="4"/>
  <c r="I400" i="4"/>
  <c r="J400" i="4" s="1"/>
  <c r="L400" i="4" s="1"/>
  <c r="O400" i="4" s="1"/>
  <c r="G400" i="4"/>
  <c r="H400" i="4" s="1"/>
  <c r="P399" i="4"/>
  <c r="I399" i="4"/>
  <c r="J399" i="4" s="1"/>
  <c r="L399" i="4" s="1"/>
  <c r="O399" i="4" s="1"/>
  <c r="G399" i="4"/>
  <c r="H399" i="4" s="1"/>
  <c r="P398" i="4"/>
  <c r="I398" i="4"/>
  <c r="J398" i="4" s="1"/>
  <c r="L398" i="4" s="1"/>
  <c r="O398" i="4" s="1"/>
  <c r="G398" i="4"/>
  <c r="H398" i="4" s="1"/>
  <c r="P397" i="4"/>
  <c r="I397" i="4"/>
  <c r="J397" i="4" s="1"/>
  <c r="L397" i="4" s="1"/>
  <c r="O397" i="4" s="1"/>
  <c r="G397" i="4"/>
  <c r="H397" i="4" s="1"/>
  <c r="P396" i="4"/>
  <c r="I396" i="4"/>
  <c r="J396" i="4" s="1"/>
  <c r="L396" i="4" s="1"/>
  <c r="O396" i="4" s="1"/>
  <c r="G396" i="4"/>
  <c r="H396" i="4" s="1"/>
  <c r="P395" i="4"/>
  <c r="I395" i="4"/>
  <c r="J395" i="4" s="1"/>
  <c r="L395" i="4" s="1"/>
  <c r="O395" i="4" s="1"/>
  <c r="G395" i="4"/>
  <c r="H395" i="4" s="1"/>
  <c r="P394" i="4"/>
  <c r="I394" i="4"/>
  <c r="J394" i="4" s="1"/>
  <c r="L394" i="4" s="1"/>
  <c r="O394" i="4" s="1"/>
  <c r="G394" i="4"/>
  <c r="H394" i="4" s="1"/>
  <c r="P393" i="4"/>
  <c r="I393" i="4"/>
  <c r="J393" i="4" s="1"/>
  <c r="L393" i="4" s="1"/>
  <c r="O393" i="4" s="1"/>
  <c r="G393" i="4"/>
  <c r="H393" i="4" s="1"/>
  <c r="P392" i="4"/>
  <c r="I392" i="4"/>
  <c r="J392" i="4" s="1"/>
  <c r="L392" i="4" s="1"/>
  <c r="O392" i="4" s="1"/>
  <c r="G392" i="4"/>
  <c r="H392" i="4" s="1"/>
  <c r="P391" i="4"/>
  <c r="I391" i="4"/>
  <c r="J391" i="4" s="1"/>
  <c r="L391" i="4" s="1"/>
  <c r="O391" i="4" s="1"/>
  <c r="G391" i="4"/>
  <c r="H391" i="4" s="1"/>
  <c r="P390" i="4"/>
  <c r="I390" i="4"/>
  <c r="J390" i="4" s="1"/>
  <c r="L390" i="4" s="1"/>
  <c r="O390" i="4" s="1"/>
  <c r="G390" i="4"/>
  <c r="H390" i="4" s="1"/>
  <c r="P389" i="4"/>
  <c r="I389" i="4"/>
  <c r="J389" i="4" s="1"/>
  <c r="L389" i="4" s="1"/>
  <c r="O389" i="4" s="1"/>
  <c r="G389" i="4"/>
  <c r="H389" i="4" s="1"/>
  <c r="P388" i="4"/>
  <c r="I388" i="4"/>
  <c r="J388" i="4" s="1"/>
  <c r="L388" i="4" s="1"/>
  <c r="O388" i="4" s="1"/>
  <c r="G388" i="4"/>
  <c r="H388" i="4" s="1"/>
  <c r="P387" i="4"/>
  <c r="I387" i="4"/>
  <c r="J387" i="4" s="1"/>
  <c r="L387" i="4" s="1"/>
  <c r="O387" i="4" s="1"/>
  <c r="G387" i="4"/>
  <c r="H387" i="4" s="1"/>
  <c r="P386" i="4"/>
  <c r="I386" i="4"/>
  <c r="J386" i="4" s="1"/>
  <c r="L386" i="4" s="1"/>
  <c r="O386" i="4" s="1"/>
  <c r="G386" i="4"/>
  <c r="H386" i="4" s="1"/>
  <c r="P385" i="4"/>
  <c r="I385" i="4"/>
  <c r="J385" i="4" s="1"/>
  <c r="L385" i="4" s="1"/>
  <c r="O385" i="4" s="1"/>
  <c r="G385" i="4"/>
  <c r="H385" i="4" s="1"/>
  <c r="P384" i="4"/>
  <c r="I384" i="4"/>
  <c r="J384" i="4" s="1"/>
  <c r="L384" i="4" s="1"/>
  <c r="O384" i="4" s="1"/>
  <c r="G384" i="4"/>
  <c r="H384" i="4" s="1"/>
  <c r="P383" i="4"/>
  <c r="I383" i="4"/>
  <c r="J383" i="4" s="1"/>
  <c r="L383" i="4" s="1"/>
  <c r="O383" i="4" s="1"/>
  <c r="G383" i="4"/>
  <c r="H383" i="4" s="1"/>
  <c r="P382" i="4"/>
  <c r="I382" i="4"/>
  <c r="J382" i="4" s="1"/>
  <c r="L382" i="4" s="1"/>
  <c r="O382" i="4" s="1"/>
  <c r="G382" i="4"/>
  <c r="H382" i="4" s="1"/>
  <c r="P381" i="4"/>
  <c r="I381" i="4"/>
  <c r="J381" i="4" s="1"/>
  <c r="L381" i="4" s="1"/>
  <c r="O381" i="4" s="1"/>
  <c r="G381" i="4"/>
  <c r="H381" i="4" s="1"/>
  <c r="P380" i="4"/>
  <c r="I380" i="4"/>
  <c r="J380" i="4" s="1"/>
  <c r="L380" i="4" s="1"/>
  <c r="O380" i="4" s="1"/>
  <c r="G380" i="4"/>
  <c r="H380" i="4" s="1"/>
  <c r="P379" i="4"/>
  <c r="I379" i="4"/>
  <c r="J379" i="4" s="1"/>
  <c r="L379" i="4" s="1"/>
  <c r="O379" i="4" s="1"/>
  <c r="G379" i="4"/>
  <c r="H379" i="4" s="1"/>
  <c r="P378" i="4"/>
  <c r="I378" i="4"/>
  <c r="J378" i="4" s="1"/>
  <c r="L378" i="4" s="1"/>
  <c r="O378" i="4" s="1"/>
  <c r="G378" i="4"/>
  <c r="H378" i="4" s="1"/>
  <c r="P377" i="4"/>
  <c r="I377" i="4"/>
  <c r="J377" i="4" s="1"/>
  <c r="L377" i="4" s="1"/>
  <c r="O377" i="4" s="1"/>
  <c r="G377" i="4"/>
  <c r="H377" i="4" s="1"/>
  <c r="P376" i="4"/>
  <c r="I376" i="4"/>
  <c r="J376" i="4" s="1"/>
  <c r="L376" i="4" s="1"/>
  <c r="O376" i="4" s="1"/>
  <c r="G376" i="4"/>
  <c r="H376" i="4" s="1"/>
  <c r="P375" i="4"/>
  <c r="I375" i="4"/>
  <c r="J375" i="4" s="1"/>
  <c r="L375" i="4" s="1"/>
  <c r="O375" i="4" s="1"/>
  <c r="G375" i="4"/>
  <c r="H375" i="4" s="1"/>
  <c r="P374" i="4"/>
  <c r="I374" i="4"/>
  <c r="J374" i="4" s="1"/>
  <c r="L374" i="4" s="1"/>
  <c r="O374" i="4" s="1"/>
  <c r="G374" i="4"/>
  <c r="H374" i="4" s="1"/>
  <c r="P373" i="4"/>
  <c r="I373" i="4"/>
  <c r="J373" i="4" s="1"/>
  <c r="L373" i="4" s="1"/>
  <c r="O373" i="4" s="1"/>
  <c r="G373" i="4"/>
  <c r="H373" i="4" s="1"/>
  <c r="P372" i="4"/>
  <c r="I372" i="4"/>
  <c r="J372" i="4" s="1"/>
  <c r="L372" i="4" s="1"/>
  <c r="O372" i="4" s="1"/>
  <c r="G372" i="4"/>
  <c r="H372" i="4" s="1"/>
  <c r="P371" i="4"/>
  <c r="I371" i="4"/>
  <c r="J371" i="4" s="1"/>
  <c r="L371" i="4" s="1"/>
  <c r="O371" i="4" s="1"/>
  <c r="G371" i="4"/>
  <c r="H371" i="4" s="1"/>
  <c r="P370" i="4"/>
  <c r="I370" i="4"/>
  <c r="J370" i="4" s="1"/>
  <c r="L370" i="4" s="1"/>
  <c r="O370" i="4" s="1"/>
  <c r="G370" i="4"/>
  <c r="H370" i="4" s="1"/>
  <c r="P369" i="4"/>
  <c r="I369" i="4"/>
  <c r="J369" i="4" s="1"/>
  <c r="L369" i="4" s="1"/>
  <c r="O369" i="4" s="1"/>
  <c r="G369" i="4"/>
  <c r="H369" i="4" s="1"/>
  <c r="P368" i="4"/>
  <c r="I368" i="4"/>
  <c r="J368" i="4" s="1"/>
  <c r="L368" i="4" s="1"/>
  <c r="O368" i="4" s="1"/>
  <c r="G368" i="4"/>
  <c r="H368" i="4" s="1"/>
  <c r="P367" i="4"/>
  <c r="I367" i="4"/>
  <c r="J367" i="4" s="1"/>
  <c r="L367" i="4" s="1"/>
  <c r="O367" i="4" s="1"/>
  <c r="G367" i="4"/>
  <c r="H367" i="4" s="1"/>
  <c r="P366" i="4"/>
  <c r="I366" i="4"/>
  <c r="J366" i="4" s="1"/>
  <c r="L366" i="4" s="1"/>
  <c r="O366" i="4" s="1"/>
  <c r="G366" i="4"/>
  <c r="H366" i="4" s="1"/>
  <c r="P365" i="4"/>
  <c r="I365" i="4"/>
  <c r="J365" i="4" s="1"/>
  <c r="L365" i="4" s="1"/>
  <c r="O365" i="4" s="1"/>
  <c r="G365" i="4"/>
  <c r="H365" i="4" s="1"/>
  <c r="P364" i="4"/>
  <c r="I364" i="4"/>
  <c r="J364" i="4" s="1"/>
  <c r="L364" i="4" s="1"/>
  <c r="O364" i="4" s="1"/>
  <c r="G364" i="4"/>
  <c r="H364" i="4" s="1"/>
  <c r="P363" i="4"/>
  <c r="I363" i="4"/>
  <c r="J363" i="4" s="1"/>
  <c r="L363" i="4" s="1"/>
  <c r="O363" i="4" s="1"/>
  <c r="G363" i="4"/>
  <c r="H363" i="4" s="1"/>
  <c r="P362" i="4"/>
  <c r="I362" i="4"/>
  <c r="J362" i="4" s="1"/>
  <c r="L362" i="4" s="1"/>
  <c r="O362" i="4" s="1"/>
  <c r="G362" i="4"/>
  <c r="H362" i="4" s="1"/>
  <c r="P361" i="4"/>
  <c r="I361" i="4"/>
  <c r="J361" i="4" s="1"/>
  <c r="L361" i="4" s="1"/>
  <c r="O361" i="4" s="1"/>
  <c r="G361" i="4"/>
  <c r="H361" i="4" s="1"/>
  <c r="P360" i="4"/>
  <c r="I360" i="4"/>
  <c r="J360" i="4" s="1"/>
  <c r="L360" i="4" s="1"/>
  <c r="O360" i="4" s="1"/>
  <c r="G360" i="4"/>
  <c r="H360" i="4" s="1"/>
  <c r="P359" i="4"/>
  <c r="I359" i="4"/>
  <c r="J359" i="4" s="1"/>
  <c r="L359" i="4" s="1"/>
  <c r="O359" i="4" s="1"/>
  <c r="G359" i="4"/>
  <c r="H359" i="4" s="1"/>
  <c r="P358" i="4"/>
  <c r="I358" i="4"/>
  <c r="J358" i="4" s="1"/>
  <c r="L358" i="4" s="1"/>
  <c r="O358" i="4" s="1"/>
  <c r="G358" i="4"/>
  <c r="H358" i="4" s="1"/>
  <c r="P357" i="4"/>
  <c r="I357" i="4"/>
  <c r="J357" i="4" s="1"/>
  <c r="L357" i="4" s="1"/>
  <c r="O357" i="4" s="1"/>
  <c r="G357" i="4"/>
  <c r="H357" i="4" s="1"/>
  <c r="P356" i="4"/>
  <c r="I356" i="4"/>
  <c r="J356" i="4" s="1"/>
  <c r="L356" i="4" s="1"/>
  <c r="O356" i="4" s="1"/>
  <c r="G356" i="4"/>
  <c r="H356" i="4" s="1"/>
  <c r="P355" i="4"/>
  <c r="I355" i="4"/>
  <c r="J355" i="4" s="1"/>
  <c r="L355" i="4" s="1"/>
  <c r="O355" i="4" s="1"/>
  <c r="G355" i="4"/>
  <c r="H355" i="4" s="1"/>
  <c r="P354" i="4"/>
  <c r="I354" i="4"/>
  <c r="J354" i="4" s="1"/>
  <c r="L354" i="4" s="1"/>
  <c r="O354" i="4" s="1"/>
  <c r="G354" i="4"/>
  <c r="H354" i="4" s="1"/>
  <c r="P353" i="4"/>
  <c r="I353" i="4"/>
  <c r="J353" i="4" s="1"/>
  <c r="L353" i="4" s="1"/>
  <c r="O353" i="4" s="1"/>
  <c r="G353" i="4"/>
  <c r="H353" i="4" s="1"/>
  <c r="P352" i="4"/>
  <c r="I352" i="4"/>
  <c r="J352" i="4" s="1"/>
  <c r="L352" i="4" s="1"/>
  <c r="O352" i="4" s="1"/>
  <c r="G352" i="4"/>
  <c r="H352" i="4" s="1"/>
  <c r="P351" i="4"/>
  <c r="I351" i="4"/>
  <c r="J351" i="4" s="1"/>
  <c r="L351" i="4" s="1"/>
  <c r="O351" i="4" s="1"/>
  <c r="G351" i="4"/>
  <c r="H351" i="4" s="1"/>
  <c r="P350" i="4"/>
  <c r="I350" i="4"/>
  <c r="J350" i="4" s="1"/>
  <c r="L350" i="4" s="1"/>
  <c r="O350" i="4" s="1"/>
  <c r="G350" i="4"/>
  <c r="H350" i="4" s="1"/>
  <c r="P349" i="4"/>
  <c r="I349" i="4"/>
  <c r="J349" i="4" s="1"/>
  <c r="L349" i="4" s="1"/>
  <c r="O349" i="4" s="1"/>
  <c r="G349" i="4"/>
  <c r="H349" i="4" s="1"/>
  <c r="P348" i="4"/>
  <c r="G348" i="4"/>
  <c r="H348" i="4" s="1"/>
  <c r="P347" i="4"/>
  <c r="G347" i="4"/>
  <c r="H347" i="4" s="1"/>
  <c r="P346" i="4"/>
  <c r="G346" i="4"/>
  <c r="H346" i="4" s="1"/>
  <c r="P345" i="4"/>
  <c r="G345" i="4"/>
  <c r="H345" i="4" s="1"/>
  <c r="P344" i="4"/>
  <c r="G344" i="4"/>
  <c r="H344" i="4" s="1"/>
  <c r="P343" i="4"/>
  <c r="G343" i="4"/>
  <c r="H343" i="4" s="1"/>
  <c r="P342" i="4"/>
  <c r="G342" i="4"/>
  <c r="H342" i="4" s="1"/>
  <c r="P341" i="4"/>
  <c r="G341" i="4"/>
  <c r="H341" i="4" s="1"/>
  <c r="P340" i="4"/>
  <c r="G340" i="4"/>
  <c r="H340" i="4" s="1"/>
  <c r="P339" i="4"/>
  <c r="G339" i="4"/>
  <c r="H339" i="4" s="1"/>
  <c r="P338" i="4"/>
  <c r="G338" i="4"/>
  <c r="H338" i="4" s="1"/>
  <c r="P337" i="4"/>
  <c r="G337" i="4"/>
  <c r="H337" i="4" s="1"/>
  <c r="P336" i="4"/>
  <c r="G336" i="4"/>
  <c r="H336" i="4" s="1"/>
  <c r="P335" i="4"/>
  <c r="G335" i="4"/>
  <c r="H335" i="4" s="1"/>
  <c r="P334" i="4"/>
  <c r="G334" i="4"/>
  <c r="H334" i="4" s="1"/>
  <c r="P333" i="4"/>
  <c r="G333" i="4"/>
  <c r="H333" i="4" s="1"/>
  <c r="P332" i="4"/>
  <c r="G332" i="4"/>
  <c r="H332" i="4" s="1"/>
  <c r="P331" i="4"/>
  <c r="G331" i="4"/>
  <c r="H331" i="4" s="1"/>
  <c r="P330" i="4"/>
  <c r="G330" i="4"/>
  <c r="H330" i="4" s="1"/>
  <c r="P329" i="4"/>
  <c r="G329" i="4"/>
  <c r="H329" i="4" s="1"/>
  <c r="P328" i="4"/>
  <c r="G328" i="4"/>
  <c r="H328" i="4" s="1"/>
  <c r="P327" i="4"/>
  <c r="G327" i="4"/>
  <c r="H327" i="4" s="1"/>
  <c r="P326" i="4"/>
  <c r="G326" i="4"/>
  <c r="H326" i="4" s="1"/>
  <c r="P325" i="4"/>
  <c r="G325" i="4"/>
  <c r="H325" i="4" s="1"/>
  <c r="P324" i="4"/>
  <c r="G324" i="4"/>
  <c r="H324" i="4" s="1"/>
  <c r="P323" i="4"/>
  <c r="G323" i="4"/>
  <c r="H323" i="4" s="1"/>
  <c r="P322" i="4"/>
  <c r="G322" i="4"/>
  <c r="H322" i="4" s="1"/>
  <c r="P321" i="4"/>
  <c r="G321" i="4"/>
  <c r="H321" i="4" s="1"/>
  <c r="P320" i="4"/>
  <c r="G320" i="4"/>
  <c r="H320" i="4" s="1"/>
  <c r="P319" i="4"/>
  <c r="G319" i="4"/>
  <c r="H319" i="4" s="1"/>
  <c r="P318" i="4"/>
  <c r="G318" i="4"/>
  <c r="H318" i="4" s="1"/>
  <c r="P317" i="4"/>
  <c r="G317" i="4"/>
  <c r="H317" i="4" s="1"/>
  <c r="P316" i="4"/>
  <c r="G316" i="4"/>
  <c r="H316" i="4" s="1"/>
  <c r="P315" i="4"/>
  <c r="I315" i="4"/>
  <c r="J315" i="4" s="1"/>
  <c r="L315" i="4" s="1"/>
  <c r="O315" i="4" s="1"/>
  <c r="G315" i="4"/>
  <c r="H315" i="4" s="1"/>
  <c r="P314" i="4"/>
  <c r="I314" i="4"/>
  <c r="J314" i="4" s="1"/>
  <c r="L314" i="4" s="1"/>
  <c r="O314" i="4" s="1"/>
  <c r="G314" i="4"/>
  <c r="H314" i="4" s="1"/>
  <c r="P313" i="4"/>
  <c r="I313" i="4"/>
  <c r="J313" i="4" s="1"/>
  <c r="L313" i="4" s="1"/>
  <c r="O313" i="4" s="1"/>
  <c r="G313" i="4"/>
  <c r="H313" i="4" s="1"/>
  <c r="P312" i="4"/>
  <c r="I312" i="4"/>
  <c r="J312" i="4" s="1"/>
  <c r="L312" i="4" s="1"/>
  <c r="O312" i="4" s="1"/>
  <c r="G312" i="4"/>
  <c r="H312" i="4" s="1"/>
  <c r="P311" i="4"/>
  <c r="I311" i="4"/>
  <c r="J311" i="4" s="1"/>
  <c r="L311" i="4" s="1"/>
  <c r="O311" i="4" s="1"/>
  <c r="G311" i="4"/>
  <c r="H311" i="4" s="1"/>
  <c r="P310" i="4"/>
  <c r="I310" i="4"/>
  <c r="J310" i="4" s="1"/>
  <c r="L310" i="4" s="1"/>
  <c r="O310" i="4" s="1"/>
  <c r="G310" i="4"/>
  <c r="H310" i="4" s="1"/>
  <c r="P309" i="4"/>
  <c r="I309" i="4"/>
  <c r="J309" i="4" s="1"/>
  <c r="L309" i="4" s="1"/>
  <c r="O309" i="4" s="1"/>
  <c r="G309" i="4"/>
  <c r="H309" i="4" s="1"/>
  <c r="P308" i="4"/>
  <c r="I308" i="4"/>
  <c r="J308" i="4" s="1"/>
  <c r="L308" i="4" s="1"/>
  <c r="O308" i="4" s="1"/>
  <c r="G308" i="4"/>
  <c r="H308" i="4" s="1"/>
  <c r="P307" i="4"/>
  <c r="I307" i="4"/>
  <c r="J307" i="4" s="1"/>
  <c r="L307" i="4" s="1"/>
  <c r="O307" i="4" s="1"/>
  <c r="G307" i="4"/>
  <c r="H307" i="4" s="1"/>
  <c r="P306" i="4"/>
  <c r="I306" i="4"/>
  <c r="J306" i="4" s="1"/>
  <c r="L306" i="4" s="1"/>
  <c r="O306" i="4" s="1"/>
  <c r="G306" i="4"/>
  <c r="H306" i="4" s="1"/>
  <c r="P305" i="4"/>
  <c r="I305" i="4"/>
  <c r="J305" i="4" s="1"/>
  <c r="L305" i="4" s="1"/>
  <c r="O305" i="4" s="1"/>
  <c r="G305" i="4"/>
  <c r="H305" i="4" s="1"/>
  <c r="P304" i="4"/>
  <c r="I304" i="4"/>
  <c r="J304" i="4" s="1"/>
  <c r="L304" i="4" s="1"/>
  <c r="O304" i="4" s="1"/>
  <c r="G304" i="4"/>
  <c r="H304" i="4" s="1"/>
  <c r="P303" i="4"/>
  <c r="I303" i="4"/>
  <c r="J303" i="4" s="1"/>
  <c r="L303" i="4" s="1"/>
  <c r="O303" i="4" s="1"/>
  <c r="G303" i="4"/>
  <c r="H303" i="4" s="1"/>
  <c r="P302" i="4"/>
  <c r="I302" i="4"/>
  <c r="J302" i="4" s="1"/>
  <c r="L302" i="4" s="1"/>
  <c r="O302" i="4" s="1"/>
  <c r="G302" i="4"/>
  <c r="H302" i="4" s="1"/>
  <c r="P301" i="4"/>
  <c r="I301" i="4"/>
  <c r="J301" i="4" s="1"/>
  <c r="L301" i="4" s="1"/>
  <c r="O301" i="4" s="1"/>
  <c r="G301" i="4"/>
  <c r="H301" i="4" s="1"/>
  <c r="P300" i="4"/>
  <c r="I300" i="4"/>
  <c r="J300" i="4" s="1"/>
  <c r="L300" i="4" s="1"/>
  <c r="O300" i="4" s="1"/>
  <c r="G300" i="4"/>
  <c r="H300" i="4" s="1"/>
  <c r="P299" i="4"/>
  <c r="I299" i="4"/>
  <c r="J299" i="4" s="1"/>
  <c r="L299" i="4" s="1"/>
  <c r="O299" i="4" s="1"/>
  <c r="G299" i="4"/>
  <c r="H299" i="4" s="1"/>
  <c r="P298" i="4"/>
  <c r="I298" i="4"/>
  <c r="J298" i="4" s="1"/>
  <c r="L298" i="4" s="1"/>
  <c r="O298" i="4" s="1"/>
  <c r="G298" i="4"/>
  <c r="H298" i="4" s="1"/>
  <c r="P297" i="4"/>
  <c r="I297" i="4"/>
  <c r="J297" i="4" s="1"/>
  <c r="L297" i="4" s="1"/>
  <c r="O297" i="4" s="1"/>
  <c r="G297" i="4"/>
  <c r="H297" i="4" s="1"/>
  <c r="P296" i="4"/>
  <c r="I296" i="4"/>
  <c r="J296" i="4" s="1"/>
  <c r="L296" i="4" s="1"/>
  <c r="O296" i="4" s="1"/>
  <c r="G296" i="4"/>
  <c r="H296" i="4" s="1"/>
  <c r="P295" i="4"/>
  <c r="I295" i="4"/>
  <c r="J295" i="4" s="1"/>
  <c r="L295" i="4" s="1"/>
  <c r="O295" i="4" s="1"/>
  <c r="G295" i="4"/>
  <c r="H295" i="4" s="1"/>
  <c r="P294" i="4"/>
  <c r="I294" i="4"/>
  <c r="J294" i="4" s="1"/>
  <c r="L294" i="4" s="1"/>
  <c r="O294" i="4" s="1"/>
  <c r="G294" i="4"/>
  <c r="H294" i="4" s="1"/>
  <c r="P293" i="4"/>
  <c r="I293" i="4"/>
  <c r="J293" i="4" s="1"/>
  <c r="L293" i="4" s="1"/>
  <c r="O293" i="4" s="1"/>
  <c r="G293" i="4"/>
  <c r="H293" i="4" s="1"/>
  <c r="P292" i="4"/>
  <c r="I292" i="4"/>
  <c r="J292" i="4" s="1"/>
  <c r="L292" i="4" s="1"/>
  <c r="O292" i="4" s="1"/>
  <c r="G292" i="4"/>
  <c r="H292" i="4" s="1"/>
  <c r="P291" i="4"/>
  <c r="I291" i="4"/>
  <c r="J291" i="4" s="1"/>
  <c r="L291" i="4" s="1"/>
  <c r="O291" i="4" s="1"/>
  <c r="G291" i="4"/>
  <c r="H291" i="4" s="1"/>
  <c r="P290" i="4"/>
  <c r="I290" i="4"/>
  <c r="J290" i="4" s="1"/>
  <c r="L290" i="4" s="1"/>
  <c r="O290" i="4" s="1"/>
  <c r="G290" i="4"/>
  <c r="H290" i="4" s="1"/>
  <c r="P289" i="4"/>
  <c r="I289" i="4"/>
  <c r="J289" i="4" s="1"/>
  <c r="L289" i="4" s="1"/>
  <c r="O289" i="4" s="1"/>
  <c r="G289" i="4"/>
  <c r="H289" i="4" s="1"/>
  <c r="P288" i="4"/>
  <c r="I288" i="4"/>
  <c r="J288" i="4" s="1"/>
  <c r="L288" i="4" s="1"/>
  <c r="O288" i="4" s="1"/>
  <c r="G288" i="4"/>
  <c r="H288" i="4" s="1"/>
  <c r="P287" i="4"/>
  <c r="I287" i="4"/>
  <c r="J287" i="4" s="1"/>
  <c r="L287" i="4" s="1"/>
  <c r="O287" i="4" s="1"/>
  <c r="G287" i="4"/>
  <c r="H287" i="4" s="1"/>
  <c r="P286" i="4"/>
  <c r="I286" i="4"/>
  <c r="J286" i="4" s="1"/>
  <c r="L286" i="4" s="1"/>
  <c r="O286" i="4" s="1"/>
  <c r="G286" i="4"/>
  <c r="H286" i="4" s="1"/>
  <c r="P285" i="4"/>
  <c r="I285" i="4"/>
  <c r="J285" i="4" s="1"/>
  <c r="L285" i="4" s="1"/>
  <c r="O285" i="4" s="1"/>
  <c r="G285" i="4"/>
  <c r="H285" i="4" s="1"/>
  <c r="P284" i="4"/>
  <c r="I284" i="4"/>
  <c r="J284" i="4" s="1"/>
  <c r="L284" i="4" s="1"/>
  <c r="O284" i="4" s="1"/>
  <c r="G284" i="4"/>
  <c r="H284" i="4" s="1"/>
  <c r="P283" i="4"/>
  <c r="I283" i="4"/>
  <c r="J283" i="4" s="1"/>
  <c r="L283" i="4" s="1"/>
  <c r="O283" i="4" s="1"/>
  <c r="G283" i="4"/>
  <c r="H283" i="4" s="1"/>
  <c r="P282" i="4"/>
  <c r="I282" i="4"/>
  <c r="J282" i="4" s="1"/>
  <c r="L282" i="4" s="1"/>
  <c r="O282" i="4" s="1"/>
  <c r="G282" i="4"/>
  <c r="H282" i="4" s="1"/>
  <c r="P281" i="4"/>
  <c r="I281" i="4"/>
  <c r="J281" i="4" s="1"/>
  <c r="L281" i="4" s="1"/>
  <c r="O281" i="4" s="1"/>
  <c r="G281" i="4"/>
  <c r="H281" i="4" s="1"/>
  <c r="P280" i="4"/>
  <c r="I280" i="4"/>
  <c r="J280" i="4" s="1"/>
  <c r="L280" i="4" s="1"/>
  <c r="O280" i="4" s="1"/>
  <c r="G280" i="4"/>
  <c r="H280" i="4" s="1"/>
  <c r="P279" i="4"/>
  <c r="I279" i="4"/>
  <c r="J279" i="4" s="1"/>
  <c r="L279" i="4" s="1"/>
  <c r="O279" i="4" s="1"/>
  <c r="G279" i="4"/>
  <c r="H279" i="4" s="1"/>
  <c r="P278" i="4"/>
  <c r="I278" i="4"/>
  <c r="J278" i="4" s="1"/>
  <c r="L278" i="4" s="1"/>
  <c r="O278" i="4" s="1"/>
  <c r="G278" i="4"/>
  <c r="H278" i="4" s="1"/>
  <c r="P277" i="4"/>
  <c r="I277" i="4"/>
  <c r="J277" i="4" s="1"/>
  <c r="L277" i="4" s="1"/>
  <c r="O277" i="4" s="1"/>
  <c r="G277" i="4"/>
  <c r="H277" i="4" s="1"/>
  <c r="P276" i="4"/>
  <c r="I276" i="4"/>
  <c r="J276" i="4" s="1"/>
  <c r="L276" i="4" s="1"/>
  <c r="O276" i="4" s="1"/>
  <c r="G276" i="4"/>
  <c r="H276" i="4" s="1"/>
  <c r="P275" i="4"/>
  <c r="I275" i="4"/>
  <c r="J275" i="4" s="1"/>
  <c r="L275" i="4" s="1"/>
  <c r="O275" i="4" s="1"/>
  <c r="G275" i="4"/>
  <c r="H275" i="4" s="1"/>
  <c r="P274" i="4"/>
  <c r="I274" i="4"/>
  <c r="J274" i="4" s="1"/>
  <c r="L274" i="4" s="1"/>
  <c r="O274" i="4" s="1"/>
  <c r="G274" i="4"/>
  <c r="H274" i="4" s="1"/>
  <c r="P273" i="4"/>
  <c r="I273" i="4"/>
  <c r="J273" i="4" s="1"/>
  <c r="L273" i="4" s="1"/>
  <c r="O273" i="4" s="1"/>
  <c r="G273" i="4"/>
  <c r="H273" i="4" s="1"/>
  <c r="P272" i="4"/>
  <c r="I272" i="4"/>
  <c r="J272" i="4" s="1"/>
  <c r="L272" i="4" s="1"/>
  <c r="O272" i="4" s="1"/>
  <c r="G272" i="4"/>
  <c r="H272" i="4" s="1"/>
  <c r="P271" i="4"/>
  <c r="I271" i="4"/>
  <c r="J271" i="4" s="1"/>
  <c r="L271" i="4" s="1"/>
  <c r="O271" i="4" s="1"/>
  <c r="G271" i="4"/>
  <c r="H271" i="4" s="1"/>
  <c r="P270" i="4"/>
  <c r="I270" i="4"/>
  <c r="J270" i="4" s="1"/>
  <c r="L270" i="4" s="1"/>
  <c r="O270" i="4" s="1"/>
  <c r="G270" i="4"/>
  <c r="H270" i="4" s="1"/>
  <c r="P269" i="4"/>
  <c r="I269" i="4"/>
  <c r="J269" i="4" s="1"/>
  <c r="L269" i="4" s="1"/>
  <c r="O269" i="4" s="1"/>
  <c r="G269" i="4"/>
  <c r="H269" i="4" s="1"/>
  <c r="P268" i="4"/>
  <c r="I268" i="4"/>
  <c r="J268" i="4" s="1"/>
  <c r="L268" i="4" s="1"/>
  <c r="O268" i="4" s="1"/>
  <c r="G268" i="4"/>
  <c r="H268" i="4" s="1"/>
  <c r="P267" i="4"/>
  <c r="I267" i="4"/>
  <c r="J267" i="4" s="1"/>
  <c r="L267" i="4" s="1"/>
  <c r="O267" i="4" s="1"/>
  <c r="G267" i="4"/>
  <c r="H267" i="4" s="1"/>
  <c r="P266" i="4"/>
  <c r="I266" i="4"/>
  <c r="J266" i="4" s="1"/>
  <c r="L266" i="4" s="1"/>
  <c r="O266" i="4" s="1"/>
  <c r="G266" i="4"/>
  <c r="H266" i="4" s="1"/>
  <c r="P265" i="4"/>
  <c r="I265" i="4"/>
  <c r="J265" i="4" s="1"/>
  <c r="L265" i="4" s="1"/>
  <c r="O265" i="4" s="1"/>
  <c r="G265" i="4"/>
  <c r="H265" i="4" s="1"/>
  <c r="P264" i="4"/>
  <c r="I264" i="4"/>
  <c r="J264" i="4" s="1"/>
  <c r="L264" i="4" s="1"/>
  <c r="O264" i="4" s="1"/>
  <c r="G264" i="4"/>
  <c r="H264" i="4" s="1"/>
  <c r="P263" i="4"/>
  <c r="I263" i="4"/>
  <c r="J263" i="4" s="1"/>
  <c r="L263" i="4" s="1"/>
  <c r="O263" i="4" s="1"/>
  <c r="G263" i="4"/>
  <c r="H263" i="4" s="1"/>
  <c r="P262" i="4"/>
  <c r="I262" i="4"/>
  <c r="J262" i="4" s="1"/>
  <c r="L262" i="4" s="1"/>
  <c r="O262" i="4" s="1"/>
  <c r="G262" i="4"/>
  <c r="H262" i="4" s="1"/>
  <c r="P261" i="4"/>
  <c r="I261" i="4"/>
  <c r="J261" i="4" s="1"/>
  <c r="L261" i="4" s="1"/>
  <c r="O261" i="4" s="1"/>
  <c r="G261" i="4"/>
  <c r="H261" i="4" s="1"/>
  <c r="P260" i="4"/>
  <c r="I260" i="4"/>
  <c r="J260" i="4" s="1"/>
  <c r="L260" i="4" s="1"/>
  <c r="O260" i="4" s="1"/>
  <c r="G260" i="4"/>
  <c r="H260" i="4" s="1"/>
  <c r="P259" i="4"/>
  <c r="I259" i="4"/>
  <c r="J259" i="4" s="1"/>
  <c r="L259" i="4" s="1"/>
  <c r="O259" i="4" s="1"/>
  <c r="G259" i="4"/>
  <c r="H259" i="4" s="1"/>
  <c r="P258" i="4"/>
  <c r="I258" i="4"/>
  <c r="J258" i="4" s="1"/>
  <c r="L258" i="4" s="1"/>
  <c r="O258" i="4" s="1"/>
  <c r="G258" i="4"/>
  <c r="H258" i="4" s="1"/>
  <c r="P257" i="4"/>
  <c r="I257" i="4"/>
  <c r="J257" i="4" s="1"/>
  <c r="L257" i="4" s="1"/>
  <c r="O257" i="4" s="1"/>
  <c r="G257" i="4"/>
  <c r="H257" i="4" s="1"/>
  <c r="P256" i="4"/>
  <c r="I256" i="4"/>
  <c r="J256" i="4" s="1"/>
  <c r="L256" i="4" s="1"/>
  <c r="O256" i="4" s="1"/>
  <c r="G256" i="4"/>
  <c r="H256" i="4" s="1"/>
  <c r="P255" i="4"/>
  <c r="I255" i="4"/>
  <c r="J255" i="4" s="1"/>
  <c r="L255" i="4" s="1"/>
  <c r="O255" i="4" s="1"/>
  <c r="G255" i="4"/>
  <c r="H255" i="4" s="1"/>
  <c r="P254" i="4"/>
  <c r="I254" i="4"/>
  <c r="J254" i="4" s="1"/>
  <c r="L254" i="4" s="1"/>
  <c r="O254" i="4" s="1"/>
  <c r="G254" i="4"/>
  <c r="H254" i="4" s="1"/>
  <c r="P253" i="4"/>
  <c r="I253" i="4"/>
  <c r="J253" i="4" s="1"/>
  <c r="L253" i="4" s="1"/>
  <c r="O253" i="4" s="1"/>
  <c r="G253" i="4"/>
  <c r="H253" i="4" s="1"/>
  <c r="P252" i="4"/>
  <c r="I252" i="4"/>
  <c r="J252" i="4" s="1"/>
  <c r="L252" i="4" s="1"/>
  <c r="O252" i="4" s="1"/>
  <c r="G252" i="4"/>
  <c r="H252" i="4" s="1"/>
  <c r="P251" i="4"/>
  <c r="I251" i="4"/>
  <c r="J251" i="4" s="1"/>
  <c r="L251" i="4" s="1"/>
  <c r="O251" i="4" s="1"/>
  <c r="G251" i="4"/>
  <c r="H251" i="4" s="1"/>
  <c r="P250" i="4"/>
  <c r="I250" i="4"/>
  <c r="J250" i="4" s="1"/>
  <c r="L250" i="4" s="1"/>
  <c r="O250" i="4" s="1"/>
  <c r="G250" i="4"/>
  <c r="H250" i="4" s="1"/>
  <c r="P249" i="4"/>
  <c r="I249" i="4"/>
  <c r="J249" i="4" s="1"/>
  <c r="L249" i="4" s="1"/>
  <c r="O249" i="4" s="1"/>
  <c r="G249" i="4"/>
  <c r="H249" i="4" s="1"/>
  <c r="P248" i="4"/>
  <c r="I248" i="4"/>
  <c r="J248" i="4" s="1"/>
  <c r="L248" i="4" s="1"/>
  <c r="O248" i="4" s="1"/>
  <c r="G248" i="4"/>
  <c r="H248" i="4" s="1"/>
  <c r="P247" i="4"/>
  <c r="I247" i="4"/>
  <c r="J247" i="4" s="1"/>
  <c r="L247" i="4" s="1"/>
  <c r="O247" i="4" s="1"/>
  <c r="G247" i="4"/>
  <c r="H247" i="4" s="1"/>
  <c r="P246" i="4"/>
  <c r="I246" i="4"/>
  <c r="J246" i="4" s="1"/>
  <c r="L246" i="4" s="1"/>
  <c r="O246" i="4" s="1"/>
  <c r="G246" i="4"/>
  <c r="H246" i="4" s="1"/>
  <c r="P245" i="4"/>
  <c r="I245" i="4"/>
  <c r="J245" i="4" s="1"/>
  <c r="L245" i="4" s="1"/>
  <c r="O245" i="4" s="1"/>
  <c r="G245" i="4"/>
  <c r="H245" i="4" s="1"/>
  <c r="P244" i="4"/>
  <c r="I244" i="4"/>
  <c r="J244" i="4" s="1"/>
  <c r="L244" i="4" s="1"/>
  <c r="O244" i="4" s="1"/>
  <c r="G244" i="4"/>
  <c r="H244" i="4" s="1"/>
  <c r="P243" i="4"/>
  <c r="I243" i="4"/>
  <c r="J243" i="4" s="1"/>
  <c r="L243" i="4" s="1"/>
  <c r="O243" i="4" s="1"/>
  <c r="G243" i="4"/>
  <c r="H243" i="4" s="1"/>
  <c r="P242" i="4"/>
  <c r="I242" i="4"/>
  <c r="J242" i="4" s="1"/>
  <c r="L242" i="4" s="1"/>
  <c r="O242" i="4" s="1"/>
  <c r="G242" i="4"/>
  <c r="H242" i="4" s="1"/>
  <c r="P241" i="4"/>
  <c r="I241" i="4"/>
  <c r="J241" i="4" s="1"/>
  <c r="L241" i="4" s="1"/>
  <c r="O241" i="4" s="1"/>
  <c r="G241" i="4"/>
  <c r="H241" i="4" s="1"/>
  <c r="P240" i="4"/>
  <c r="I240" i="4"/>
  <c r="J240" i="4" s="1"/>
  <c r="L240" i="4" s="1"/>
  <c r="O240" i="4" s="1"/>
  <c r="G240" i="4"/>
  <c r="H240" i="4" s="1"/>
  <c r="P239" i="4"/>
  <c r="I239" i="4"/>
  <c r="J239" i="4" s="1"/>
  <c r="L239" i="4" s="1"/>
  <c r="O239" i="4" s="1"/>
  <c r="G239" i="4"/>
  <c r="H239" i="4" s="1"/>
  <c r="P238" i="4"/>
  <c r="I238" i="4"/>
  <c r="J238" i="4" s="1"/>
  <c r="L238" i="4" s="1"/>
  <c r="O238" i="4" s="1"/>
  <c r="G238" i="4"/>
  <c r="H238" i="4" s="1"/>
  <c r="P237" i="4"/>
  <c r="I237" i="4"/>
  <c r="J237" i="4" s="1"/>
  <c r="L237" i="4" s="1"/>
  <c r="O237" i="4" s="1"/>
  <c r="G237" i="4"/>
  <c r="H237" i="4" s="1"/>
  <c r="P236" i="4"/>
  <c r="I236" i="4"/>
  <c r="J236" i="4" s="1"/>
  <c r="L236" i="4" s="1"/>
  <c r="O236" i="4" s="1"/>
  <c r="G236" i="4"/>
  <c r="H236" i="4" s="1"/>
  <c r="P235" i="4"/>
  <c r="I235" i="4"/>
  <c r="J235" i="4" s="1"/>
  <c r="L235" i="4" s="1"/>
  <c r="O235" i="4" s="1"/>
  <c r="G235" i="4"/>
  <c r="H235" i="4" s="1"/>
  <c r="P234" i="4"/>
  <c r="I234" i="4"/>
  <c r="J234" i="4" s="1"/>
  <c r="L234" i="4" s="1"/>
  <c r="O234" i="4" s="1"/>
  <c r="G234" i="4"/>
  <c r="H234" i="4" s="1"/>
  <c r="P233" i="4"/>
  <c r="I233" i="4"/>
  <c r="J233" i="4" s="1"/>
  <c r="L233" i="4" s="1"/>
  <c r="O233" i="4" s="1"/>
  <c r="G233" i="4"/>
  <c r="H233" i="4" s="1"/>
  <c r="P232" i="4"/>
  <c r="I232" i="4"/>
  <c r="J232" i="4" s="1"/>
  <c r="L232" i="4" s="1"/>
  <c r="O232" i="4" s="1"/>
  <c r="G232" i="4"/>
  <c r="H232" i="4" s="1"/>
  <c r="P231" i="4"/>
  <c r="I231" i="4"/>
  <c r="J231" i="4" s="1"/>
  <c r="L231" i="4" s="1"/>
  <c r="O231" i="4" s="1"/>
  <c r="G231" i="4"/>
  <c r="H231" i="4" s="1"/>
  <c r="P230" i="4"/>
  <c r="I230" i="4"/>
  <c r="J230" i="4" s="1"/>
  <c r="L230" i="4" s="1"/>
  <c r="O230" i="4" s="1"/>
  <c r="G230" i="4"/>
  <c r="H230" i="4" s="1"/>
  <c r="P229" i="4"/>
  <c r="I229" i="4"/>
  <c r="J229" i="4" s="1"/>
  <c r="L229" i="4" s="1"/>
  <c r="O229" i="4" s="1"/>
  <c r="G229" i="4"/>
  <c r="H229" i="4" s="1"/>
  <c r="P228" i="4"/>
  <c r="I228" i="4"/>
  <c r="J228" i="4" s="1"/>
  <c r="L228" i="4" s="1"/>
  <c r="O228" i="4" s="1"/>
  <c r="G228" i="4"/>
  <c r="H228" i="4" s="1"/>
  <c r="P227" i="4"/>
  <c r="I227" i="4"/>
  <c r="J227" i="4" s="1"/>
  <c r="L227" i="4" s="1"/>
  <c r="O227" i="4" s="1"/>
  <c r="G227" i="4"/>
  <c r="H227" i="4" s="1"/>
  <c r="P226" i="4"/>
  <c r="I226" i="4"/>
  <c r="J226" i="4" s="1"/>
  <c r="L226" i="4" s="1"/>
  <c r="O226" i="4" s="1"/>
  <c r="G226" i="4"/>
  <c r="H226" i="4" s="1"/>
  <c r="P225" i="4"/>
  <c r="I225" i="4"/>
  <c r="J225" i="4" s="1"/>
  <c r="L225" i="4" s="1"/>
  <c r="O225" i="4" s="1"/>
  <c r="G225" i="4"/>
  <c r="H225" i="4" s="1"/>
  <c r="P224" i="4"/>
  <c r="I224" i="4"/>
  <c r="J224" i="4" s="1"/>
  <c r="L224" i="4" s="1"/>
  <c r="O224" i="4" s="1"/>
  <c r="G224" i="4"/>
  <c r="H224" i="4" s="1"/>
  <c r="P223" i="4"/>
  <c r="I223" i="4"/>
  <c r="J223" i="4" s="1"/>
  <c r="L223" i="4" s="1"/>
  <c r="O223" i="4" s="1"/>
  <c r="G223" i="4"/>
  <c r="H223" i="4" s="1"/>
  <c r="P222" i="4"/>
  <c r="I222" i="4"/>
  <c r="J222" i="4" s="1"/>
  <c r="L222" i="4" s="1"/>
  <c r="O222" i="4" s="1"/>
  <c r="G222" i="4"/>
  <c r="H222" i="4" s="1"/>
  <c r="P221" i="4"/>
  <c r="I221" i="4"/>
  <c r="J221" i="4" s="1"/>
  <c r="L221" i="4" s="1"/>
  <c r="O221" i="4" s="1"/>
  <c r="G221" i="4"/>
  <c r="H221" i="4" s="1"/>
  <c r="P220" i="4"/>
  <c r="I220" i="4"/>
  <c r="J220" i="4" s="1"/>
  <c r="L220" i="4" s="1"/>
  <c r="O220" i="4" s="1"/>
  <c r="G220" i="4"/>
  <c r="H220" i="4" s="1"/>
  <c r="P219" i="4"/>
  <c r="I219" i="4"/>
  <c r="J219" i="4" s="1"/>
  <c r="L219" i="4" s="1"/>
  <c r="O219" i="4" s="1"/>
  <c r="G219" i="4"/>
  <c r="H219" i="4" s="1"/>
  <c r="P218" i="4"/>
  <c r="I218" i="4"/>
  <c r="J218" i="4" s="1"/>
  <c r="L218" i="4" s="1"/>
  <c r="O218" i="4" s="1"/>
  <c r="G218" i="4"/>
  <c r="H218" i="4" s="1"/>
  <c r="P217" i="4"/>
  <c r="I217" i="4"/>
  <c r="J217" i="4" s="1"/>
  <c r="L217" i="4" s="1"/>
  <c r="O217" i="4" s="1"/>
  <c r="G217" i="4"/>
  <c r="H217" i="4" s="1"/>
  <c r="P216" i="4"/>
  <c r="I216" i="4"/>
  <c r="J216" i="4" s="1"/>
  <c r="L216" i="4" s="1"/>
  <c r="O216" i="4" s="1"/>
  <c r="G216" i="4"/>
  <c r="H216" i="4" s="1"/>
  <c r="P215" i="4"/>
  <c r="I215" i="4"/>
  <c r="J215" i="4" s="1"/>
  <c r="L215" i="4" s="1"/>
  <c r="O215" i="4" s="1"/>
  <c r="G215" i="4"/>
  <c r="H215" i="4" s="1"/>
  <c r="P214" i="4"/>
  <c r="I214" i="4"/>
  <c r="J214" i="4" s="1"/>
  <c r="L214" i="4" s="1"/>
  <c r="O214" i="4" s="1"/>
  <c r="G214" i="4"/>
  <c r="H214" i="4" s="1"/>
  <c r="P213" i="4"/>
  <c r="I213" i="4"/>
  <c r="J213" i="4" s="1"/>
  <c r="L213" i="4" s="1"/>
  <c r="O213" i="4" s="1"/>
  <c r="G213" i="4"/>
  <c r="H213" i="4" s="1"/>
  <c r="P212" i="4"/>
  <c r="I212" i="4"/>
  <c r="J212" i="4" s="1"/>
  <c r="L212" i="4" s="1"/>
  <c r="O212" i="4" s="1"/>
  <c r="G212" i="4"/>
  <c r="H212" i="4" s="1"/>
  <c r="P211" i="4"/>
  <c r="I211" i="4"/>
  <c r="J211" i="4" s="1"/>
  <c r="L211" i="4" s="1"/>
  <c r="O211" i="4" s="1"/>
  <c r="G211" i="4"/>
  <c r="H211" i="4" s="1"/>
  <c r="P210" i="4"/>
  <c r="I210" i="4"/>
  <c r="J210" i="4" s="1"/>
  <c r="L210" i="4" s="1"/>
  <c r="O210" i="4" s="1"/>
  <c r="G210" i="4"/>
  <c r="H210" i="4" s="1"/>
  <c r="P209" i="4"/>
  <c r="I209" i="4"/>
  <c r="J209" i="4" s="1"/>
  <c r="L209" i="4" s="1"/>
  <c r="O209" i="4" s="1"/>
  <c r="G209" i="4"/>
  <c r="H209" i="4" s="1"/>
  <c r="P208" i="4"/>
  <c r="I208" i="4"/>
  <c r="J208" i="4" s="1"/>
  <c r="L208" i="4" s="1"/>
  <c r="O208" i="4" s="1"/>
  <c r="G208" i="4"/>
  <c r="H208" i="4" s="1"/>
  <c r="P207" i="4"/>
  <c r="I207" i="4"/>
  <c r="J207" i="4" s="1"/>
  <c r="L207" i="4" s="1"/>
  <c r="O207" i="4" s="1"/>
  <c r="G207" i="4"/>
  <c r="H207" i="4" s="1"/>
  <c r="P206" i="4"/>
  <c r="I206" i="4"/>
  <c r="J206" i="4" s="1"/>
  <c r="L206" i="4" s="1"/>
  <c r="O206" i="4" s="1"/>
  <c r="G206" i="4"/>
  <c r="H206" i="4" s="1"/>
  <c r="P205" i="4"/>
  <c r="I205" i="4"/>
  <c r="J205" i="4" s="1"/>
  <c r="L205" i="4" s="1"/>
  <c r="O205" i="4" s="1"/>
  <c r="G205" i="4"/>
  <c r="H205" i="4" s="1"/>
  <c r="P204" i="4"/>
  <c r="I204" i="4"/>
  <c r="J204" i="4" s="1"/>
  <c r="L204" i="4" s="1"/>
  <c r="O204" i="4" s="1"/>
  <c r="G204" i="4"/>
  <c r="H204" i="4" s="1"/>
  <c r="P203" i="4"/>
  <c r="I203" i="4"/>
  <c r="J203" i="4" s="1"/>
  <c r="L203" i="4" s="1"/>
  <c r="O203" i="4" s="1"/>
  <c r="G203" i="4"/>
  <c r="H203" i="4" s="1"/>
  <c r="P202" i="4"/>
  <c r="I202" i="4"/>
  <c r="J202" i="4" s="1"/>
  <c r="L202" i="4" s="1"/>
  <c r="O202" i="4" s="1"/>
  <c r="G202" i="4"/>
  <c r="H202" i="4" s="1"/>
  <c r="P201" i="4"/>
  <c r="I201" i="4"/>
  <c r="J201" i="4" s="1"/>
  <c r="L201" i="4" s="1"/>
  <c r="O201" i="4" s="1"/>
  <c r="G201" i="4"/>
  <c r="H201" i="4" s="1"/>
  <c r="P200" i="4"/>
  <c r="I200" i="4"/>
  <c r="J200" i="4" s="1"/>
  <c r="L200" i="4" s="1"/>
  <c r="O200" i="4" s="1"/>
  <c r="G200" i="4"/>
  <c r="H200" i="4" s="1"/>
  <c r="P199" i="4"/>
  <c r="I199" i="4"/>
  <c r="J199" i="4" s="1"/>
  <c r="L199" i="4" s="1"/>
  <c r="O199" i="4" s="1"/>
  <c r="G199" i="4"/>
  <c r="H199" i="4" s="1"/>
  <c r="P198" i="4"/>
  <c r="I198" i="4"/>
  <c r="J198" i="4" s="1"/>
  <c r="L198" i="4" s="1"/>
  <c r="O198" i="4" s="1"/>
  <c r="G198" i="4"/>
  <c r="H198" i="4" s="1"/>
  <c r="P197" i="4"/>
  <c r="I197" i="4"/>
  <c r="J197" i="4" s="1"/>
  <c r="L197" i="4" s="1"/>
  <c r="O197" i="4" s="1"/>
  <c r="G197" i="4"/>
  <c r="H197" i="4" s="1"/>
  <c r="P196" i="4"/>
  <c r="I196" i="4"/>
  <c r="J196" i="4" s="1"/>
  <c r="L196" i="4" s="1"/>
  <c r="O196" i="4" s="1"/>
  <c r="G196" i="4"/>
  <c r="H196" i="4" s="1"/>
  <c r="P195" i="4"/>
  <c r="I195" i="4"/>
  <c r="J195" i="4" s="1"/>
  <c r="L195" i="4" s="1"/>
  <c r="O195" i="4" s="1"/>
  <c r="G195" i="4"/>
  <c r="H195" i="4" s="1"/>
  <c r="P194" i="4"/>
  <c r="I194" i="4"/>
  <c r="J194" i="4" s="1"/>
  <c r="L194" i="4" s="1"/>
  <c r="O194" i="4" s="1"/>
  <c r="G194" i="4"/>
  <c r="H194" i="4" s="1"/>
  <c r="P193" i="4"/>
  <c r="I193" i="4"/>
  <c r="J193" i="4" s="1"/>
  <c r="L193" i="4" s="1"/>
  <c r="O193" i="4" s="1"/>
  <c r="G193" i="4"/>
  <c r="H193" i="4" s="1"/>
  <c r="P192" i="4"/>
  <c r="I192" i="4"/>
  <c r="J192" i="4" s="1"/>
  <c r="L192" i="4" s="1"/>
  <c r="O192" i="4" s="1"/>
  <c r="G192" i="4"/>
  <c r="H192" i="4" s="1"/>
  <c r="P191" i="4"/>
  <c r="I191" i="4"/>
  <c r="J191" i="4" s="1"/>
  <c r="L191" i="4" s="1"/>
  <c r="O191" i="4" s="1"/>
  <c r="G191" i="4"/>
  <c r="H191" i="4" s="1"/>
  <c r="P190" i="4"/>
  <c r="I190" i="4"/>
  <c r="J190" i="4" s="1"/>
  <c r="L190" i="4" s="1"/>
  <c r="O190" i="4" s="1"/>
  <c r="G190" i="4"/>
  <c r="H190" i="4" s="1"/>
  <c r="P189" i="4"/>
  <c r="I189" i="4"/>
  <c r="J189" i="4" s="1"/>
  <c r="L189" i="4" s="1"/>
  <c r="O189" i="4" s="1"/>
  <c r="G189" i="4"/>
  <c r="H189" i="4" s="1"/>
  <c r="P188" i="4"/>
  <c r="G188" i="4"/>
  <c r="H188" i="4" s="1"/>
  <c r="P187" i="4"/>
  <c r="G187" i="4"/>
  <c r="H187" i="4" s="1"/>
  <c r="P186" i="4"/>
  <c r="G186" i="4"/>
  <c r="H186" i="4" s="1"/>
  <c r="P185" i="4"/>
  <c r="G185" i="4"/>
  <c r="H185" i="4" s="1"/>
  <c r="P184" i="4"/>
  <c r="G184" i="4"/>
  <c r="H184" i="4" s="1"/>
  <c r="P183" i="4"/>
  <c r="G183" i="4"/>
  <c r="H183" i="4" s="1"/>
  <c r="P182" i="4"/>
  <c r="G182" i="4"/>
  <c r="H182" i="4" s="1"/>
  <c r="P181" i="4"/>
  <c r="G181" i="4"/>
  <c r="H181" i="4" s="1"/>
  <c r="P180" i="4"/>
  <c r="G180" i="4"/>
  <c r="H180" i="4" s="1"/>
  <c r="P179" i="4"/>
  <c r="G179" i="4"/>
  <c r="H179" i="4" s="1"/>
  <c r="P178" i="4"/>
  <c r="G178" i="4"/>
  <c r="H178" i="4" s="1"/>
  <c r="P177" i="4"/>
  <c r="G177" i="4"/>
  <c r="H177" i="4" s="1"/>
  <c r="P176" i="4"/>
  <c r="G176" i="4"/>
  <c r="H176" i="4" s="1"/>
  <c r="P175" i="4"/>
  <c r="G175" i="4"/>
  <c r="H175" i="4" s="1"/>
  <c r="P174" i="4"/>
  <c r="G174" i="4"/>
  <c r="H174" i="4" s="1"/>
  <c r="P173" i="4"/>
  <c r="G173" i="4"/>
  <c r="H173" i="4" s="1"/>
  <c r="P172" i="4"/>
  <c r="G172" i="4"/>
  <c r="H172" i="4" s="1"/>
  <c r="P171" i="4"/>
  <c r="G171" i="4"/>
  <c r="H171" i="4" s="1"/>
  <c r="P170" i="4"/>
  <c r="G170" i="4"/>
  <c r="H170" i="4" s="1"/>
  <c r="P169" i="4"/>
  <c r="G169" i="4"/>
  <c r="H169" i="4" s="1"/>
  <c r="P168" i="4"/>
  <c r="G168" i="4"/>
  <c r="H168" i="4" s="1"/>
  <c r="P167" i="4"/>
  <c r="G167" i="4"/>
  <c r="H167" i="4" s="1"/>
  <c r="P166" i="4"/>
  <c r="G166" i="4"/>
  <c r="H166" i="4" s="1"/>
  <c r="P165" i="4"/>
  <c r="G165" i="4"/>
  <c r="H165" i="4" s="1"/>
  <c r="P164" i="4"/>
  <c r="G164" i="4"/>
  <c r="H164" i="4" s="1"/>
  <c r="P163" i="4"/>
  <c r="G163" i="4"/>
  <c r="H163" i="4" s="1"/>
  <c r="P162" i="4"/>
  <c r="G162" i="4"/>
  <c r="H162" i="4" s="1"/>
  <c r="P161" i="4"/>
  <c r="G161" i="4"/>
  <c r="H161" i="4" s="1"/>
  <c r="P160" i="4"/>
  <c r="I160" i="4"/>
  <c r="J160" i="4" s="1"/>
  <c r="L160" i="4" s="1"/>
  <c r="O160" i="4" s="1"/>
  <c r="G160" i="4"/>
  <c r="H160" i="4" s="1"/>
  <c r="P159" i="4"/>
  <c r="I159" i="4"/>
  <c r="J159" i="4" s="1"/>
  <c r="L159" i="4" s="1"/>
  <c r="O159" i="4" s="1"/>
  <c r="G159" i="4"/>
  <c r="H159" i="4" s="1"/>
  <c r="P158" i="4"/>
  <c r="I158" i="4"/>
  <c r="J158" i="4" s="1"/>
  <c r="L158" i="4" s="1"/>
  <c r="O158" i="4" s="1"/>
  <c r="G158" i="4"/>
  <c r="H158" i="4" s="1"/>
  <c r="P157" i="4"/>
  <c r="I157" i="4"/>
  <c r="J157" i="4" s="1"/>
  <c r="L157" i="4" s="1"/>
  <c r="O157" i="4" s="1"/>
  <c r="G157" i="4"/>
  <c r="H157" i="4" s="1"/>
  <c r="P156" i="4"/>
  <c r="I156" i="4"/>
  <c r="J156" i="4" s="1"/>
  <c r="L156" i="4" s="1"/>
  <c r="O156" i="4" s="1"/>
  <c r="G156" i="4"/>
  <c r="H156" i="4" s="1"/>
  <c r="P155" i="4"/>
  <c r="I155" i="4"/>
  <c r="J155" i="4" s="1"/>
  <c r="L155" i="4" s="1"/>
  <c r="O155" i="4" s="1"/>
  <c r="G155" i="4"/>
  <c r="H155" i="4" s="1"/>
  <c r="P154" i="4"/>
  <c r="I154" i="4"/>
  <c r="J154" i="4" s="1"/>
  <c r="L154" i="4" s="1"/>
  <c r="O154" i="4" s="1"/>
  <c r="G154" i="4"/>
  <c r="H154" i="4" s="1"/>
  <c r="P153" i="4"/>
  <c r="I153" i="4"/>
  <c r="J153" i="4" s="1"/>
  <c r="L153" i="4" s="1"/>
  <c r="O153" i="4" s="1"/>
  <c r="G153" i="4"/>
  <c r="H153" i="4" s="1"/>
  <c r="P152" i="4"/>
  <c r="I152" i="4"/>
  <c r="J152" i="4" s="1"/>
  <c r="L152" i="4" s="1"/>
  <c r="O152" i="4" s="1"/>
  <c r="G152" i="4"/>
  <c r="H152" i="4" s="1"/>
  <c r="P151" i="4"/>
  <c r="I151" i="4"/>
  <c r="J151" i="4" s="1"/>
  <c r="L151" i="4" s="1"/>
  <c r="O151" i="4" s="1"/>
  <c r="G151" i="4"/>
  <c r="H151" i="4" s="1"/>
  <c r="P150" i="4"/>
  <c r="I150" i="4"/>
  <c r="J150" i="4" s="1"/>
  <c r="L150" i="4" s="1"/>
  <c r="O150" i="4" s="1"/>
  <c r="G150" i="4"/>
  <c r="H150" i="4" s="1"/>
  <c r="P149" i="4"/>
  <c r="I149" i="4"/>
  <c r="J149" i="4" s="1"/>
  <c r="L149" i="4" s="1"/>
  <c r="O149" i="4" s="1"/>
  <c r="G149" i="4"/>
  <c r="H149" i="4" s="1"/>
  <c r="P148" i="4"/>
  <c r="I148" i="4"/>
  <c r="J148" i="4" s="1"/>
  <c r="L148" i="4" s="1"/>
  <c r="O148" i="4" s="1"/>
  <c r="G148" i="4"/>
  <c r="H148" i="4" s="1"/>
  <c r="P147" i="4"/>
  <c r="I147" i="4"/>
  <c r="J147" i="4" s="1"/>
  <c r="L147" i="4" s="1"/>
  <c r="O147" i="4" s="1"/>
  <c r="G147" i="4"/>
  <c r="H147" i="4" s="1"/>
  <c r="P146" i="4"/>
  <c r="I146" i="4"/>
  <c r="J146" i="4" s="1"/>
  <c r="L146" i="4" s="1"/>
  <c r="O146" i="4" s="1"/>
  <c r="G146" i="4"/>
  <c r="H146" i="4" s="1"/>
  <c r="P145" i="4"/>
  <c r="I145" i="4"/>
  <c r="J145" i="4" s="1"/>
  <c r="L145" i="4" s="1"/>
  <c r="O145" i="4" s="1"/>
  <c r="G145" i="4"/>
  <c r="H145" i="4" s="1"/>
  <c r="P144" i="4"/>
  <c r="I144" i="4"/>
  <c r="J144" i="4" s="1"/>
  <c r="L144" i="4" s="1"/>
  <c r="O144" i="4" s="1"/>
  <c r="G144" i="4"/>
  <c r="H144" i="4" s="1"/>
  <c r="P143" i="4"/>
  <c r="I143" i="4"/>
  <c r="J143" i="4" s="1"/>
  <c r="L143" i="4" s="1"/>
  <c r="O143" i="4" s="1"/>
  <c r="G143" i="4"/>
  <c r="H143" i="4" s="1"/>
  <c r="P142" i="4"/>
  <c r="I142" i="4"/>
  <c r="J142" i="4" s="1"/>
  <c r="L142" i="4" s="1"/>
  <c r="O142" i="4" s="1"/>
  <c r="G142" i="4"/>
  <c r="H142" i="4" s="1"/>
  <c r="P141" i="4"/>
  <c r="I141" i="4"/>
  <c r="J141" i="4" s="1"/>
  <c r="L141" i="4" s="1"/>
  <c r="O141" i="4" s="1"/>
  <c r="G141" i="4"/>
  <c r="H141" i="4" s="1"/>
  <c r="P140" i="4"/>
  <c r="I140" i="4"/>
  <c r="J140" i="4" s="1"/>
  <c r="L140" i="4" s="1"/>
  <c r="O140" i="4" s="1"/>
  <c r="G140" i="4"/>
  <c r="H140" i="4" s="1"/>
  <c r="P139" i="4"/>
  <c r="I139" i="4"/>
  <c r="J139" i="4" s="1"/>
  <c r="L139" i="4" s="1"/>
  <c r="O139" i="4" s="1"/>
  <c r="G139" i="4"/>
  <c r="H139" i="4" s="1"/>
  <c r="P138" i="4"/>
  <c r="I138" i="4"/>
  <c r="J138" i="4" s="1"/>
  <c r="L138" i="4" s="1"/>
  <c r="O138" i="4" s="1"/>
  <c r="G138" i="4"/>
  <c r="H138" i="4" s="1"/>
  <c r="P137" i="4"/>
  <c r="I137" i="4"/>
  <c r="J137" i="4" s="1"/>
  <c r="L137" i="4" s="1"/>
  <c r="O137" i="4" s="1"/>
  <c r="G137" i="4"/>
  <c r="H137" i="4" s="1"/>
  <c r="P136" i="4"/>
  <c r="I136" i="4"/>
  <c r="J136" i="4" s="1"/>
  <c r="L136" i="4" s="1"/>
  <c r="O136" i="4" s="1"/>
  <c r="G136" i="4"/>
  <c r="H136" i="4" s="1"/>
  <c r="P135" i="4"/>
  <c r="I135" i="4"/>
  <c r="J135" i="4" s="1"/>
  <c r="L135" i="4" s="1"/>
  <c r="O135" i="4" s="1"/>
  <c r="G135" i="4"/>
  <c r="H135" i="4" s="1"/>
  <c r="P134" i="4"/>
  <c r="I134" i="4"/>
  <c r="J134" i="4" s="1"/>
  <c r="L134" i="4" s="1"/>
  <c r="O134" i="4" s="1"/>
  <c r="G134" i="4"/>
  <c r="H134" i="4" s="1"/>
  <c r="P133" i="4"/>
  <c r="I133" i="4"/>
  <c r="J133" i="4" s="1"/>
  <c r="L133" i="4" s="1"/>
  <c r="O133" i="4" s="1"/>
  <c r="G133" i="4"/>
  <c r="H133" i="4" s="1"/>
  <c r="P132" i="4"/>
  <c r="I132" i="4"/>
  <c r="J132" i="4" s="1"/>
  <c r="L132" i="4" s="1"/>
  <c r="O132" i="4" s="1"/>
  <c r="G132" i="4"/>
  <c r="H132" i="4" s="1"/>
  <c r="P131" i="4"/>
  <c r="I131" i="4"/>
  <c r="J131" i="4" s="1"/>
  <c r="L131" i="4" s="1"/>
  <c r="O131" i="4" s="1"/>
  <c r="G131" i="4"/>
  <c r="H131" i="4" s="1"/>
  <c r="P130" i="4"/>
  <c r="I130" i="4"/>
  <c r="J130" i="4" s="1"/>
  <c r="L130" i="4" s="1"/>
  <c r="O130" i="4" s="1"/>
  <c r="G130" i="4"/>
  <c r="H130" i="4" s="1"/>
  <c r="P129" i="4"/>
  <c r="I129" i="4"/>
  <c r="J129" i="4" s="1"/>
  <c r="L129" i="4" s="1"/>
  <c r="O129" i="4" s="1"/>
  <c r="G129" i="4"/>
  <c r="H129" i="4" s="1"/>
  <c r="P128" i="4"/>
  <c r="I128" i="4"/>
  <c r="J128" i="4" s="1"/>
  <c r="L128" i="4" s="1"/>
  <c r="O128" i="4" s="1"/>
  <c r="G128" i="4"/>
  <c r="H128" i="4" s="1"/>
  <c r="P127" i="4"/>
  <c r="I127" i="4"/>
  <c r="J127" i="4" s="1"/>
  <c r="L127" i="4" s="1"/>
  <c r="O127" i="4" s="1"/>
  <c r="G127" i="4"/>
  <c r="H127" i="4" s="1"/>
  <c r="P126" i="4"/>
  <c r="I126" i="4"/>
  <c r="J126" i="4" s="1"/>
  <c r="L126" i="4" s="1"/>
  <c r="O126" i="4" s="1"/>
  <c r="G126" i="4"/>
  <c r="H126" i="4" s="1"/>
  <c r="P125" i="4"/>
  <c r="I125" i="4"/>
  <c r="J125" i="4" s="1"/>
  <c r="L125" i="4" s="1"/>
  <c r="O125" i="4" s="1"/>
  <c r="G125" i="4"/>
  <c r="H125" i="4" s="1"/>
  <c r="P124" i="4"/>
  <c r="I124" i="4"/>
  <c r="J124" i="4" s="1"/>
  <c r="L124" i="4" s="1"/>
  <c r="O124" i="4" s="1"/>
  <c r="G124" i="4"/>
  <c r="H124" i="4" s="1"/>
  <c r="P123" i="4"/>
  <c r="I123" i="4"/>
  <c r="J123" i="4" s="1"/>
  <c r="L123" i="4" s="1"/>
  <c r="O123" i="4" s="1"/>
  <c r="G123" i="4"/>
  <c r="H123" i="4" s="1"/>
  <c r="P122" i="4"/>
  <c r="I122" i="4"/>
  <c r="J122" i="4" s="1"/>
  <c r="L122" i="4" s="1"/>
  <c r="O122" i="4" s="1"/>
  <c r="G122" i="4"/>
  <c r="H122" i="4" s="1"/>
  <c r="P121" i="4"/>
  <c r="I121" i="4"/>
  <c r="J121" i="4" s="1"/>
  <c r="L121" i="4" s="1"/>
  <c r="O121" i="4" s="1"/>
  <c r="G121" i="4"/>
  <c r="H121" i="4" s="1"/>
  <c r="P120" i="4"/>
  <c r="I120" i="4"/>
  <c r="J120" i="4" s="1"/>
  <c r="L120" i="4" s="1"/>
  <c r="O120" i="4" s="1"/>
  <c r="G120" i="4"/>
  <c r="H120" i="4" s="1"/>
  <c r="P119" i="4"/>
  <c r="I119" i="4"/>
  <c r="J119" i="4" s="1"/>
  <c r="L119" i="4" s="1"/>
  <c r="O119" i="4" s="1"/>
  <c r="G119" i="4"/>
  <c r="H119" i="4" s="1"/>
  <c r="P118" i="4"/>
  <c r="I118" i="4"/>
  <c r="J118" i="4" s="1"/>
  <c r="L118" i="4" s="1"/>
  <c r="O118" i="4" s="1"/>
  <c r="G118" i="4"/>
  <c r="H118" i="4" s="1"/>
  <c r="P117" i="4"/>
  <c r="I117" i="4"/>
  <c r="J117" i="4" s="1"/>
  <c r="L117" i="4" s="1"/>
  <c r="O117" i="4" s="1"/>
  <c r="G117" i="4"/>
  <c r="H117" i="4" s="1"/>
  <c r="P116" i="4"/>
  <c r="I116" i="4"/>
  <c r="J116" i="4" s="1"/>
  <c r="L116" i="4" s="1"/>
  <c r="O116" i="4" s="1"/>
  <c r="G116" i="4"/>
  <c r="H116" i="4" s="1"/>
  <c r="P115" i="4"/>
  <c r="I115" i="4"/>
  <c r="J115" i="4" s="1"/>
  <c r="L115" i="4" s="1"/>
  <c r="O115" i="4" s="1"/>
  <c r="G115" i="4"/>
  <c r="H115" i="4" s="1"/>
  <c r="P114" i="4"/>
  <c r="I114" i="4"/>
  <c r="J114" i="4" s="1"/>
  <c r="L114" i="4" s="1"/>
  <c r="O114" i="4" s="1"/>
  <c r="G114" i="4"/>
  <c r="H114" i="4" s="1"/>
  <c r="P113" i="4"/>
  <c r="I113" i="4"/>
  <c r="J113" i="4" s="1"/>
  <c r="L113" i="4" s="1"/>
  <c r="O113" i="4" s="1"/>
  <c r="G113" i="4"/>
  <c r="H113" i="4" s="1"/>
  <c r="P112" i="4"/>
  <c r="I112" i="4"/>
  <c r="J112" i="4" s="1"/>
  <c r="L112" i="4" s="1"/>
  <c r="O112" i="4" s="1"/>
  <c r="G112" i="4"/>
  <c r="H112" i="4" s="1"/>
  <c r="P111" i="4"/>
  <c r="I111" i="4"/>
  <c r="J111" i="4" s="1"/>
  <c r="L111" i="4" s="1"/>
  <c r="O111" i="4" s="1"/>
  <c r="G111" i="4"/>
  <c r="H111" i="4" s="1"/>
  <c r="P110" i="4"/>
  <c r="I110" i="4"/>
  <c r="J110" i="4" s="1"/>
  <c r="L110" i="4" s="1"/>
  <c r="O110" i="4" s="1"/>
  <c r="G110" i="4"/>
  <c r="H110" i="4" s="1"/>
  <c r="P109" i="4"/>
  <c r="I109" i="4"/>
  <c r="J109" i="4" s="1"/>
  <c r="L109" i="4" s="1"/>
  <c r="O109" i="4" s="1"/>
  <c r="G109" i="4"/>
  <c r="H109" i="4" s="1"/>
  <c r="P108" i="4"/>
  <c r="I108" i="4"/>
  <c r="J108" i="4" s="1"/>
  <c r="L108" i="4" s="1"/>
  <c r="O108" i="4" s="1"/>
  <c r="G108" i="4"/>
  <c r="H108" i="4" s="1"/>
  <c r="P107" i="4"/>
  <c r="I107" i="4"/>
  <c r="J107" i="4" s="1"/>
  <c r="L107" i="4" s="1"/>
  <c r="O107" i="4" s="1"/>
  <c r="G107" i="4"/>
  <c r="H107" i="4" s="1"/>
  <c r="P106" i="4"/>
  <c r="I106" i="4"/>
  <c r="J106" i="4" s="1"/>
  <c r="L106" i="4" s="1"/>
  <c r="O106" i="4" s="1"/>
  <c r="G106" i="4"/>
  <c r="H106" i="4" s="1"/>
  <c r="P105" i="4"/>
  <c r="I105" i="4"/>
  <c r="J105" i="4" s="1"/>
  <c r="L105" i="4" s="1"/>
  <c r="O105" i="4" s="1"/>
  <c r="G105" i="4"/>
  <c r="H105" i="4" s="1"/>
  <c r="P104" i="4"/>
  <c r="I104" i="4"/>
  <c r="J104" i="4" s="1"/>
  <c r="L104" i="4" s="1"/>
  <c r="O104" i="4" s="1"/>
  <c r="G104" i="4"/>
  <c r="H104" i="4" s="1"/>
  <c r="P103" i="4"/>
  <c r="I103" i="4"/>
  <c r="J103" i="4" s="1"/>
  <c r="L103" i="4" s="1"/>
  <c r="O103" i="4" s="1"/>
  <c r="G103" i="4"/>
  <c r="H103" i="4" s="1"/>
  <c r="P102" i="4"/>
  <c r="I102" i="4"/>
  <c r="J102" i="4" s="1"/>
  <c r="L102" i="4" s="1"/>
  <c r="O102" i="4" s="1"/>
  <c r="G102" i="4"/>
  <c r="H102" i="4" s="1"/>
  <c r="P101" i="4"/>
  <c r="I101" i="4"/>
  <c r="J101" i="4" s="1"/>
  <c r="L101" i="4" s="1"/>
  <c r="O101" i="4" s="1"/>
  <c r="G101" i="4"/>
  <c r="H101" i="4" s="1"/>
  <c r="P100" i="4"/>
  <c r="I100" i="4"/>
  <c r="J100" i="4" s="1"/>
  <c r="L100" i="4" s="1"/>
  <c r="O100" i="4" s="1"/>
  <c r="G100" i="4"/>
  <c r="H100" i="4" s="1"/>
  <c r="P99" i="4"/>
  <c r="I99" i="4"/>
  <c r="J99" i="4" s="1"/>
  <c r="L99" i="4" s="1"/>
  <c r="O99" i="4" s="1"/>
  <c r="G99" i="4"/>
  <c r="H99" i="4" s="1"/>
  <c r="P98" i="4"/>
  <c r="I98" i="4"/>
  <c r="J98" i="4" s="1"/>
  <c r="L98" i="4" s="1"/>
  <c r="O98" i="4" s="1"/>
  <c r="G98" i="4"/>
  <c r="H98" i="4" s="1"/>
  <c r="P97" i="4"/>
  <c r="I97" i="4"/>
  <c r="J97" i="4" s="1"/>
  <c r="L97" i="4" s="1"/>
  <c r="O97" i="4" s="1"/>
  <c r="G97" i="4"/>
  <c r="H97" i="4" s="1"/>
  <c r="P96" i="4"/>
  <c r="I96" i="4"/>
  <c r="J96" i="4" s="1"/>
  <c r="L96" i="4" s="1"/>
  <c r="O96" i="4" s="1"/>
  <c r="G96" i="4"/>
  <c r="H96" i="4" s="1"/>
  <c r="P95" i="4"/>
  <c r="I95" i="4"/>
  <c r="J95" i="4" s="1"/>
  <c r="L95" i="4" s="1"/>
  <c r="O95" i="4" s="1"/>
  <c r="G95" i="4"/>
  <c r="H95" i="4" s="1"/>
  <c r="P94" i="4"/>
  <c r="I94" i="4"/>
  <c r="J94" i="4" s="1"/>
  <c r="L94" i="4" s="1"/>
  <c r="O94" i="4" s="1"/>
  <c r="G94" i="4"/>
  <c r="H94" i="4" s="1"/>
  <c r="P93" i="4"/>
  <c r="I93" i="4"/>
  <c r="J93" i="4" s="1"/>
  <c r="L93" i="4" s="1"/>
  <c r="O93" i="4" s="1"/>
  <c r="G93" i="4"/>
  <c r="H93" i="4" s="1"/>
  <c r="P92" i="4"/>
  <c r="I92" i="4"/>
  <c r="J92" i="4" s="1"/>
  <c r="L92" i="4" s="1"/>
  <c r="O92" i="4" s="1"/>
  <c r="G92" i="4"/>
  <c r="H92" i="4" s="1"/>
  <c r="P91" i="4"/>
  <c r="I91" i="4"/>
  <c r="J91" i="4" s="1"/>
  <c r="L91" i="4" s="1"/>
  <c r="O91" i="4" s="1"/>
  <c r="G91" i="4"/>
  <c r="H91" i="4" s="1"/>
  <c r="P90" i="4"/>
  <c r="I90" i="4"/>
  <c r="J90" i="4" s="1"/>
  <c r="L90" i="4" s="1"/>
  <c r="O90" i="4" s="1"/>
  <c r="G90" i="4"/>
  <c r="H90" i="4" s="1"/>
  <c r="P89" i="4"/>
  <c r="I89" i="4"/>
  <c r="J89" i="4" s="1"/>
  <c r="L89" i="4" s="1"/>
  <c r="O89" i="4" s="1"/>
  <c r="G89" i="4"/>
  <c r="H89" i="4" s="1"/>
  <c r="P88" i="4"/>
  <c r="I88" i="4"/>
  <c r="J88" i="4" s="1"/>
  <c r="L88" i="4" s="1"/>
  <c r="O88" i="4" s="1"/>
  <c r="G88" i="4"/>
  <c r="H88" i="4" s="1"/>
  <c r="P87" i="4"/>
  <c r="I87" i="4"/>
  <c r="J87" i="4" s="1"/>
  <c r="L87" i="4" s="1"/>
  <c r="O87" i="4" s="1"/>
  <c r="G87" i="4"/>
  <c r="H87" i="4" s="1"/>
  <c r="P86" i="4"/>
  <c r="I86" i="4"/>
  <c r="J86" i="4" s="1"/>
  <c r="L86" i="4" s="1"/>
  <c r="O86" i="4" s="1"/>
  <c r="G86" i="4"/>
  <c r="H86" i="4" s="1"/>
  <c r="P85" i="4"/>
  <c r="I85" i="4"/>
  <c r="J85" i="4" s="1"/>
  <c r="L85" i="4" s="1"/>
  <c r="O85" i="4" s="1"/>
  <c r="G85" i="4"/>
  <c r="H85" i="4" s="1"/>
  <c r="P84" i="4"/>
  <c r="I84" i="4"/>
  <c r="J84" i="4" s="1"/>
  <c r="L84" i="4" s="1"/>
  <c r="O84" i="4" s="1"/>
  <c r="G84" i="4"/>
  <c r="H84" i="4" s="1"/>
  <c r="P83" i="4"/>
  <c r="I83" i="4"/>
  <c r="J83" i="4" s="1"/>
  <c r="L83" i="4" s="1"/>
  <c r="O83" i="4" s="1"/>
  <c r="G83" i="4"/>
  <c r="H83" i="4" s="1"/>
  <c r="P82" i="4"/>
  <c r="I82" i="4"/>
  <c r="J82" i="4" s="1"/>
  <c r="L82" i="4" s="1"/>
  <c r="O82" i="4" s="1"/>
  <c r="G82" i="4"/>
  <c r="H82" i="4" s="1"/>
  <c r="P81" i="4"/>
  <c r="I81" i="4"/>
  <c r="J81" i="4" s="1"/>
  <c r="L81" i="4" s="1"/>
  <c r="O81" i="4" s="1"/>
  <c r="G81" i="4"/>
  <c r="H81" i="4" s="1"/>
  <c r="P80" i="4"/>
  <c r="I80" i="4"/>
  <c r="J80" i="4" s="1"/>
  <c r="L80" i="4" s="1"/>
  <c r="O80" i="4" s="1"/>
  <c r="G80" i="4"/>
  <c r="H80" i="4" s="1"/>
  <c r="P79" i="4"/>
  <c r="I79" i="4"/>
  <c r="J79" i="4" s="1"/>
  <c r="L79" i="4" s="1"/>
  <c r="O79" i="4" s="1"/>
  <c r="G79" i="4"/>
  <c r="H79" i="4" s="1"/>
  <c r="P78" i="4"/>
  <c r="I78" i="4"/>
  <c r="J78" i="4" s="1"/>
  <c r="L78" i="4" s="1"/>
  <c r="O78" i="4" s="1"/>
  <c r="G78" i="4"/>
  <c r="H78" i="4" s="1"/>
  <c r="P77" i="4"/>
  <c r="I77" i="4"/>
  <c r="J77" i="4" s="1"/>
  <c r="L77" i="4" s="1"/>
  <c r="O77" i="4" s="1"/>
  <c r="G77" i="4"/>
  <c r="H77" i="4" s="1"/>
  <c r="P76" i="4"/>
  <c r="I76" i="4"/>
  <c r="J76" i="4" s="1"/>
  <c r="L76" i="4" s="1"/>
  <c r="O76" i="4" s="1"/>
  <c r="G76" i="4"/>
  <c r="H76" i="4" s="1"/>
  <c r="P75" i="4"/>
  <c r="I75" i="4"/>
  <c r="J75" i="4" s="1"/>
  <c r="L75" i="4" s="1"/>
  <c r="O75" i="4" s="1"/>
  <c r="G75" i="4"/>
  <c r="H75" i="4" s="1"/>
  <c r="P74" i="4"/>
  <c r="I74" i="4"/>
  <c r="J74" i="4" s="1"/>
  <c r="L74" i="4" s="1"/>
  <c r="O74" i="4" s="1"/>
  <c r="G74" i="4"/>
  <c r="H74" i="4" s="1"/>
  <c r="P73" i="4"/>
  <c r="I73" i="4"/>
  <c r="J73" i="4" s="1"/>
  <c r="L73" i="4" s="1"/>
  <c r="O73" i="4" s="1"/>
  <c r="G73" i="4"/>
  <c r="H73" i="4" s="1"/>
  <c r="P72" i="4"/>
  <c r="I72" i="4"/>
  <c r="J72" i="4" s="1"/>
  <c r="L72" i="4" s="1"/>
  <c r="O72" i="4" s="1"/>
  <c r="G72" i="4"/>
  <c r="H72" i="4" s="1"/>
  <c r="P71" i="4"/>
  <c r="I71" i="4"/>
  <c r="J71" i="4" s="1"/>
  <c r="L71" i="4" s="1"/>
  <c r="O71" i="4" s="1"/>
  <c r="G71" i="4"/>
  <c r="H71" i="4" s="1"/>
  <c r="P70" i="4"/>
  <c r="I70" i="4"/>
  <c r="J70" i="4" s="1"/>
  <c r="L70" i="4" s="1"/>
  <c r="O70" i="4" s="1"/>
  <c r="G70" i="4"/>
  <c r="H70" i="4" s="1"/>
  <c r="P69" i="4"/>
  <c r="I69" i="4"/>
  <c r="J69" i="4" s="1"/>
  <c r="L69" i="4" s="1"/>
  <c r="O69" i="4" s="1"/>
  <c r="G69" i="4"/>
  <c r="H69" i="4" s="1"/>
  <c r="P68" i="4"/>
  <c r="I68" i="4"/>
  <c r="J68" i="4" s="1"/>
  <c r="L68" i="4" s="1"/>
  <c r="O68" i="4" s="1"/>
  <c r="G68" i="4"/>
  <c r="H68" i="4" s="1"/>
  <c r="P67" i="4"/>
  <c r="I67" i="4"/>
  <c r="J67" i="4" s="1"/>
  <c r="L67" i="4" s="1"/>
  <c r="O67" i="4" s="1"/>
  <c r="G67" i="4"/>
  <c r="H67" i="4" s="1"/>
  <c r="P66" i="4"/>
  <c r="I66" i="4"/>
  <c r="J66" i="4" s="1"/>
  <c r="L66" i="4" s="1"/>
  <c r="O66" i="4" s="1"/>
  <c r="G66" i="4"/>
  <c r="H66" i="4" s="1"/>
  <c r="P65" i="4"/>
  <c r="I65" i="4"/>
  <c r="J65" i="4" s="1"/>
  <c r="L65" i="4" s="1"/>
  <c r="O65" i="4" s="1"/>
  <c r="G65" i="4"/>
  <c r="H65" i="4" s="1"/>
  <c r="P64" i="4"/>
  <c r="I64" i="4"/>
  <c r="J64" i="4" s="1"/>
  <c r="L64" i="4" s="1"/>
  <c r="O64" i="4" s="1"/>
  <c r="G64" i="4"/>
  <c r="H64" i="4" s="1"/>
  <c r="P63" i="4"/>
  <c r="I63" i="4"/>
  <c r="J63" i="4" s="1"/>
  <c r="L63" i="4" s="1"/>
  <c r="O63" i="4" s="1"/>
  <c r="G63" i="4"/>
  <c r="H63" i="4" s="1"/>
  <c r="P62" i="4"/>
  <c r="I62" i="4"/>
  <c r="J62" i="4" s="1"/>
  <c r="L62" i="4" s="1"/>
  <c r="O62" i="4" s="1"/>
  <c r="G62" i="4"/>
  <c r="H62" i="4" s="1"/>
  <c r="P61" i="4"/>
  <c r="I61" i="4"/>
  <c r="J61" i="4" s="1"/>
  <c r="L61" i="4" s="1"/>
  <c r="O61" i="4" s="1"/>
  <c r="G61" i="4"/>
  <c r="H61" i="4" s="1"/>
  <c r="P60" i="4"/>
  <c r="I60" i="4"/>
  <c r="J60" i="4" s="1"/>
  <c r="L60" i="4" s="1"/>
  <c r="O60" i="4" s="1"/>
  <c r="G60" i="4"/>
  <c r="H60" i="4" s="1"/>
  <c r="P59" i="4"/>
  <c r="I59" i="4"/>
  <c r="J59" i="4" s="1"/>
  <c r="L59" i="4" s="1"/>
  <c r="O59" i="4" s="1"/>
  <c r="G59" i="4"/>
  <c r="H59" i="4" s="1"/>
  <c r="P58" i="4"/>
  <c r="I58" i="4"/>
  <c r="J58" i="4" s="1"/>
  <c r="L58" i="4" s="1"/>
  <c r="O58" i="4" s="1"/>
  <c r="G58" i="4"/>
  <c r="H58" i="4" s="1"/>
  <c r="P57" i="4"/>
  <c r="I57" i="4"/>
  <c r="J57" i="4" s="1"/>
  <c r="L57" i="4" s="1"/>
  <c r="O57" i="4" s="1"/>
  <c r="G57" i="4"/>
  <c r="H57" i="4" s="1"/>
  <c r="P56" i="4"/>
  <c r="I56" i="4"/>
  <c r="J56" i="4" s="1"/>
  <c r="L56" i="4" s="1"/>
  <c r="O56" i="4" s="1"/>
  <c r="G56" i="4"/>
  <c r="H56" i="4" s="1"/>
  <c r="P55" i="4"/>
  <c r="I55" i="4"/>
  <c r="J55" i="4" s="1"/>
  <c r="L55" i="4" s="1"/>
  <c r="O55" i="4" s="1"/>
  <c r="G55" i="4"/>
  <c r="H55" i="4" s="1"/>
  <c r="P54" i="4"/>
  <c r="I54" i="4"/>
  <c r="J54" i="4" s="1"/>
  <c r="L54" i="4" s="1"/>
  <c r="O54" i="4" s="1"/>
  <c r="G54" i="4"/>
  <c r="H54" i="4" s="1"/>
  <c r="P53" i="4"/>
  <c r="I53" i="4"/>
  <c r="J53" i="4" s="1"/>
  <c r="L53" i="4" s="1"/>
  <c r="O53" i="4" s="1"/>
  <c r="G53" i="4"/>
  <c r="H53" i="4" s="1"/>
  <c r="P52" i="4"/>
  <c r="I52" i="4"/>
  <c r="J52" i="4" s="1"/>
  <c r="L52" i="4" s="1"/>
  <c r="O52" i="4" s="1"/>
  <c r="G52" i="4"/>
  <c r="H52" i="4" s="1"/>
  <c r="P51" i="4"/>
  <c r="I51" i="4"/>
  <c r="J51" i="4" s="1"/>
  <c r="L51" i="4" s="1"/>
  <c r="O51" i="4" s="1"/>
  <c r="G51" i="4"/>
  <c r="H51" i="4" s="1"/>
  <c r="P50" i="4"/>
  <c r="I50" i="4"/>
  <c r="J50" i="4" s="1"/>
  <c r="L50" i="4" s="1"/>
  <c r="O50" i="4" s="1"/>
  <c r="G50" i="4"/>
  <c r="H50" i="4" s="1"/>
  <c r="P49" i="4"/>
  <c r="I49" i="4"/>
  <c r="J49" i="4" s="1"/>
  <c r="L49" i="4" s="1"/>
  <c r="O49" i="4" s="1"/>
  <c r="G49" i="4"/>
  <c r="H49" i="4" s="1"/>
  <c r="P48" i="4"/>
  <c r="I48" i="4"/>
  <c r="J48" i="4" s="1"/>
  <c r="L48" i="4" s="1"/>
  <c r="O48" i="4" s="1"/>
  <c r="G48" i="4"/>
  <c r="H48" i="4" s="1"/>
  <c r="P47" i="4"/>
  <c r="I47" i="4"/>
  <c r="J47" i="4" s="1"/>
  <c r="L47" i="4" s="1"/>
  <c r="O47" i="4" s="1"/>
  <c r="G47" i="4"/>
  <c r="H47" i="4" s="1"/>
  <c r="P46" i="4"/>
  <c r="I46" i="4"/>
  <c r="J46" i="4" s="1"/>
  <c r="L46" i="4" s="1"/>
  <c r="O46" i="4" s="1"/>
  <c r="G46" i="4"/>
  <c r="H46" i="4" s="1"/>
  <c r="P45" i="4"/>
  <c r="I45" i="4"/>
  <c r="J45" i="4" s="1"/>
  <c r="L45" i="4" s="1"/>
  <c r="O45" i="4" s="1"/>
  <c r="G45" i="4"/>
  <c r="H45" i="4" s="1"/>
  <c r="P44" i="4"/>
  <c r="I44" i="4"/>
  <c r="J44" i="4" s="1"/>
  <c r="L44" i="4" s="1"/>
  <c r="O44" i="4" s="1"/>
  <c r="G44" i="4"/>
  <c r="H44" i="4" s="1"/>
  <c r="P43" i="4"/>
  <c r="I43" i="4"/>
  <c r="J43" i="4" s="1"/>
  <c r="L43" i="4" s="1"/>
  <c r="O43" i="4" s="1"/>
  <c r="G43" i="4"/>
  <c r="H43" i="4" s="1"/>
  <c r="P42" i="4"/>
  <c r="I42" i="4"/>
  <c r="J42" i="4" s="1"/>
  <c r="L42" i="4" s="1"/>
  <c r="O42" i="4" s="1"/>
  <c r="G42" i="4"/>
  <c r="H42" i="4" s="1"/>
  <c r="P41" i="4"/>
  <c r="I41" i="4"/>
  <c r="J41" i="4" s="1"/>
  <c r="L41" i="4" s="1"/>
  <c r="O41" i="4" s="1"/>
  <c r="G41" i="4"/>
  <c r="H41" i="4" s="1"/>
  <c r="P40" i="4"/>
  <c r="I40" i="4"/>
  <c r="J40" i="4" s="1"/>
  <c r="L40" i="4" s="1"/>
  <c r="O40" i="4" s="1"/>
  <c r="G40" i="4"/>
  <c r="H40" i="4" s="1"/>
  <c r="P39" i="4"/>
  <c r="I39" i="4"/>
  <c r="J39" i="4" s="1"/>
  <c r="L39" i="4" s="1"/>
  <c r="O39" i="4" s="1"/>
  <c r="G39" i="4"/>
  <c r="H39" i="4" s="1"/>
  <c r="P38" i="4"/>
  <c r="I38" i="4"/>
  <c r="J38" i="4" s="1"/>
  <c r="L38" i="4" s="1"/>
  <c r="O38" i="4" s="1"/>
  <c r="G38" i="4"/>
  <c r="H38" i="4" s="1"/>
  <c r="P37" i="4"/>
  <c r="I37" i="4"/>
  <c r="J37" i="4" s="1"/>
  <c r="L37" i="4" s="1"/>
  <c r="O37" i="4" s="1"/>
  <c r="G37" i="4"/>
  <c r="H37" i="4" s="1"/>
  <c r="P36" i="4"/>
  <c r="I36" i="4"/>
  <c r="J36" i="4" s="1"/>
  <c r="L36" i="4" s="1"/>
  <c r="O36" i="4" s="1"/>
  <c r="G36" i="4"/>
  <c r="H36" i="4" s="1"/>
  <c r="P35" i="4"/>
  <c r="I35" i="4"/>
  <c r="J35" i="4" s="1"/>
  <c r="L35" i="4" s="1"/>
  <c r="O35" i="4" s="1"/>
  <c r="G35" i="4"/>
  <c r="H35" i="4" s="1"/>
  <c r="P34" i="4"/>
  <c r="I34" i="4"/>
  <c r="J34" i="4" s="1"/>
  <c r="L34" i="4" s="1"/>
  <c r="O34" i="4" s="1"/>
  <c r="G34" i="4"/>
  <c r="H34" i="4" s="1"/>
  <c r="P33" i="4"/>
  <c r="I33" i="4"/>
  <c r="J33" i="4" s="1"/>
  <c r="L33" i="4" s="1"/>
  <c r="O33" i="4" s="1"/>
  <c r="G33" i="4"/>
  <c r="H33" i="4" s="1"/>
  <c r="P32" i="4"/>
  <c r="I32" i="4"/>
  <c r="J32" i="4" s="1"/>
  <c r="L32" i="4" s="1"/>
  <c r="O32" i="4" s="1"/>
  <c r="G32" i="4"/>
  <c r="H32" i="4" s="1"/>
  <c r="P31" i="4"/>
  <c r="I31" i="4"/>
  <c r="J31" i="4" s="1"/>
  <c r="L31" i="4" s="1"/>
  <c r="O31" i="4" s="1"/>
  <c r="G31" i="4"/>
  <c r="H31" i="4" s="1"/>
  <c r="P30" i="4"/>
  <c r="I30" i="4"/>
  <c r="J30" i="4" s="1"/>
  <c r="L30" i="4" s="1"/>
  <c r="O30" i="4" s="1"/>
  <c r="G30" i="4"/>
  <c r="H30" i="4" s="1"/>
  <c r="P29" i="4"/>
  <c r="I29" i="4"/>
  <c r="J29" i="4" s="1"/>
  <c r="L29" i="4" s="1"/>
  <c r="O29" i="4" s="1"/>
  <c r="G29" i="4"/>
  <c r="H29" i="4" s="1"/>
  <c r="P28" i="4"/>
  <c r="I28" i="4"/>
  <c r="J28" i="4" s="1"/>
  <c r="L28" i="4" s="1"/>
  <c r="O28" i="4" s="1"/>
  <c r="G28" i="4"/>
  <c r="H28" i="4" s="1"/>
  <c r="P27" i="4"/>
  <c r="G27" i="4"/>
  <c r="H27" i="4" s="1"/>
  <c r="P26" i="4"/>
  <c r="G26" i="4"/>
  <c r="H26" i="4" s="1"/>
  <c r="P25" i="4"/>
  <c r="G25" i="4"/>
  <c r="H25" i="4" s="1"/>
  <c r="P24" i="4"/>
  <c r="G24" i="4"/>
  <c r="H24" i="4" s="1"/>
  <c r="P23" i="4"/>
  <c r="G23" i="4"/>
  <c r="H23" i="4" s="1"/>
  <c r="P22" i="4"/>
  <c r="G22" i="4"/>
  <c r="H22" i="4" s="1"/>
  <c r="P21" i="4"/>
  <c r="G21" i="4"/>
  <c r="H21" i="4" s="1"/>
  <c r="P20" i="4"/>
  <c r="G20" i="4"/>
  <c r="H20" i="4" s="1"/>
  <c r="P19" i="4"/>
  <c r="G19" i="4"/>
  <c r="H19" i="4" s="1"/>
  <c r="P18" i="4"/>
  <c r="G18" i="4"/>
  <c r="H18" i="4" s="1"/>
  <c r="P17" i="4"/>
  <c r="G17" i="4"/>
  <c r="H17" i="4" s="1"/>
  <c r="P16" i="4"/>
  <c r="G16" i="4"/>
  <c r="H16" i="4" s="1"/>
  <c r="P15" i="4"/>
  <c r="G15" i="4"/>
  <c r="H15" i="4" s="1"/>
  <c r="P14" i="4"/>
  <c r="G14" i="4"/>
  <c r="H14" i="4" s="1"/>
  <c r="P13" i="4"/>
  <c r="G13" i="4"/>
  <c r="H13" i="4" s="1"/>
  <c r="P12" i="4"/>
  <c r="G12" i="4"/>
  <c r="H12" i="4" s="1"/>
  <c r="P11" i="4"/>
  <c r="G11" i="4"/>
  <c r="H11" i="4" s="1"/>
  <c r="P10" i="4"/>
  <c r="G10" i="4"/>
  <c r="H10" i="4" s="1"/>
  <c r="P9" i="4"/>
  <c r="G9" i="4"/>
  <c r="H9" i="4" s="1"/>
  <c r="P8" i="4"/>
  <c r="G8" i="4"/>
  <c r="H8" i="4" s="1"/>
  <c r="P7" i="4"/>
  <c r="G7" i="4"/>
  <c r="H7" i="4" s="1"/>
  <c r="P6" i="4"/>
  <c r="G6" i="4"/>
  <c r="H6" i="4" s="1"/>
  <c r="P5" i="4"/>
  <c r="G5" i="4"/>
  <c r="H5" i="4" s="1"/>
  <c r="P4" i="4"/>
  <c r="G4" i="4"/>
  <c r="H4" i="4" s="1"/>
  <c r="P3" i="4"/>
  <c r="H3" i="4"/>
  <c r="P2" i="4"/>
  <c r="G2" i="4"/>
  <c r="H2" i="4" s="1"/>
  <c r="F10" i="3"/>
  <c r="F9" i="3"/>
  <c r="F8" i="3"/>
  <c r="F7" i="3"/>
  <c r="F6" i="3"/>
  <c r="F5" i="3"/>
  <c r="D12" i="2"/>
  <c r="D11" i="2"/>
  <c r="D10" i="2"/>
  <c r="D9" i="2"/>
  <c r="D8" i="2"/>
  <c r="D7" i="2"/>
  <c r="D6" i="2"/>
  <c r="D5" i="2"/>
  <c r="B41" i="7" l="1"/>
  <c r="B8" i="7"/>
  <c r="B36" i="7"/>
  <c r="B14" i="7"/>
  <c r="B13" i="7"/>
  <c r="B18" i="7"/>
  <c r="B17" i="7"/>
  <c r="B19" i="7" s="1"/>
  <c r="I164" i="4"/>
  <c r="J164" i="4" s="1"/>
  <c r="L164" i="4" s="1"/>
  <c r="O164" i="4" s="1"/>
  <c r="I165" i="4"/>
  <c r="J165" i="4" s="1"/>
  <c r="L165" i="4" s="1"/>
  <c r="O165" i="4" s="1"/>
  <c r="I166" i="4"/>
  <c r="J166" i="4" s="1"/>
  <c r="L166" i="4" s="1"/>
  <c r="O166" i="4" s="1"/>
  <c r="I167" i="4"/>
  <c r="J167" i="4" s="1"/>
  <c r="L167" i="4" s="1"/>
  <c r="O167" i="4" s="1"/>
  <c r="I168" i="4"/>
  <c r="J168" i="4" s="1"/>
  <c r="L168" i="4" s="1"/>
  <c r="O168" i="4" s="1"/>
  <c r="I169" i="4"/>
  <c r="J169" i="4" s="1"/>
  <c r="L169" i="4" s="1"/>
  <c r="O169" i="4" s="1"/>
  <c r="I170" i="4"/>
  <c r="J170" i="4" s="1"/>
  <c r="L170" i="4" s="1"/>
  <c r="O170" i="4" s="1"/>
  <c r="I171" i="4"/>
  <c r="J171" i="4" s="1"/>
  <c r="L171" i="4" s="1"/>
  <c r="O171" i="4" s="1"/>
  <c r="I172" i="4"/>
  <c r="J172" i="4" s="1"/>
  <c r="L172" i="4" s="1"/>
  <c r="O172" i="4" s="1"/>
  <c r="I173" i="4"/>
  <c r="J173" i="4" s="1"/>
  <c r="L173" i="4" s="1"/>
  <c r="O173" i="4" s="1"/>
  <c r="I174" i="4"/>
  <c r="J174" i="4" s="1"/>
  <c r="L174" i="4" s="1"/>
  <c r="O174" i="4" s="1"/>
  <c r="I175" i="4"/>
  <c r="J175" i="4" s="1"/>
  <c r="L175" i="4" s="1"/>
  <c r="O175" i="4" s="1"/>
  <c r="I176" i="4"/>
  <c r="J176" i="4" s="1"/>
  <c r="L176" i="4" s="1"/>
  <c r="O176" i="4" s="1"/>
  <c r="I177" i="4"/>
  <c r="J177" i="4" s="1"/>
  <c r="L177" i="4" s="1"/>
  <c r="O177" i="4" s="1"/>
  <c r="I178" i="4"/>
  <c r="J178" i="4" s="1"/>
  <c r="L178" i="4" s="1"/>
  <c r="O178" i="4" s="1"/>
  <c r="I179" i="4"/>
  <c r="J179" i="4" s="1"/>
  <c r="L179" i="4" s="1"/>
  <c r="O179" i="4" s="1"/>
  <c r="I180" i="4"/>
  <c r="J180" i="4" s="1"/>
  <c r="L180" i="4" s="1"/>
  <c r="O180" i="4" s="1"/>
  <c r="I181" i="4"/>
  <c r="J181" i="4" s="1"/>
  <c r="L181" i="4" s="1"/>
  <c r="O181" i="4" s="1"/>
  <c r="I182" i="4"/>
  <c r="J182" i="4" s="1"/>
  <c r="L182" i="4" s="1"/>
  <c r="O182" i="4" s="1"/>
  <c r="I183" i="4"/>
  <c r="J183" i="4" s="1"/>
  <c r="L183" i="4" s="1"/>
  <c r="O183" i="4" s="1"/>
  <c r="I184" i="4"/>
  <c r="J184" i="4" s="1"/>
  <c r="L184" i="4" s="1"/>
  <c r="O184" i="4" s="1"/>
  <c r="I185" i="4"/>
  <c r="J185" i="4" s="1"/>
  <c r="L185" i="4" s="1"/>
  <c r="O185" i="4" s="1"/>
  <c r="I186" i="4"/>
  <c r="J186" i="4" s="1"/>
  <c r="L186" i="4" s="1"/>
  <c r="O186" i="4" s="1"/>
  <c r="I187" i="4"/>
  <c r="J187" i="4" s="1"/>
  <c r="L187" i="4" s="1"/>
  <c r="O187" i="4" s="1"/>
  <c r="I188" i="4"/>
  <c r="J188" i="4" s="1"/>
  <c r="L188" i="4" s="1"/>
  <c r="O188" i="4" s="1"/>
  <c r="I334" i="4"/>
  <c r="J334" i="4" s="1"/>
  <c r="L334" i="4" s="1"/>
  <c r="O334" i="4" s="1"/>
  <c r="I316" i="4"/>
  <c r="J316" i="4" s="1"/>
  <c r="L316" i="4" s="1"/>
  <c r="O316" i="4" s="1"/>
  <c r="I317" i="4"/>
  <c r="J317" i="4" s="1"/>
  <c r="L317" i="4" s="1"/>
  <c r="O317" i="4" s="1"/>
  <c r="I318" i="4"/>
  <c r="J318" i="4" s="1"/>
  <c r="L318" i="4" s="1"/>
  <c r="O318" i="4" s="1"/>
  <c r="I319" i="4"/>
  <c r="J319" i="4" s="1"/>
  <c r="L319" i="4" s="1"/>
  <c r="O319" i="4" s="1"/>
  <c r="I320" i="4"/>
  <c r="J320" i="4" s="1"/>
  <c r="L320" i="4" s="1"/>
  <c r="O320" i="4" s="1"/>
  <c r="I321" i="4"/>
  <c r="J321" i="4" s="1"/>
  <c r="L321" i="4" s="1"/>
  <c r="O321" i="4" s="1"/>
  <c r="I322" i="4"/>
  <c r="J322" i="4" s="1"/>
  <c r="L322" i="4" s="1"/>
  <c r="O322" i="4" s="1"/>
  <c r="I323" i="4"/>
  <c r="J323" i="4" s="1"/>
  <c r="L323" i="4" s="1"/>
  <c r="O323" i="4" s="1"/>
  <c r="I324" i="4"/>
  <c r="J324" i="4" s="1"/>
  <c r="L324" i="4" s="1"/>
  <c r="O324" i="4" s="1"/>
  <c r="I325" i="4"/>
  <c r="J325" i="4" s="1"/>
  <c r="L325" i="4" s="1"/>
  <c r="O325" i="4" s="1"/>
  <c r="I326" i="4"/>
  <c r="J326" i="4" s="1"/>
  <c r="L326" i="4" s="1"/>
  <c r="O326" i="4" s="1"/>
  <c r="I327" i="4"/>
  <c r="J327" i="4" s="1"/>
  <c r="L327" i="4" s="1"/>
  <c r="O327" i="4" s="1"/>
  <c r="I328" i="4"/>
  <c r="J328" i="4" s="1"/>
  <c r="L328" i="4" s="1"/>
  <c r="O328" i="4" s="1"/>
  <c r="I329" i="4"/>
  <c r="J329" i="4" s="1"/>
  <c r="L329" i="4" s="1"/>
  <c r="O329" i="4" s="1"/>
  <c r="I330" i="4"/>
  <c r="J330" i="4" s="1"/>
  <c r="L330" i="4" s="1"/>
  <c r="O330" i="4" s="1"/>
  <c r="I331" i="4"/>
  <c r="J331" i="4" s="1"/>
  <c r="L331" i="4" s="1"/>
  <c r="O331" i="4" s="1"/>
  <c r="I332" i="4"/>
  <c r="J332" i="4" s="1"/>
  <c r="L332" i="4" s="1"/>
  <c r="O332" i="4" s="1"/>
  <c r="I333" i="4"/>
  <c r="J333" i="4" s="1"/>
  <c r="L333" i="4" s="1"/>
  <c r="O333" i="4" s="1"/>
  <c r="I335" i="4"/>
  <c r="J335" i="4" s="1"/>
  <c r="L335" i="4" s="1"/>
  <c r="O335" i="4" s="1"/>
  <c r="I336" i="4"/>
  <c r="J336" i="4" s="1"/>
  <c r="L336" i="4" s="1"/>
  <c r="O336" i="4" s="1"/>
  <c r="I974" i="4"/>
  <c r="J974" i="4" s="1"/>
  <c r="L974" i="4" s="1"/>
  <c r="O974" i="4" s="1"/>
  <c r="I338" i="4"/>
  <c r="J338" i="4" s="1"/>
  <c r="L338" i="4" s="1"/>
  <c r="O338" i="4" s="1"/>
  <c r="I339" i="4"/>
  <c r="J339" i="4" s="1"/>
  <c r="L339" i="4" s="1"/>
  <c r="O339" i="4" s="1"/>
  <c r="I340" i="4"/>
  <c r="J340" i="4" s="1"/>
  <c r="L340" i="4" s="1"/>
  <c r="O340" i="4" s="1"/>
  <c r="I341" i="4"/>
  <c r="J341" i="4" s="1"/>
  <c r="L341" i="4" s="1"/>
  <c r="O341" i="4" s="1"/>
  <c r="I342" i="4"/>
  <c r="J342" i="4" s="1"/>
  <c r="L342" i="4" s="1"/>
  <c r="O342" i="4" s="1"/>
  <c r="I343" i="4"/>
  <c r="J343" i="4" s="1"/>
  <c r="L343" i="4" s="1"/>
  <c r="O343" i="4" s="1"/>
  <c r="I344" i="4"/>
  <c r="J344" i="4" s="1"/>
  <c r="L344" i="4" s="1"/>
  <c r="O344" i="4" s="1"/>
  <c r="I345" i="4"/>
  <c r="J345" i="4" s="1"/>
  <c r="L345" i="4" s="1"/>
  <c r="O345" i="4" s="1"/>
  <c r="I346" i="4"/>
  <c r="J346" i="4" s="1"/>
  <c r="L346" i="4" s="1"/>
  <c r="O346" i="4" s="1"/>
  <c r="I347" i="4"/>
  <c r="J347" i="4" s="1"/>
  <c r="L347" i="4" s="1"/>
  <c r="O347" i="4" s="1"/>
  <c r="I348" i="4"/>
  <c r="J348" i="4" s="1"/>
  <c r="L348" i="4" s="1"/>
  <c r="O348" i="4" s="1"/>
  <c r="I969" i="4"/>
  <c r="J969" i="4" s="1"/>
  <c r="L969" i="4" s="1"/>
  <c r="O969" i="4" s="1"/>
  <c r="I810" i="4"/>
  <c r="J810" i="4" s="1"/>
  <c r="L810" i="4" s="1"/>
  <c r="O810" i="4" s="1"/>
  <c r="I509" i="4"/>
  <c r="J509" i="4" s="1"/>
  <c r="L509" i="4" s="1"/>
  <c r="O509" i="4" s="1"/>
  <c r="I670" i="4"/>
  <c r="J670" i="4" s="1"/>
  <c r="L670" i="4" s="1"/>
  <c r="O670" i="4" s="1"/>
  <c r="I968" i="4"/>
  <c r="J968" i="4" s="1"/>
  <c r="L968" i="4" s="1"/>
  <c r="O968" i="4" s="1"/>
  <c r="I967" i="4"/>
  <c r="J967" i="4" s="1"/>
  <c r="L967" i="4" s="1"/>
  <c r="O967" i="4" s="1"/>
  <c r="I966" i="4"/>
  <c r="J966" i="4" s="1"/>
  <c r="L966" i="4" s="1"/>
  <c r="O966" i="4" s="1"/>
  <c r="I965" i="4"/>
  <c r="J965" i="4" s="1"/>
  <c r="L965" i="4" s="1"/>
  <c r="O965" i="4" s="1"/>
  <c r="I964" i="4"/>
  <c r="J964" i="4" s="1"/>
  <c r="L964" i="4" s="1"/>
  <c r="O964" i="4" s="1"/>
  <c r="I963" i="4"/>
  <c r="J963" i="4" s="1"/>
  <c r="L963" i="4" s="1"/>
  <c r="O963" i="4" s="1"/>
  <c r="I803" i="4"/>
  <c r="J803" i="4" s="1"/>
  <c r="L803" i="4" s="1"/>
  <c r="O803" i="4" s="1"/>
  <c r="I804" i="4"/>
  <c r="J804" i="4" s="1"/>
  <c r="L804" i="4" s="1"/>
  <c r="O804" i="4" s="1"/>
  <c r="I805" i="4"/>
  <c r="J805" i="4" s="1"/>
  <c r="L805" i="4" s="1"/>
  <c r="O805" i="4" s="1"/>
  <c r="I806" i="4"/>
  <c r="J806" i="4" s="1"/>
  <c r="L806" i="4" s="1"/>
  <c r="O806" i="4" s="1"/>
  <c r="I807" i="4"/>
  <c r="J807" i="4" s="1"/>
  <c r="L807" i="4" s="1"/>
  <c r="O807" i="4" s="1"/>
  <c r="I808" i="4"/>
  <c r="J808" i="4" s="1"/>
  <c r="L808" i="4" s="1"/>
  <c r="O808" i="4" s="1"/>
  <c r="I809" i="4"/>
  <c r="J809" i="4" s="1"/>
  <c r="L809" i="4" s="1"/>
  <c r="O809" i="4" s="1"/>
  <c r="I992" i="4"/>
  <c r="J992" i="4" s="1"/>
  <c r="L992" i="4" s="1"/>
  <c r="O992" i="4" s="1"/>
  <c r="I811" i="4"/>
  <c r="J811" i="4" s="1"/>
  <c r="L811" i="4" s="1"/>
  <c r="O811" i="4" s="1"/>
  <c r="I812" i="4"/>
  <c r="J812" i="4" s="1"/>
  <c r="L812" i="4" s="1"/>
  <c r="O812" i="4" s="1"/>
  <c r="I813" i="4"/>
  <c r="J813" i="4" s="1"/>
  <c r="L813" i="4" s="1"/>
  <c r="O813" i="4" s="1"/>
  <c r="I814" i="4"/>
  <c r="J814" i="4" s="1"/>
  <c r="L814" i="4" s="1"/>
  <c r="O814" i="4" s="1"/>
  <c r="I815" i="4"/>
  <c r="J815" i="4" s="1"/>
  <c r="L815" i="4" s="1"/>
  <c r="O815" i="4" s="1"/>
  <c r="I816" i="4"/>
  <c r="J816" i="4" s="1"/>
  <c r="L816" i="4" s="1"/>
  <c r="O816" i="4" s="1"/>
  <c r="I817" i="4"/>
  <c r="J817" i="4" s="1"/>
  <c r="L817" i="4" s="1"/>
  <c r="O817" i="4" s="1"/>
  <c r="I818" i="4"/>
  <c r="J818" i="4" s="1"/>
  <c r="L818" i="4" s="1"/>
  <c r="O818" i="4" s="1"/>
  <c r="I819" i="4"/>
  <c r="J819" i="4" s="1"/>
  <c r="L819" i="4" s="1"/>
  <c r="O819" i="4" s="1"/>
  <c r="I820" i="4"/>
  <c r="J820" i="4" s="1"/>
  <c r="L820" i="4" s="1"/>
  <c r="O820" i="4" s="1"/>
  <c r="I821" i="4"/>
  <c r="J821" i="4" s="1"/>
  <c r="L821" i="4" s="1"/>
  <c r="O821" i="4" s="1"/>
  <c r="I822" i="4"/>
  <c r="J822" i="4" s="1"/>
  <c r="L822" i="4" s="1"/>
  <c r="O822" i="4" s="1"/>
  <c r="I823" i="4"/>
  <c r="J823" i="4" s="1"/>
  <c r="L823" i="4" s="1"/>
  <c r="O823" i="4" s="1"/>
  <c r="I824" i="4"/>
  <c r="J824" i="4" s="1"/>
  <c r="L824" i="4" s="1"/>
  <c r="O824" i="4" s="1"/>
  <c r="I825" i="4"/>
  <c r="J825" i="4" s="1"/>
  <c r="L825" i="4" s="1"/>
  <c r="O825" i="4" s="1"/>
  <c r="I826" i="4"/>
  <c r="J826" i="4" s="1"/>
  <c r="L826" i="4" s="1"/>
  <c r="O826" i="4" s="1"/>
  <c r="I827" i="4"/>
  <c r="J827" i="4" s="1"/>
  <c r="L827" i="4" s="1"/>
  <c r="O827" i="4" s="1"/>
  <c r="I27" i="4"/>
  <c r="J27" i="4" s="1"/>
  <c r="L27" i="4" s="1"/>
  <c r="O27" i="4" s="1"/>
  <c r="I828" i="4"/>
  <c r="J828" i="4" s="1"/>
  <c r="L828" i="4" s="1"/>
  <c r="O828" i="4" s="1"/>
  <c r="I26" i="4"/>
  <c r="J26" i="4" s="1"/>
  <c r="L26" i="4" s="1"/>
  <c r="O26" i="4" s="1"/>
  <c r="I829" i="4"/>
  <c r="J829" i="4" s="1"/>
  <c r="L829" i="4" s="1"/>
  <c r="O829" i="4" s="1"/>
  <c r="I25" i="4"/>
  <c r="J25" i="4" s="1"/>
  <c r="L25" i="4" s="1"/>
  <c r="O25" i="4" s="1"/>
  <c r="I830" i="4"/>
  <c r="J830" i="4" s="1"/>
  <c r="L830" i="4" s="1"/>
  <c r="O830" i="4" s="1"/>
  <c r="I24" i="4"/>
  <c r="J24" i="4" s="1"/>
  <c r="L24" i="4" s="1"/>
  <c r="O24" i="4" s="1"/>
  <c r="I831" i="4"/>
  <c r="J831" i="4" s="1"/>
  <c r="L831" i="4" s="1"/>
  <c r="O831" i="4" s="1"/>
  <c r="I23" i="4"/>
  <c r="J23" i="4" s="1"/>
  <c r="L23" i="4" s="1"/>
  <c r="O23" i="4" s="1"/>
  <c r="I970" i="4"/>
  <c r="J970" i="4" s="1"/>
  <c r="L970" i="4" s="1"/>
  <c r="O970" i="4" s="1"/>
  <c r="I22" i="4"/>
  <c r="J22" i="4" s="1"/>
  <c r="L22" i="4" s="1"/>
  <c r="O22" i="4" s="1"/>
  <c r="I971" i="4"/>
  <c r="J971" i="4" s="1"/>
  <c r="L971" i="4" s="1"/>
  <c r="O971" i="4" s="1"/>
  <c r="I21" i="4"/>
  <c r="J21" i="4" s="1"/>
  <c r="L21" i="4" s="1"/>
  <c r="O21" i="4" s="1"/>
  <c r="I972" i="4"/>
  <c r="J972" i="4" s="1"/>
  <c r="L972" i="4" s="1"/>
  <c r="O972" i="4" s="1"/>
  <c r="I20" i="4"/>
  <c r="J20" i="4" s="1"/>
  <c r="L20" i="4" s="1"/>
  <c r="O20" i="4" s="1"/>
  <c r="I973" i="4"/>
  <c r="J973" i="4" s="1"/>
  <c r="L973" i="4" s="1"/>
  <c r="O973" i="4" s="1"/>
  <c r="I19" i="4"/>
  <c r="J19" i="4" s="1"/>
  <c r="L19" i="4" s="1"/>
  <c r="O19" i="4" s="1"/>
  <c r="I975" i="4"/>
  <c r="J975" i="4" s="1"/>
  <c r="L975" i="4" s="1"/>
  <c r="O975" i="4" s="1"/>
  <c r="I18" i="4"/>
  <c r="J18" i="4" s="1"/>
  <c r="L18" i="4" s="1"/>
  <c r="O18" i="4" s="1"/>
  <c r="I976" i="4"/>
  <c r="J976" i="4" s="1"/>
  <c r="L976" i="4" s="1"/>
  <c r="O976" i="4" s="1"/>
  <c r="I17" i="4"/>
  <c r="J17" i="4" s="1"/>
  <c r="L17" i="4" s="1"/>
  <c r="O17" i="4" s="1"/>
  <c r="I977" i="4"/>
  <c r="J977" i="4" s="1"/>
  <c r="L977" i="4" s="1"/>
  <c r="O977" i="4" s="1"/>
  <c r="I16" i="4"/>
  <c r="J16" i="4" s="1"/>
  <c r="L16" i="4" s="1"/>
  <c r="O16" i="4" s="1"/>
  <c r="I978" i="4"/>
  <c r="J978" i="4" s="1"/>
  <c r="L978" i="4" s="1"/>
  <c r="O978" i="4" s="1"/>
  <c r="I15" i="4"/>
  <c r="J15" i="4" s="1"/>
  <c r="L15" i="4" s="1"/>
  <c r="O15" i="4" s="1"/>
  <c r="I979" i="4"/>
  <c r="J979" i="4" s="1"/>
  <c r="L979" i="4" s="1"/>
  <c r="O979" i="4" s="1"/>
  <c r="I14" i="4"/>
  <c r="J14" i="4" s="1"/>
  <c r="L14" i="4" s="1"/>
  <c r="O14" i="4" s="1"/>
  <c r="I980" i="4"/>
  <c r="J980" i="4" s="1"/>
  <c r="L980" i="4" s="1"/>
  <c r="O980" i="4" s="1"/>
  <c r="I13" i="4"/>
  <c r="J13" i="4" s="1"/>
  <c r="L13" i="4" s="1"/>
  <c r="O13" i="4" s="1"/>
  <c r="I981" i="4"/>
  <c r="J981" i="4" s="1"/>
  <c r="L981" i="4" s="1"/>
  <c r="O981" i="4" s="1"/>
  <c r="I12" i="4"/>
  <c r="J12" i="4" s="1"/>
  <c r="L12" i="4" s="1"/>
  <c r="O12" i="4" s="1"/>
  <c r="I337" i="4"/>
  <c r="J337" i="4" s="1"/>
  <c r="L337" i="4" s="1"/>
  <c r="O337" i="4" s="1"/>
  <c r="I11" i="4"/>
  <c r="J11" i="4" s="1"/>
  <c r="L11" i="4" s="1"/>
  <c r="O11" i="4" s="1"/>
  <c r="I982" i="4"/>
  <c r="J982" i="4" s="1"/>
  <c r="L982" i="4" s="1"/>
  <c r="O982" i="4" s="1"/>
  <c r="I10" i="4"/>
  <c r="J10" i="4" s="1"/>
  <c r="L10" i="4" s="1"/>
  <c r="O10" i="4" s="1"/>
  <c r="I983" i="4"/>
  <c r="J983" i="4" s="1"/>
  <c r="L983" i="4" s="1"/>
  <c r="O983" i="4" s="1"/>
  <c r="I9" i="4"/>
  <c r="J9" i="4" s="1"/>
  <c r="L9" i="4" s="1"/>
  <c r="O9" i="4" s="1"/>
  <c r="I984" i="4"/>
  <c r="J984" i="4" s="1"/>
  <c r="L984" i="4" s="1"/>
  <c r="O984" i="4" s="1"/>
  <c r="I8" i="4"/>
  <c r="J8" i="4" s="1"/>
  <c r="L8" i="4" s="1"/>
  <c r="O8" i="4" s="1"/>
  <c r="I985" i="4"/>
  <c r="J985" i="4" s="1"/>
  <c r="L985" i="4" s="1"/>
  <c r="O985" i="4" s="1"/>
  <c r="I7" i="4"/>
  <c r="J7" i="4" s="1"/>
  <c r="L7" i="4" s="1"/>
  <c r="O7" i="4" s="1"/>
  <c r="I986" i="4"/>
  <c r="J986" i="4" s="1"/>
  <c r="L986" i="4" s="1"/>
  <c r="O986" i="4" s="1"/>
  <c r="I6" i="4"/>
  <c r="J6" i="4" s="1"/>
  <c r="L6" i="4" s="1"/>
  <c r="O6" i="4" s="1"/>
  <c r="I987" i="4"/>
  <c r="J987" i="4" s="1"/>
  <c r="L987" i="4" s="1"/>
  <c r="O987" i="4" s="1"/>
  <c r="I5" i="4"/>
  <c r="J5" i="4" s="1"/>
  <c r="L5" i="4" s="1"/>
  <c r="O5" i="4" s="1"/>
  <c r="I988" i="4"/>
  <c r="J988" i="4" s="1"/>
  <c r="L988" i="4" s="1"/>
  <c r="O988" i="4" s="1"/>
  <c r="I4" i="4"/>
  <c r="J4" i="4" s="1"/>
  <c r="L4" i="4" s="1"/>
  <c r="O4" i="4" s="1"/>
  <c r="I989" i="4"/>
  <c r="J989" i="4" s="1"/>
  <c r="L989" i="4" s="1"/>
  <c r="O989" i="4" s="1"/>
  <c r="I3" i="4"/>
  <c r="J3" i="4" s="1"/>
  <c r="L3" i="4" s="1"/>
  <c r="O3" i="4" s="1"/>
  <c r="I990" i="4"/>
  <c r="J990" i="4" s="1"/>
  <c r="L990" i="4" s="1"/>
  <c r="O990" i="4" s="1"/>
  <c r="I2" i="4"/>
  <c r="J2" i="4" s="1"/>
  <c r="L2" i="4" s="1"/>
  <c r="O2" i="4" s="1"/>
  <c r="I991" i="4"/>
  <c r="J991" i="4" s="1"/>
  <c r="L991" i="4" s="1"/>
  <c r="O991" i="4" s="1"/>
  <c r="I161" i="4"/>
  <c r="J161" i="4" s="1"/>
  <c r="L161" i="4" s="1"/>
  <c r="O161" i="4" s="1"/>
  <c r="I162" i="4"/>
  <c r="J162" i="4" s="1"/>
  <c r="L162" i="4" s="1"/>
  <c r="O162" i="4" s="1"/>
  <c r="I163" i="4"/>
  <c r="J163" i="4" s="1"/>
  <c r="L163" i="4" s="1"/>
  <c r="O163" i="4" s="1"/>
  <c r="B9" i="7" l="1"/>
  <c r="B32" i="7" s="1"/>
  <c r="B35" i="7" s="1"/>
  <c r="B28" i="7"/>
  <c r="B29" i="7"/>
  <c r="B7" i="7"/>
  <c r="B6" i="7"/>
  <c r="B27" i="7" s="1"/>
  <c r="B23" i="7"/>
  <c r="B22" i="7"/>
  <c r="B24" i="7"/>
</calcChain>
</file>

<file path=xl/sharedStrings.xml><?xml version="1.0" encoding="utf-8"?>
<sst xmlns="http://schemas.openxmlformats.org/spreadsheetml/2006/main" count="310" uniqueCount="188">
  <si>
    <t>Raymond Priestley Centre — Centre Manager Workbook</t>
  </si>
  <si>
    <t>HOW THIS WORKBOOK WORKS</t>
  </si>
  <si>
    <t>One workbook, five working sheets. Enter data in Bookings, StaffExtras and Costs;</t>
  </si>
  <si>
    <t>the Dashboard summarises everything by financial year (1 Aug - 31 Jul).</t>
  </si>
  <si>
    <t>COLOUR LEGEND</t>
  </si>
  <si>
    <t xml:space="preserve">  Cream cells  = type your data here (inputs)</t>
  </si>
  <si>
    <t xml:space="preserve">  White cells  = formulas - do not overwrite</t>
  </si>
  <si>
    <t xml:space="preserve">  Yellow fill  = the Dashboard year selector</t>
  </si>
  <si>
    <t>SHEET GUIDE</t>
  </si>
  <si>
    <t xml:space="preserve">  Bookings    - one row per booking/course. Type: name, product, client, dates, people,</t>
  </si>
  <si>
    <t xml:space="preserve">                Discount, Deposit and Received. Agreed £ fills in automatically from the price bands</t>
  </si>
  <si>
    <t xml:space="preserve">                (overtype it with the actual invoiced amount whenever one is agreed).</t>
  </si>
  <si>
    <t xml:space="preserve">                Income = Deposit + Received (cash actually collected).</t>
  </si>
  <si>
    <t xml:space="preserve">                Outstanding = Agreed - Discount - cash received.</t>
  </si>
  <si>
    <t xml:space="preserve">  StaffExtras - casual (£180/person/day) and summer students (£300/person/week).</t>
  </si>
  <si>
    <t xml:space="preserve">                One row per camp per type. Activity column links the cost to a product type.</t>
  </si>
  <si>
    <t xml:space="preserve">                Units = person-days (Casual) or person-weeks (Summer).</t>
  </si>
  <si>
    <t xml:space="preserve">  Costs       - one row per cost line per year. Pick the Item from the dropdown;</t>
  </si>
  <si>
    <t xml:space="preserve">                the Fixed/Variable category fills in automatically from the Reference sheet.</t>
  </si>
  <si>
    <t xml:space="preserve">  Reference   - price bands, staff rates, and the agreed cost classification. Edit here to change lookups.</t>
  </si>
  <si>
    <t xml:space="preserve">  Dashboard   - type a financial year (e.g. 2024-25) in the yellow cell; all figures and charts update.</t>
  </si>
  <si>
    <t>NOTES &amp; ASSUMPTIONS</t>
  </si>
  <si>
    <t xml:space="preserve">  - Price bands: Homeport/Sherpa per night by product, client and size (&lt;=32 vs 33-40);</t>
  </si>
  <si>
    <t xml:space="preserve">    Recreation (family &amp; friends weeks) at £45 per person. Mixed clients price at the External rate.</t>
  </si>
  <si>
    <t xml:space="preserve">  - Agreed £ auto-calculates (rate x nights, or rate x people for Recreation). Overtype with actuals.</t>
  </si>
  <si>
    <t xml:space="preserve">  - Income = cash received (Deposit + Received). FY24/25 rows are pre-filled as fully received at</t>
  </si>
  <si>
    <t xml:space="preserve">    list value so historic dashboards populate - correct any row where the actual amount differed.</t>
  </si>
  <si>
    <t xml:space="preserve">  - 2026 recreation camps carry their actual invoiced totals (typed over the auto Agreed £).</t>
  </si>
  <si>
    <t xml:space="preserve">  - The Aug Fr 2 camp (30 Aug-5 Sep 2026) falls in FY 2026-27 because the FY starts 1 Aug.</t>
  </si>
  <si>
    <t xml:space="preserve">  - Costs pre-loaded for FY 2024-25 from the capstone cost analysis (classification agreed with the centre).</t>
  </si>
  <si>
    <t xml:space="preserve">  - Casual £180/day and Summer £300/week rates are held on the Reference sheet.</t>
  </si>
  <si>
    <t>Prepared by the University of Birmingham MSc Business Analytics capstone team, 2026.</t>
  </si>
  <si>
    <t>Reference data — edit prices/rates here; lookups update everywhere</t>
  </si>
  <si>
    <t>PRICE BANDS (per night)</t>
  </si>
  <si>
    <t>Products</t>
  </si>
  <si>
    <t>Clients</t>
  </si>
  <si>
    <t>Product</t>
  </si>
  <si>
    <t>Client</t>
  </si>
  <si>
    <t>Tier (people)</t>
  </si>
  <si>
    <t>Key</t>
  </si>
  <si>
    <t>Rate £</t>
  </si>
  <si>
    <t>Basis</t>
  </si>
  <si>
    <t>Homeport</t>
  </si>
  <si>
    <t>UoB</t>
  </si>
  <si>
    <t>32</t>
  </si>
  <si>
    <t>per night</t>
  </si>
  <si>
    <t>Sherpa</t>
  </si>
  <si>
    <t>External</t>
  </si>
  <si>
    <t>40</t>
  </si>
  <si>
    <t>Recreation</t>
  </si>
  <si>
    <t>Mixed</t>
  </si>
  <si>
    <t>Others</t>
  </si>
  <si>
    <t>Unknown</t>
  </si>
  <si>
    <t>Homeport/Sherpa are per night. Recreation is priced on the RecPricing sheet.</t>
  </si>
  <si>
    <t>STAFF RATES</t>
  </si>
  <si>
    <t>Type</t>
  </si>
  <si>
    <t>Casual</t>
  </si>
  <si>
    <t>per person per day</t>
  </si>
  <si>
    <t>Summer</t>
  </si>
  <si>
    <t>per person per week</t>
  </si>
  <si>
    <t>COST CLASSIFICATION (agreed with centre — item and Fixed/Variable category)</t>
  </si>
  <si>
    <t>Item</t>
  </si>
  <si>
    <t>Category</t>
  </si>
  <si>
    <t>office_supplies</t>
  </si>
  <si>
    <t>Fixed</t>
  </si>
  <si>
    <t>subscriptions</t>
  </si>
  <si>
    <t>travel_and_subsistence</t>
  </si>
  <si>
    <t>Variable</t>
  </si>
  <si>
    <t>miscellaneous_expenditure</t>
  </si>
  <si>
    <t>accommodation</t>
  </si>
  <si>
    <t>internal_purchases_catering</t>
  </si>
  <si>
    <t>cleaning</t>
  </si>
  <si>
    <t>consumables</t>
  </si>
  <si>
    <t>laboratory_consumables</t>
  </si>
  <si>
    <t>disposables</t>
  </si>
  <si>
    <t>furniture</t>
  </si>
  <si>
    <t>licences</t>
  </si>
  <si>
    <t>office_supplies_2</t>
  </si>
  <si>
    <t>stationery</t>
  </si>
  <si>
    <t>printing</t>
  </si>
  <si>
    <t>recruitment</t>
  </si>
  <si>
    <t>repairs_general_maintenance</t>
  </si>
  <si>
    <t>training_costs_course_fees</t>
  </si>
  <si>
    <t>internal_purchases_telephone</t>
  </si>
  <si>
    <t>travel_and_subsistence_2</t>
  </si>
  <si>
    <t>materials</t>
  </si>
  <si>
    <t>miscellaneous_expenditure_2</t>
  </si>
  <si>
    <t>bikes</t>
  </si>
  <si>
    <t>buoyancy_aids</t>
  </si>
  <si>
    <t>canoe_repairs_gunwale</t>
  </si>
  <si>
    <t>canoe_repairs_kevlar</t>
  </si>
  <si>
    <t>canoe_seat_hangers</t>
  </si>
  <si>
    <t>climbing_harnesses</t>
  </si>
  <si>
    <t>climbing_helmets</t>
  </si>
  <si>
    <t>climbing_kit_order</t>
  </si>
  <si>
    <t>first_aid_blue_plasters</t>
  </si>
  <si>
    <t>first_aid_dressings</t>
  </si>
  <si>
    <t>first_aid_medical_gloves</t>
  </si>
  <si>
    <t>first_aid_sam_splints</t>
  </si>
  <si>
    <t>first_aid_tourniquets</t>
  </si>
  <si>
    <t>hawk_hull_renovation</t>
  </si>
  <si>
    <t>hiking_boot_laces</t>
  </si>
  <si>
    <t>kelly_kettle</t>
  </si>
  <si>
    <t>phone_cases</t>
  </si>
  <si>
    <t>racking</t>
  </si>
  <si>
    <t>warm_kit_gloves</t>
  </si>
  <si>
    <t>warm_kit_jackets</t>
  </si>
  <si>
    <t>warm_kit_mittens</t>
  </si>
  <si>
    <t>windsurf_board</t>
  </si>
  <si>
    <t>bulk_deliveries</t>
  </si>
  <si>
    <t>tank_rental</t>
  </si>
  <si>
    <t>grass_cutting</t>
  </si>
  <si>
    <t>misc_repairs</t>
  </si>
  <si>
    <t>internet</t>
  </si>
  <si>
    <t>mobile</t>
  </si>
  <si>
    <t>electricity</t>
  </si>
  <si>
    <t>water</t>
  </si>
  <si>
    <t>food</t>
  </si>
  <si>
    <t>boat_servicing</t>
  </si>
  <si>
    <t>fuel</t>
  </si>
  <si>
    <t>vehicle_bk74</t>
  </si>
  <si>
    <t>vehicle_et16</t>
  </si>
  <si>
    <t>staff_fixed</t>
  </si>
  <si>
    <t>staff_variable</t>
  </si>
  <si>
    <t>septic</t>
  </si>
  <si>
    <t>Recreation pricing (2024 tariff) — edit rates here</t>
  </si>
  <si>
    <t>Tiers by headcount: &lt;=24 (Nov/Feb only), &lt;=32 flat per course, Above 32 per head. Unknown client defaults to UoB.</t>
  </si>
  <si>
    <t>Band</t>
  </si>
  <si>
    <t>Max people</t>
  </si>
  <si>
    <t>&lt;=24</t>
  </si>
  <si>
    <t>per_course</t>
  </si>
  <si>
    <t>&lt;=32</t>
  </si>
  <si>
    <t>Above32</t>
  </si>
  <si>
    <t>per_head</t>
  </si>
  <si>
    <t>Course / Camp</t>
  </si>
  <si>
    <t>Start</t>
  </si>
  <si>
    <t>End</t>
  </si>
  <si>
    <t>People</t>
  </si>
  <si>
    <t>Nights</t>
  </si>
  <si>
    <t>Bed-nights</t>
  </si>
  <si>
    <t>List rate £</t>
  </si>
  <si>
    <t>Invoiced £</t>
  </si>
  <si>
    <t>Discount £</t>
  </si>
  <si>
    <t>Income £</t>
  </si>
  <si>
    <t>Deposit £</t>
  </si>
  <si>
    <t>Amount Received £</t>
  </si>
  <si>
    <t>Outstanding £</t>
  </si>
  <si>
    <t>FY</t>
  </si>
  <si>
    <t>Date</t>
  </si>
  <si>
    <t>Camp / Course</t>
  </si>
  <si>
    <t>Activity</t>
  </si>
  <si>
    <t>Units</t>
  </si>
  <si>
    <t>Cost £</t>
  </si>
  <si>
    <t>Amount £</t>
  </si>
  <si>
    <t>Notes</t>
  </si>
  <si>
    <t>Raymond Priestley Centre — Dashboard</t>
  </si>
  <si>
    <t>Financial year:</t>
  </si>
  <si>
    <t>2025-26</t>
  </si>
  <si>
    <t>(type e.g. 2024-25, 2025-26, 2026-27 — FY runs 1 Aug to 31 Jul)</t>
  </si>
  <si>
    <t>INCOME</t>
  </si>
  <si>
    <t>Total income</t>
  </si>
  <si>
    <t>VOLUME</t>
  </si>
  <si>
    <t>Bookings</t>
  </si>
  <si>
    <t>COSTS</t>
  </si>
  <si>
    <t>Total costs</t>
  </si>
  <si>
    <t>UNIT ECONOMICS</t>
  </si>
  <si>
    <t>Fixed £/bed-night</t>
  </si>
  <si>
    <t>Variable £/bed-night</t>
  </si>
  <si>
    <t>Break-even £/bed-night</t>
  </si>
  <si>
    <t>POSITION</t>
  </si>
  <si>
    <t>Income − Costs</t>
  </si>
  <si>
    <t>Invoiced (income earned)</t>
  </si>
  <si>
    <t>Outstanding</t>
  </si>
  <si>
    <t>RECREATION SEASON (selected FY)</t>
  </si>
  <si>
    <t>Recreation income</t>
  </si>
  <si>
    <t>Casual staff (recreation)</t>
  </si>
  <si>
    <t>Summer staff (recreation)</t>
  </si>
  <si>
    <t>Recreation contribution</t>
  </si>
  <si>
    <t>Staff extras on other activities</t>
  </si>
  <si>
    <t>STAFF EXTRAS — ALL ACTIVITIES (selected FY)</t>
  </si>
  <si>
    <t>Total casual staff</t>
  </si>
  <si>
    <t>Total summer staff</t>
  </si>
  <si>
    <t>Total staff extras</t>
  </si>
  <si>
    <t xml:space="preserve">  Homeport</t>
  </si>
  <si>
    <t xml:space="preserve">  Sherpa</t>
  </si>
  <si>
    <t xml:space="preserve">  Recreation</t>
  </si>
  <si>
    <t xml:space="preserve">  Others</t>
  </si>
  <si>
    <t>Notes: Income = Invoiced - Discount; Outstanding = Income - Deposit - Received. The Staff Extras block above covers ALL activities; the Recreation block isolates recreation only. Costs are recorded on the Costs sheet with a date that drives the FY. FY24/25 bookings are pre-filled as fully received.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</si>
</sst>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£#,##0"/>
    <numFmt numFmtId="165" formatCode="dd\ mmm\ yyyy"/>
    <numFmt numFmtId="166" formatCode="\£#,##0.00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4E5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i/>
      <sz val="9"/>
      <color rgb="FF666666"/>
      <name val="Arial"/>
      <family val="2"/>
    </font>
    <font>
      <b/>
      <sz val="13"/>
      <color rgb="FF1F4E5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DF6E3"/>
        <bgColor rgb="FFF9F9F9"/>
      </patternFill>
    </fill>
    <fill>
      <patternFill patternType="solid">
        <fgColor rgb="FFFFF2AE"/>
        <bgColor rgb="FFFDF6E3"/>
      </patternFill>
    </fill>
    <fill>
      <patternFill patternType="solid">
        <fgColor rgb="FF3E7C8F"/>
        <bgColor rgb="FF4F81BD"/>
      </patternFill>
    </fill>
    <fill>
      <patternFill patternType="solid">
        <fgColor rgb="FFEAF2F5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3" fillId="3" borderId="0" xfId="0" applyFont="1" applyFill="1"/>
    <xf numFmtId="164" fontId="3" fillId="3" borderId="0" xfId="0" applyNumberFormat="1" applyFont="1" applyFill="1"/>
    <xf numFmtId="0" fontId="6" fillId="0" borderId="0" xfId="0" applyFont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0" fillId="0" borderId="1" xfId="0" applyBorder="1"/>
    <xf numFmtId="164" fontId="0" fillId="0" borderId="1" xfId="0" applyNumberFormat="1" applyBorder="1"/>
    <xf numFmtId="164" fontId="3" fillId="3" borderId="1" xfId="0" applyNumberFormat="1" applyFont="1" applyFill="1" applyBorder="1"/>
    <xf numFmtId="166" fontId="3" fillId="3" borderId="1" xfId="0" applyNumberFormat="1" applyFont="1" applyFill="1" applyBorder="1"/>
    <xf numFmtId="0" fontId="4" fillId="4" borderId="0" xfId="0" applyFont="1" applyFill="1"/>
    <xf numFmtId="0" fontId="5" fillId="5" borderId="0" xfId="0" applyFont="1" applyFill="1"/>
    <xf numFmtId="0" fontId="0" fillId="5" borderId="0" xfId="0" applyFill="1"/>
    <xf numFmtId="0" fontId="3" fillId="6" borderId="0" xfId="0" applyFont="1" applyFill="1"/>
    <xf numFmtId="164" fontId="7" fillId="6" borderId="0" xfId="0" applyNumberFormat="1" applyFont="1" applyFill="1"/>
    <xf numFmtId="164" fontId="3" fillId="0" borderId="0" xfId="0" applyNumberFormat="1" applyFont="1"/>
    <xf numFmtId="3" fontId="7" fillId="6" borderId="0" xfId="0" applyNumberFormat="1" applyFont="1" applyFill="1"/>
    <xf numFmtId="3" fontId="3" fillId="0" borderId="0" xfId="0" applyNumberFormat="1" applyFont="1"/>
    <xf numFmtId="166" fontId="3" fillId="0" borderId="0" xfId="0" applyNumberFormat="1" applyFont="1"/>
    <xf numFmtId="166" fontId="7" fillId="6" borderId="0" xfId="0" applyNumberFormat="1" applyFont="1" applyFill="1"/>
    <xf numFmtId="0" fontId="1" fillId="3" borderId="1" xfId="0" applyFont="1" applyFill="1" applyBorder="1"/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DF6E3"/>
      <rgbColor rgb="FFEAF2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2AE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E7C8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Income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Dashboard!$A$7:$A$10</c:f>
              <c:strCache>
                <c:ptCount val="4"/>
                <c:pt idx="0">
                  <c:v>Homeport</c:v>
                </c:pt>
                <c:pt idx="1">
                  <c:v>Sherpa</c:v>
                </c:pt>
                <c:pt idx="2">
                  <c:v>Recreation</c:v>
                </c:pt>
                <c:pt idx="3">
                  <c:v>Others</c:v>
                </c:pt>
              </c:strCache>
            </c:strRef>
          </c:cat>
          <c:val>
            <c:numRef>
              <c:f>Dashboard!$B$7:$B$10</c:f>
              <c:numCache>
                <c:formatCode>\£#,##0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4-4CF7-B0D1-E4FF6C3C5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485304"/>
        <c:axId val="48793534"/>
      </c:barChart>
      <c:catAx>
        <c:axId val="72485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793534"/>
        <c:crosses val="autoZero"/>
        <c:auto val="1"/>
        <c:lblAlgn val="ctr"/>
        <c:lblOffset val="100"/>
        <c:noMultiLvlLbl val="0"/>
      </c:catAx>
      <c:valAx>
        <c:axId val="487935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4853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Cost split — Fixed vs Variable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63C-4176-88B5-55916775E96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63C-4176-88B5-55916775E96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3C-4176-88B5-55916775E96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3C-4176-88B5-55916775E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Dashboard!$A$17:$A$18</c:f>
              <c:strCache>
                <c:ptCount val="2"/>
                <c:pt idx="0">
                  <c:v>Fixed</c:v>
                </c:pt>
                <c:pt idx="1">
                  <c:v>Variable</c:v>
                </c:pt>
              </c:strCache>
            </c:strRef>
          </c:cat>
          <c:val>
            <c:numRef>
              <c:f>Dashboard!$B$17:$B$18</c:f>
              <c:numCache>
                <c:formatCode>\£#,##0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3C-4176-88B5-55916775E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Staff extras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Dashboard!$A$43:$A$46</c:f>
              <c:strCache>
                <c:ptCount val="4"/>
                <c:pt idx="0">
                  <c:v>  Homeport</c:v>
                </c:pt>
                <c:pt idx="1">
                  <c:v>  Sherpa</c:v>
                </c:pt>
                <c:pt idx="2">
                  <c:v>  Recreation</c:v>
                </c:pt>
                <c:pt idx="3">
                  <c:v>  Others</c:v>
                </c:pt>
              </c:strCache>
            </c:strRef>
          </c:cat>
          <c:val>
            <c:numRef>
              <c:f>Dashboard!$B$43:$B$46</c:f>
              <c:numCache>
                <c:formatCode>\£#,##0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8-42B3-BDEC-EBA7E5173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717956"/>
        <c:axId val="44903592"/>
      </c:barChart>
      <c:catAx>
        <c:axId val="727179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903592"/>
        <c:crosses val="autoZero"/>
        <c:auto val="1"/>
        <c:lblAlgn val="ctr"/>
        <c:lblOffset val="100"/>
        <c:noMultiLvlLbl val="0"/>
      </c:catAx>
      <c:valAx>
        <c:axId val="449035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7179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61913</xdr:colOff>
      <xdr:row>3</xdr:row>
      <xdr:rowOff>64365</xdr:rowOff>
    </xdr:from>
    <xdr:to>
      <xdr:col>11</xdr:col>
      <xdr:colOff>460793</xdr:colOff>
      <xdr:row>18</xdr:row>
      <xdr:rowOff>56805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71437</xdr:colOff>
      <xdr:row>19</xdr:row>
      <xdr:rowOff>134744</xdr:rowOff>
    </xdr:from>
    <xdr:to>
      <xdr:col>11</xdr:col>
      <xdr:colOff>470317</xdr:colOff>
      <xdr:row>34</xdr:row>
      <xdr:rowOff>131834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66675</xdr:colOff>
      <xdr:row>36</xdr:row>
      <xdr:rowOff>171789</xdr:rowOff>
    </xdr:from>
    <xdr:to>
      <xdr:col>11</xdr:col>
      <xdr:colOff>465555</xdr:colOff>
      <xdr:row>51</xdr:row>
      <xdr:rowOff>178989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zoomScale="125" zoomScaleNormal="125" workbookViewId="0">
      <selection activeCell="A10" sqref="A10"/>
    </sheetView>
  </sheetViews>
  <sheetFormatPr baseColWidth="10" defaultColWidth="8.6640625" defaultRowHeight="15" x14ac:dyDescent="0.2"/>
  <cols>
    <col min="1" max="1" width="110" customWidth="1"/>
  </cols>
  <sheetData>
    <row r="1" spans="1:1" ht="19.5" customHeight="1" x14ac:dyDescent="0.2">
      <c r="A1" s="1" t="s">
        <v>0</v>
      </c>
    </row>
    <row r="2" spans="1:1" ht="15" customHeight="1" x14ac:dyDescent="0.2">
      <c r="A2" s="2"/>
    </row>
    <row r="3" spans="1:1" ht="15" customHeight="1" x14ac:dyDescent="0.2">
      <c r="A3" s="3" t="s">
        <v>1</v>
      </c>
    </row>
    <row r="4" spans="1:1" ht="15" customHeight="1" x14ac:dyDescent="0.2">
      <c r="A4" s="2" t="s">
        <v>2</v>
      </c>
    </row>
    <row r="5" spans="1:1" ht="15" customHeight="1" x14ac:dyDescent="0.2">
      <c r="A5" s="2" t="s">
        <v>3</v>
      </c>
    </row>
    <row r="6" spans="1:1" ht="15" customHeight="1" x14ac:dyDescent="0.2">
      <c r="A6" s="2"/>
    </row>
    <row r="7" spans="1:1" ht="15" customHeight="1" x14ac:dyDescent="0.2">
      <c r="A7" s="3" t="s">
        <v>4</v>
      </c>
    </row>
    <row r="8" spans="1:1" ht="15" customHeight="1" x14ac:dyDescent="0.2">
      <c r="A8" s="2" t="s">
        <v>5</v>
      </c>
    </row>
    <row r="9" spans="1:1" ht="15" customHeight="1" x14ac:dyDescent="0.2">
      <c r="A9" s="2" t="s">
        <v>6</v>
      </c>
    </row>
    <row r="10" spans="1:1" ht="15" customHeight="1" x14ac:dyDescent="0.2">
      <c r="A10" s="2" t="s">
        <v>7</v>
      </c>
    </row>
    <row r="11" spans="1:1" ht="15" customHeight="1" x14ac:dyDescent="0.2">
      <c r="A11" s="2"/>
    </row>
    <row r="12" spans="1:1" ht="15" customHeight="1" x14ac:dyDescent="0.2">
      <c r="A12" s="3" t="s">
        <v>8</v>
      </c>
    </row>
    <row r="13" spans="1:1" ht="15" customHeight="1" x14ac:dyDescent="0.2">
      <c r="A13" s="2" t="s">
        <v>9</v>
      </c>
    </row>
    <row r="14" spans="1:1" ht="15" customHeight="1" x14ac:dyDescent="0.2">
      <c r="A14" s="2" t="s">
        <v>10</v>
      </c>
    </row>
    <row r="15" spans="1:1" ht="15" customHeight="1" x14ac:dyDescent="0.2">
      <c r="A15" s="2" t="s">
        <v>11</v>
      </c>
    </row>
    <row r="16" spans="1:1" ht="15" customHeight="1" x14ac:dyDescent="0.2">
      <c r="A16" s="2" t="s">
        <v>12</v>
      </c>
    </row>
    <row r="17" spans="1:1" ht="15" customHeight="1" x14ac:dyDescent="0.2">
      <c r="A17" s="2" t="s">
        <v>13</v>
      </c>
    </row>
    <row r="18" spans="1:1" ht="15" customHeight="1" x14ac:dyDescent="0.2">
      <c r="A18" s="2" t="s">
        <v>14</v>
      </c>
    </row>
    <row r="19" spans="1:1" ht="15" customHeight="1" x14ac:dyDescent="0.2">
      <c r="A19" s="2" t="s">
        <v>15</v>
      </c>
    </row>
    <row r="20" spans="1:1" ht="15" customHeight="1" x14ac:dyDescent="0.2">
      <c r="A20" s="2" t="s">
        <v>16</v>
      </c>
    </row>
    <row r="21" spans="1:1" ht="15" customHeight="1" x14ac:dyDescent="0.2">
      <c r="A21" s="2" t="s">
        <v>17</v>
      </c>
    </row>
    <row r="22" spans="1:1" ht="15" customHeight="1" x14ac:dyDescent="0.2">
      <c r="A22" s="2" t="s">
        <v>18</v>
      </c>
    </row>
    <row r="23" spans="1:1" ht="15" customHeight="1" x14ac:dyDescent="0.2">
      <c r="A23" s="2" t="s">
        <v>19</v>
      </c>
    </row>
    <row r="24" spans="1:1" ht="15" customHeight="1" x14ac:dyDescent="0.2">
      <c r="A24" s="2" t="s">
        <v>20</v>
      </c>
    </row>
    <row r="25" spans="1:1" ht="15" customHeight="1" x14ac:dyDescent="0.2">
      <c r="A25" s="2"/>
    </row>
    <row r="26" spans="1:1" ht="15" customHeight="1" x14ac:dyDescent="0.2">
      <c r="A26" s="3" t="s">
        <v>21</v>
      </c>
    </row>
    <row r="27" spans="1:1" ht="15" customHeight="1" x14ac:dyDescent="0.2">
      <c r="A27" s="2" t="s">
        <v>22</v>
      </c>
    </row>
    <row r="28" spans="1:1" ht="15" customHeight="1" x14ac:dyDescent="0.2">
      <c r="A28" s="2" t="s">
        <v>23</v>
      </c>
    </row>
    <row r="29" spans="1:1" ht="15" customHeight="1" x14ac:dyDescent="0.2">
      <c r="A29" s="2" t="s">
        <v>24</v>
      </c>
    </row>
    <row r="30" spans="1:1" ht="15" customHeight="1" x14ac:dyDescent="0.2">
      <c r="A30" s="2" t="s">
        <v>25</v>
      </c>
    </row>
    <row r="31" spans="1:1" ht="15" customHeight="1" x14ac:dyDescent="0.2">
      <c r="A31" s="2" t="s">
        <v>26</v>
      </c>
    </row>
    <row r="32" spans="1:1" ht="15" customHeight="1" x14ac:dyDescent="0.2">
      <c r="A32" s="2" t="s">
        <v>27</v>
      </c>
    </row>
    <row r="33" spans="1:1" ht="15" customHeight="1" x14ac:dyDescent="0.2">
      <c r="A33" s="2" t="s">
        <v>28</v>
      </c>
    </row>
    <row r="34" spans="1:1" ht="15" customHeight="1" x14ac:dyDescent="0.2">
      <c r="A34" s="2" t="s">
        <v>29</v>
      </c>
    </row>
    <row r="35" spans="1:1" ht="15" customHeight="1" x14ac:dyDescent="0.2">
      <c r="A35" s="2" t="s">
        <v>30</v>
      </c>
    </row>
    <row r="36" spans="1:1" ht="15" customHeight="1" x14ac:dyDescent="0.2">
      <c r="A36" s="2"/>
    </row>
    <row r="37" spans="1:1" ht="15" customHeight="1" x14ac:dyDescent="0.2">
      <c r="A37" s="2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"/>
  <sheetViews>
    <sheetView topLeftCell="A37" zoomScale="120" zoomScaleNormal="120" workbookViewId="0">
      <selection activeCell="B29" sqref="B29"/>
    </sheetView>
  </sheetViews>
  <sheetFormatPr baseColWidth="10" defaultColWidth="8.6640625" defaultRowHeight="15" x14ac:dyDescent="0.2"/>
  <cols>
    <col min="1" max="1" width="32" customWidth="1"/>
    <col min="2" max="2" width="14" customWidth="1"/>
    <col min="3" max="3" width="19.5" customWidth="1"/>
    <col min="4" max="4" width="30" customWidth="1"/>
    <col min="5" max="5" width="10" customWidth="1"/>
    <col min="6" max="6" width="9" customWidth="1"/>
    <col min="7" max="7" width="14" customWidth="1"/>
    <col min="8" max="8" width="12" customWidth="1"/>
  </cols>
  <sheetData>
    <row r="1" spans="1:9" ht="19.5" customHeight="1" x14ac:dyDescent="0.2">
      <c r="A1" s="1" t="s">
        <v>32</v>
      </c>
    </row>
    <row r="3" spans="1:9" ht="15" customHeight="1" x14ac:dyDescent="0.2">
      <c r="A3" s="3" t="s">
        <v>33</v>
      </c>
    </row>
    <row r="4" spans="1:9" ht="26.25" customHeight="1" x14ac:dyDescent="0.2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H4" s="4" t="s">
        <v>34</v>
      </c>
      <c r="I4" s="4" t="s">
        <v>35</v>
      </c>
    </row>
    <row r="5" spans="1:9" ht="15" customHeight="1" x14ac:dyDescent="0.2">
      <c r="A5" s="5" t="s">
        <v>42</v>
      </c>
      <c r="B5" s="5" t="s">
        <v>43</v>
      </c>
      <c r="C5" s="5" t="s">
        <v>44</v>
      </c>
      <c r="D5" s="2" t="str">
        <f t="shared" ref="D5:D12" si="0">A5&amp;"|"&amp;B5&amp;"|"&amp;C5</f>
        <v>Homeport|UoB|32</v>
      </c>
      <c r="E5" s="6">
        <v>3350</v>
      </c>
      <c r="F5" s="5" t="s">
        <v>45</v>
      </c>
      <c r="H5" s="5" t="s">
        <v>42</v>
      </c>
      <c r="I5" s="5" t="s">
        <v>43</v>
      </c>
    </row>
    <row r="6" spans="1:9" ht="15" customHeight="1" x14ac:dyDescent="0.2">
      <c r="A6" s="5" t="s">
        <v>42</v>
      </c>
      <c r="B6" s="5" t="s">
        <v>43</v>
      </c>
      <c r="C6" s="5" t="s">
        <v>48</v>
      </c>
      <c r="D6" s="2" t="str">
        <f t="shared" si="0"/>
        <v>Homeport|UoB|40</v>
      </c>
      <c r="E6" s="6">
        <v>4150</v>
      </c>
      <c r="F6" s="5" t="s">
        <v>45</v>
      </c>
      <c r="H6" s="5" t="s">
        <v>46</v>
      </c>
      <c r="I6" s="5" t="s">
        <v>47</v>
      </c>
    </row>
    <row r="7" spans="1:9" ht="15" customHeight="1" x14ac:dyDescent="0.2">
      <c r="A7" s="5" t="s">
        <v>42</v>
      </c>
      <c r="B7" s="5" t="s">
        <v>47</v>
      </c>
      <c r="C7" s="5" t="s">
        <v>44</v>
      </c>
      <c r="D7" s="2" t="str">
        <f t="shared" si="0"/>
        <v>Homeport|External|32</v>
      </c>
      <c r="E7" s="6">
        <v>3800</v>
      </c>
      <c r="F7" s="5" t="s">
        <v>45</v>
      </c>
      <c r="H7" s="5" t="s">
        <v>49</v>
      </c>
      <c r="I7" s="5" t="s">
        <v>50</v>
      </c>
    </row>
    <row r="8" spans="1:9" ht="15" customHeight="1" x14ac:dyDescent="0.2">
      <c r="A8" s="5" t="s">
        <v>42</v>
      </c>
      <c r="B8" s="5" t="s">
        <v>47</v>
      </c>
      <c r="C8" s="5" t="s">
        <v>48</v>
      </c>
      <c r="D8" s="2" t="str">
        <f t="shared" si="0"/>
        <v>Homeport|External|40</v>
      </c>
      <c r="E8" s="6">
        <v>4700</v>
      </c>
      <c r="F8" s="5" t="s">
        <v>45</v>
      </c>
      <c r="H8" s="5" t="s">
        <v>51</v>
      </c>
      <c r="I8" s="5" t="s">
        <v>52</v>
      </c>
    </row>
    <row r="9" spans="1:9" ht="15" customHeight="1" x14ac:dyDescent="0.2">
      <c r="A9" s="5" t="s">
        <v>46</v>
      </c>
      <c r="B9" s="5" t="s">
        <v>43</v>
      </c>
      <c r="C9" s="5" t="s">
        <v>44</v>
      </c>
      <c r="D9" s="2" t="str">
        <f t="shared" si="0"/>
        <v>Sherpa|UoB|32</v>
      </c>
      <c r="E9" s="6">
        <v>2250</v>
      </c>
      <c r="F9" s="5" t="s">
        <v>45</v>
      </c>
    </row>
    <row r="10" spans="1:9" ht="15" customHeight="1" x14ac:dyDescent="0.2">
      <c r="A10" s="5" t="s">
        <v>46</v>
      </c>
      <c r="B10" s="5" t="s">
        <v>43</v>
      </c>
      <c r="C10" s="5" t="s">
        <v>48</v>
      </c>
      <c r="D10" s="2" t="str">
        <f t="shared" si="0"/>
        <v>Sherpa|UoB|40</v>
      </c>
      <c r="E10" s="6">
        <v>2650</v>
      </c>
      <c r="F10" s="5" t="s">
        <v>45</v>
      </c>
    </row>
    <row r="11" spans="1:9" ht="15" customHeight="1" x14ac:dyDescent="0.2">
      <c r="A11" s="5" t="s">
        <v>46</v>
      </c>
      <c r="B11" s="5" t="s">
        <v>47</v>
      </c>
      <c r="C11" s="5" t="s">
        <v>44</v>
      </c>
      <c r="D11" s="2" t="str">
        <f t="shared" si="0"/>
        <v>Sherpa|External|32</v>
      </c>
      <c r="E11" s="6">
        <v>2630</v>
      </c>
      <c r="F11" s="5" t="s">
        <v>45</v>
      </c>
    </row>
    <row r="12" spans="1:9" ht="15" customHeight="1" x14ac:dyDescent="0.2">
      <c r="A12" s="5" t="s">
        <v>46</v>
      </c>
      <c r="B12" s="5" t="s">
        <v>47</v>
      </c>
      <c r="C12" s="5" t="s">
        <v>48</v>
      </c>
      <c r="D12" s="2" t="str">
        <f t="shared" si="0"/>
        <v>Sherpa|External|40</v>
      </c>
      <c r="E12" s="6">
        <v>3025</v>
      </c>
      <c r="F12" s="5" t="s">
        <v>45</v>
      </c>
    </row>
    <row r="13" spans="1:9" ht="15" customHeight="1" x14ac:dyDescent="0.2">
      <c r="A13" s="7" t="s">
        <v>53</v>
      </c>
    </row>
    <row r="21" spans="1:3" ht="15" customHeight="1" x14ac:dyDescent="0.2">
      <c r="A21" s="3" t="s">
        <v>54</v>
      </c>
    </row>
    <row r="22" spans="1:3" ht="15" customHeight="1" x14ac:dyDescent="0.2">
      <c r="A22" s="4" t="s">
        <v>55</v>
      </c>
      <c r="B22" s="4" t="s">
        <v>40</v>
      </c>
      <c r="C22" s="4" t="s">
        <v>41</v>
      </c>
    </row>
    <row r="23" spans="1:3" ht="15" customHeight="1" x14ac:dyDescent="0.2">
      <c r="A23" s="5" t="s">
        <v>56</v>
      </c>
      <c r="B23" s="6">
        <v>180</v>
      </c>
      <c r="C23" s="2" t="s">
        <v>57</v>
      </c>
    </row>
    <row r="24" spans="1:3" ht="15" customHeight="1" x14ac:dyDescent="0.2">
      <c r="A24" s="5" t="s">
        <v>58</v>
      </c>
      <c r="B24" s="6">
        <v>300</v>
      </c>
      <c r="C24" s="2" t="s">
        <v>59</v>
      </c>
    </row>
    <row r="27" spans="1:3" ht="15" customHeight="1" x14ac:dyDescent="0.2">
      <c r="A27" s="3" t="s">
        <v>60</v>
      </c>
    </row>
    <row r="28" spans="1:3" ht="15" customHeight="1" x14ac:dyDescent="0.2">
      <c r="A28" s="4" t="s">
        <v>61</v>
      </c>
      <c r="B28" s="4" t="s">
        <v>62</v>
      </c>
    </row>
    <row r="29" spans="1:3" ht="15" customHeight="1" x14ac:dyDescent="0.2">
      <c r="A29" s="5" t="s">
        <v>63</v>
      </c>
      <c r="B29" s="5" t="s">
        <v>64</v>
      </c>
    </row>
    <row r="30" spans="1:3" ht="15" customHeight="1" x14ac:dyDescent="0.2">
      <c r="A30" s="5" t="s">
        <v>65</v>
      </c>
      <c r="B30" s="5" t="s">
        <v>64</v>
      </c>
    </row>
    <row r="31" spans="1:3" ht="15" customHeight="1" x14ac:dyDescent="0.2">
      <c r="A31" s="5" t="s">
        <v>66</v>
      </c>
      <c r="B31" s="5" t="s">
        <v>67</v>
      </c>
    </row>
    <row r="32" spans="1:3" ht="15" customHeight="1" x14ac:dyDescent="0.2">
      <c r="A32" s="5" t="s">
        <v>68</v>
      </c>
      <c r="B32" s="5" t="s">
        <v>67</v>
      </c>
    </row>
    <row r="33" spans="1:2" ht="15" customHeight="1" x14ac:dyDescent="0.2">
      <c r="A33" s="5" t="s">
        <v>69</v>
      </c>
      <c r="B33" s="5" t="s">
        <v>67</v>
      </c>
    </row>
    <row r="34" spans="1:2" ht="15" customHeight="1" x14ac:dyDescent="0.2">
      <c r="A34" s="5" t="s">
        <v>70</v>
      </c>
      <c r="B34" s="5" t="s">
        <v>67</v>
      </c>
    </row>
    <row r="35" spans="1:2" ht="15" customHeight="1" x14ac:dyDescent="0.2">
      <c r="A35" s="5" t="s">
        <v>71</v>
      </c>
      <c r="B35" s="5" t="s">
        <v>67</v>
      </c>
    </row>
    <row r="36" spans="1:2" ht="15" customHeight="1" x14ac:dyDescent="0.2">
      <c r="A36" s="5" t="s">
        <v>72</v>
      </c>
      <c r="B36" s="5" t="s">
        <v>67</v>
      </c>
    </row>
    <row r="37" spans="1:2" ht="15" customHeight="1" x14ac:dyDescent="0.2">
      <c r="A37" s="5" t="s">
        <v>73</v>
      </c>
      <c r="B37" s="5" t="s">
        <v>67</v>
      </c>
    </row>
    <row r="38" spans="1:2" ht="15" customHeight="1" x14ac:dyDescent="0.2">
      <c r="A38" s="5" t="s">
        <v>74</v>
      </c>
      <c r="B38" s="5" t="s">
        <v>67</v>
      </c>
    </row>
    <row r="39" spans="1:2" ht="15" customHeight="1" x14ac:dyDescent="0.2">
      <c r="A39" s="5" t="s">
        <v>75</v>
      </c>
      <c r="B39" s="5" t="s">
        <v>64</v>
      </c>
    </row>
    <row r="40" spans="1:2" ht="15" customHeight="1" x14ac:dyDescent="0.2">
      <c r="A40" s="5" t="s">
        <v>76</v>
      </c>
      <c r="B40" s="5" t="s">
        <v>64</v>
      </c>
    </row>
    <row r="41" spans="1:2" ht="15" customHeight="1" x14ac:dyDescent="0.2">
      <c r="A41" s="5" t="s">
        <v>77</v>
      </c>
      <c r="B41" s="5" t="s">
        <v>64</v>
      </c>
    </row>
    <row r="42" spans="1:2" ht="15" customHeight="1" x14ac:dyDescent="0.2">
      <c r="A42" s="5" t="s">
        <v>78</v>
      </c>
      <c r="B42" s="5" t="s">
        <v>67</v>
      </c>
    </row>
    <row r="43" spans="1:2" ht="15" customHeight="1" x14ac:dyDescent="0.2">
      <c r="A43" s="5" t="s">
        <v>79</v>
      </c>
      <c r="B43" s="5" t="s">
        <v>67</v>
      </c>
    </row>
    <row r="44" spans="1:2" ht="15" customHeight="1" x14ac:dyDescent="0.2">
      <c r="A44" s="5" t="s">
        <v>80</v>
      </c>
      <c r="B44" s="5" t="s">
        <v>64</v>
      </c>
    </row>
    <row r="45" spans="1:2" ht="15" customHeight="1" x14ac:dyDescent="0.2">
      <c r="A45" s="5" t="s">
        <v>81</v>
      </c>
      <c r="B45" s="5" t="s">
        <v>64</v>
      </c>
    </row>
    <row r="46" spans="1:2" ht="15" customHeight="1" x14ac:dyDescent="0.2">
      <c r="A46" s="5" t="s">
        <v>82</v>
      </c>
      <c r="B46" s="5" t="s">
        <v>67</v>
      </c>
    </row>
    <row r="47" spans="1:2" ht="15" customHeight="1" x14ac:dyDescent="0.2">
      <c r="A47" s="5" t="s">
        <v>83</v>
      </c>
      <c r="B47" s="5" t="s">
        <v>67</v>
      </c>
    </row>
    <row r="48" spans="1:2" ht="15" customHeight="1" x14ac:dyDescent="0.2">
      <c r="A48" s="5" t="s">
        <v>84</v>
      </c>
      <c r="B48" s="5" t="s">
        <v>67</v>
      </c>
    </row>
    <row r="49" spans="1:2" ht="15" customHeight="1" x14ac:dyDescent="0.2">
      <c r="A49" s="5" t="s">
        <v>85</v>
      </c>
      <c r="B49" s="5" t="s">
        <v>64</v>
      </c>
    </row>
    <row r="50" spans="1:2" ht="15" customHeight="1" x14ac:dyDescent="0.2">
      <c r="A50" s="5" t="s">
        <v>86</v>
      </c>
      <c r="B50" s="5" t="s">
        <v>67</v>
      </c>
    </row>
    <row r="51" spans="1:2" ht="15" customHeight="1" x14ac:dyDescent="0.2">
      <c r="A51" s="5" t="s">
        <v>87</v>
      </c>
      <c r="B51" s="5" t="s">
        <v>64</v>
      </c>
    </row>
    <row r="52" spans="1:2" ht="15" customHeight="1" x14ac:dyDescent="0.2">
      <c r="A52" s="5" t="s">
        <v>88</v>
      </c>
      <c r="B52" s="5" t="s">
        <v>64</v>
      </c>
    </row>
    <row r="53" spans="1:2" ht="15" customHeight="1" x14ac:dyDescent="0.2">
      <c r="A53" s="5" t="s">
        <v>89</v>
      </c>
      <c r="B53" s="5" t="s">
        <v>64</v>
      </c>
    </row>
    <row r="54" spans="1:2" ht="15" customHeight="1" x14ac:dyDescent="0.2">
      <c r="A54" s="5" t="s">
        <v>90</v>
      </c>
      <c r="B54" s="5" t="s">
        <v>64</v>
      </c>
    </row>
    <row r="55" spans="1:2" ht="15" customHeight="1" x14ac:dyDescent="0.2">
      <c r="A55" s="5" t="s">
        <v>91</v>
      </c>
      <c r="B55" s="5" t="s">
        <v>64</v>
      </c>
    </row>
    <row r="56" spans="1:2" ht="15" customHeight="1" x14ac:dyDescent="0.2">
      <c r="A56" s="5" t="s">
        <v>92</v>
      </c>
      <c r="B56" s="5" t="s">
        <v>64</v>
      </c>
    </row>
    <row r="57" spans="1:2" ht="15" customHeight="1" x14ac:dyDescent="0.2">
      <c r="A57" s="5" t="s">
        <v>93</v>
      </c>
      <c r="B57" s="5" t="s">
        <v>64</v>
      </c>
    </row>
    <row r="58" spans="1:2" ht="15" customHeight="1" x14ac:dyDescent="0.2">
      <c r="A58" s="5" t="s">
        <v>94</v>
      </c>
      <c r="B58" s="5" t="s">
        <v>64</v>
      </c>
    </row>
    <row r="59" spans="1:2" ht="15" customHeight="1" x14ac:dyDescent="0.2">
      <c r="A59" s="5" t="s">
        <v>95</v>
      </c>
      <c r="B59" s="5" t="s">
        <v>67</v>
      </c>
    </row>
    <row r="60" spans="1:2" ht="15" customHeight="1" x14ac:dyDescent="0.2">
      <c r="A60" s="5" t="s">
        <v>96</v>
      </c>
      <c r="B60" s="5" t="s">
        <v>67</v>
      </c>
    </row>
    <row r="61" spans="1:2" ht="15" customHeight="1" x14ac:dyDescent="0.2">
      <c r="A61" s="5" t="s">
        <v>97</v>
      </c>
      <c r="B61" s="5" t="s">
        <v>67</v>
      </c>
    </row>
    <row r="62" spans="1:2" ht="15" customHeight="1" x14ac:dyDescent="0.2">
      <c r="A62" s="5" t="s">
        <v>98</v>
      </c>
      <c r="B62" s="5" t="s">
        <v>67</v>
      </c>
    </row>
    <row r="63" spans="1:2" ht="15" customHeight="1" x14ac:dyDescent="0.2">
      <c r="A63" s="5" t="s">
        <v>99</v>
      </c>
      <c r="B63" s="5" t="s">
        <v>67</v>
      </c>
    </row>
    <row r="64" spans="1:2" ht="15" customHeight="1" x14ac:dyDescent="0.2">
      <c r="A64" s="5" t="s">
        <v>100</v>
      </c>
      <c r="B64" s="5" t="s">
        <v>64</v>
      </c>
    </row>
    <row r="65" spans="1:2" ht="15" customHeight="1" x14ac:dyDescent="0.2">
      <c r="A65" s="5" t="s">
        <v>101</v>
      </c>
      <c r="B65" s="5" t="s">
        <v>64</v>
      </c>
    </row>
    <row r="66" spans="1:2" ht="15" customHeight="1" x14ac:dyDescent="0.2">
      <c r="A66" s="5" t="s">
        <v>102</v>
      </c>
      <c r="B66" s="5" t="s">
        <v>64</v>
      </c>
    </row>
    <row r="67" spans="1:2" ht="15" customHeight="1" x14ac:dyDescent="0.2">
      <c r="A67" s="5" t="s">
        <v>103</v>
      </c>
      <c r="B67" s="5" t="s">
        <v>67</v>
      </c>
    </row>
    <row r="68" spans="1:2" ht="15" customHeight="1" x14ac:dyDescent="0.2">
      <c r="A68" s="5" t="s">
        <v>104</v>
      </c>
      <c r="B68" s="5" t="s">
        <v>64</v>
      </c>
    </row>
    <row r="69" spans="1:2" ht="15" customHeight="1" x14ac:dyDescent="0.2">
      <c r="A69" s="5" t="s">
        <v>105</v>
      </c>
      <c r="B69" s="5" t="s">
        <v>67</v>
      </c>
    </row>
    <row r="70" spans="1:2" ht="15" customHeight="1" x14ac:dyDescent="0.2">
      <c r="A70" s="5" t="s">
        <v>106</v>
      </c>
      <c r="B70" s="5" t="s">
        <v>64</v>
      </c>
    </row>
    <row r="71" spans="1:2" ht="15" customHeight="1" x14ac:dyDescent="0.2">
      <c r="A71" s="5" t="s">
        <v>107</v>
      </c>
      <c r="B71" s="5" t="s">
        <v>67</v>
      </c>
    </row>
    <row r="72" spans="1:2" ht="15" customHeight="1" x14ac:dyDescent="0.2">
      <c r="A72" s="5" t="s">
        <v>108</v>
      </c>
      <c r="B72" s="5" t="s">
        <v>64</v>
      </c>
    </row>
    <row r="73" spans="1:2" ht="15" customHeight="1" x14ac:dyDescent="0.2">
      <c r="A73" s="5" t="s">
        <v>109</v>
      </c>
      <c r="B73" s="5" t="s">
        <v>64</v>
      </c>
    </row>
    <row r="74" spans="1:2" ht="15" customHeight="1" x14ac:dyDescent="0.2">
      <c r="A74" s="5" t="s">
        <v>110</v>
      </c>
      <c r="B74" s="5" t="s">
        <v>64</v>
      </c>
    </row>
    <row r="75" spans="1:2" ht="15" customHeight="1" x14ac:dyDescent="0.2">
      <c r="A75" s="5" t="s">
        <v>111</v>
      </c>
      <c r="B75" s="5" t="s">
        <v>64</v>
      </c>
    </row>
    <row r="76" spans="1:2" ht="15" customHeight="1" x14ac:dyDescent="0.2">
      <c r="A76" s="5" t="s">
        <v>112</v>
      </c>
      <c r="B76" s="5" t="s">
        <v>64</v>
      </c>
    </row>
    <row r="77" spans="1:2" ht="15" customHeight="1" x14ac:dyDescent="0.2">
      <c r="A77" s="5" t="s">
        <v>113</v>
      </c>
      <c r="B77" s="5" t="s">
        <v>64</v>
      </c>
    </row>
    <row r="78" spans="1:2" ht="15" customHeight="1" x14ac:dyDescent="0.2">
      <c r="A78" s="5" t="s">
        <v>114</v>
      </c>
      <c r="B78" s="5" t="s">
        <v>64</v>
      </c>
    </row>
    <row r="79" spans="1:2" ht="15" customHeight="1" x14ac:dyDescent="0.2">
      <c r="A79" s="5" t="s">
        <v>115</v>
      </c>
      <c r="B79" s="5" t="s">
        <v>67</v>
      </c>
    </row>
    <row r="80" spans="1:2" ht="15" customHeight="1" x14ac:dyDescent="0.2">
      <c r="A80" s="5" t="s">
        <v>116</v>
      </c>
      <c r="B80" s="5" t="s">
        <v>67</v>
      </c>
    </row>
    <row r="81" spans="1:2" ht="15" customHeight="1" x14ac:dyDescent="0.2">
      <c r="A81" s="5" t="s">
        <v>117</v>
      </c>
      <c r="B81" s="5" t="s">
        <v>67</v>
      </c>
    </row>
    <row r="82" spans="1:2" ht="15" customHeight="1" x14ac:dyDescent="0.2">
      <c r="A82" s="5" t="s">
        <v>118</v>
      </c>
      <c r="B82" s="5" t="s">
        <v>64</v>
      </c>
    </row>
    <row r="83" spans="1:2" ht="15" customHeight="1" x14ac:dyDescent="0.2">
      <c r="A83" s="5" t="s">
        <v>119</v>
      </c>
      <c r="B83" s="5" t="s">
        <v>67</v>
      </c>
    </row>
    <row r="84" spans="1:2" ht="15" customHeight="1" x14ac:dyDescent="0.2">
      <c r="A84" s="5" t="s">
        <v>120</v>
      </c>
      <c r="B84" s="5" t="s">
        <v>64</v>
      </c>
    </row>
    <row r="85" spans="1:2" ht="15" customHeight="1" x14ac:dyDescent="0.2">
      <c r="A85" s="5" t="s">
        <v>121</v>
      </c>
      <c r="B85" s="5" t="s">
        <v>64</v>
      </c>
    </row>
    <row r="86" spans="1:2" ht="15" customHeight="1" x14ac:dyDescent="0.2">
      <c r="A86" s="5" t="s">
        <v>122</v>
      </c>
      <c r="B86" s="5" t="s">
        <v>64</v>
      </c>
    </row>
    <row r="87" spans="1:2" ht="15" customHeight="1" x14ac:dyDescent="0.2">
      <c r="A87" s="5" t="s">
        <v>123</v>
      </c>
      <c r="B87" s="5" t="s">
        <v>67</v>
      </c>
    </row>
    <row r="88" spans="1:2" ht="15" customHeight="1" x14ac:dyDescent="0.2">
      <c r="A88" s="5" t="s">
        <v>124</v>
      </c>
      <c r="B88" s="5" t="s">
        <v>64</v>
      </c>
    </row>
    <row r="89" spans="1:2" x14ac:dyDescent="0.2">
      <c r="A89" s="5"/>
      <c r="B89" s="5"/>
    </row>
    <row r="90" spans="1:2" x14ac:dyDescent="0.2">
      <c r="A90" s="5"/>
      <c r="B90" s="5"/>
    </row>
    <row r="91" spans="1:2" x14ac:dyDescent="0.2">
      <c r="A91" s="5"/>
      <c r="B91" s="5"/>
    </row>
    <row r="92" spans="1:2" x14ac:dyDescent="0.2">
      <c r="A92" s="5"/>
      <c r="B92" s="5"/>
    </row>
    <row r="93" spans="1:2" x14ac:dyDescent="0.2">
      <c r="A93" s="5"/>
      <c r="B93" s="5"/>
    </row>
    <row r="94" spans="1:2" x14ac:dyDescent="0.2">
      <c r="A94" s="5"/>
      <c r="B94" s="5"/>
    </row>
    <row r="95" spans="1:2" x14ac:dyDescent="0.2">
      <c r="A95" s="5"/>
      <c r="B95" s="5"/>
    </row>
    <row r="96" spans="1:2" x14ac:dyDescent="0.2">
      <c r="A96" s="5"/>
      <c r="B96" s="5"/>
    </row>
    <row r="97" spans="1:2" x14ac:dyDescent="0.2">
      <c r="A97" s="5"/>
      <c r="B97" s="5"/>
    </row>
    <row r="98" spans="1:2" x14ac:dyDescent="0.2">
      <c r="A98" s="5"/>
      <c r="B98" s="5"/>
    </row>
    <row r="99" spans="1:2" x14ac:dyDescent="0.2">
      <c r="A99" s="5"/>
      <c r="B99" s="5"/>
    </row>
    <row r="100" spans="1:2" x14ac:dyDescent="0.2">
      <c r="A100" s="5"/>
      <c r="B100" s="5"/>
    </row>
    <row r="101" spans="1:2" x14ac:dyDescent="0.2">
      <c r="A101" s="5"/>
      <c r="B101" s="5"/>
    </row>
    <row r="102" spans="1:2" x14ac:dyDescent="0.2">
      <c r="A102" s="5"/>
      <c r="B102" s="5"/>
    </row>
    <row r="103" spans="1:2" x14ac:dyDescent="0.2">
      <c r="A103" s="5"/>
      <c r="B103" s="5"/>
    </row>
    <row r="104" spans="1:2" x14ac:dyDescent="0.2">
      <c r="A104" s="5"/>
      <c r="B104" s="5"/>
    </row>
    <row r="105" spans="1:2" x14ac:dyDescent="0.2">
      <c r="A105" s="5"/>
      <c r="B105" s="5"/>
    </row>
    <row r="106" spans="1:2" x14ac:dyDescent="0.2">
      <c r="A106" s="5"/>
      <c r="B106" s="5"/>
    </row>
    <row r="107" spans="1:2" x14ac:dyDescent="0.2">
      <c r="A107" s="5"/>
      <c r="B107" s="5"/>
    </row>
    <row r="108" spans="1:2" x14ac:dyDescent="0.2">
      <c r="A108" s="5"/>
      <c r="B108" s="5"/>
    </row>
    <row r="109" spans="1:2" x14ac:dyDescent="0.2">
      <c r="A109" s="5"/>
      <c r="B109" s="5"/>
    </row>
    <row r="110" spans="1:2" x14ac:dyDescent="0.2">
      <c r="A110" s="5"/>
      <c r="B110" s="5"/>
    </row>
    <row r="111" spans="1:2" x14ac:dyDescent="0.2">
      <c r="A111" s="5"/>
      <c r="B111" s="5"/>
    </row>
    <row r="112" spans="1:2" x14ac:dyDescent="0.2">
      <c r="A112" s="5"/>
      <c r="B112" s="5"/>
    </row>
    <row r="113" spans="1:2" x14ac:dyDescent="0.2">
      <c r="A113" s="5"/>
      <c r="B113" s="5"/>
    </row>
    <row r="114" spans="1:2" x14ac:dyDescent="0.2">
      <c r="A114" s="5"/>
      <c r="B114" s="5"/>
    </row>
    <row r="115" spans="1:2" x14ac:dyDescent="0.2">
      <c r="A115" s="5"/>
      <c r="B115" s="5"/>
    </row>
    <row r="116" spans="1:2" x14ac:dyDescent="0.2">
      <c r="A116" s="5"/>
      <c r="B116" s="5"/>
    </row>
    <row r="117" spans="1:2" x14ac:dyDescent="0.2">
      <c r="A117" s="5"/>
      <c r="B117" s="5"/>
    </row>
    <row r="118" spans="1:2" x14ac:dyDescent="0.2">
      <c r="A118" s="5"/>
      <c r="B118" s="5"/>
    </row>
    <row r="119" spans="1:2" x14ac:dyDescent="0.2">
      <c r="A119" s="5"/>
      <c r="B119" s="5"/>
    </row>
    <row r="120" spans="1:2" x14ac:dyDescent="0.2">
      <c r="A120" s="5"/>
      <c r="B120" s="5"/>
    </row>
    <row r="121" spans="1:2" x14ac:dyDescent="0.2">
      <c r="A121" s="5"/>
      <c r="B121" s="5"/>
    </row>
    <row r="122" spans="1:2" x14ac:dyDescent="0.2">
      <c r="A122" s="5"/>
      <c r="B122" s="5"/>
    </row>
    <row r="123" spans="1:2" x14ac:dyDescent="0.2">
      <c r="A123" s="5"/>
      <c r="B123" s="5"/>
    </row>
    <row r="124" spans="1:2" x14ac:dyDescent="0.2">
      <c r="A124" s="5"/>
      <c r="B124" s="5"/>
    </row>
    <row r="125" spans="1:2" x14ac:dyDescent="0.2">
      <c r="A125" s="5"/>
      <c r="B125" s="5"/>
    </row>
    <row r="126" spans="1:2" x14ac:dyDescent="0.2">
      <c r="A126" s="5"/>
      <c r="B126" s="5"/>
    </row>
    <row r="127" spans="1:2" x14ac:dyDescent="0.2">
      <c r="A127" s="5"/>
      <c r="B127" s="5"/>
    </row>
    <row r="128" spans="1:2" x14ac:dyDescent="0.2">
      <c r="A128" s="5"/>
      <c r="B128" s="5"/>
    </row>
    <row r="129" spans="1:2" x14ac:dyDescent="0.2">
      <c r="A129" s="5"/>
      <c r="B129" s="5"/>
    </row>
    <row r="130" spans="1:2" x14ac:dyDescent="0.2">
      <c r="A130" s="5"/>
      <c r="B130" s="5"/>
    </row>
    <row r="131" spans="1:2" x14ac:dyDescent="0.2">
      <c r="A131" s="5"/>
      <c r="B131" s="5"/>
    </row>
    <row r="132" spans="1:2" x14ac:dyDescent="0.2">
      <c r="A132" s="5"/>
      <c r="B132" s="5"/>
    </row>
    <row r="133" spans="1:2" x14ac:dyDescent="0.2">
      <c r="A133" s="5"/>
      <c r="B133" s="5"/>
    </row>
    <row r="134" spans="1:2" x14ac:dyDescent="0.2">
      <c r="A134" s="5"/>
      <c r="B134" s="5"/>
    </row>
    <row r="135" spans="1:2" x14ac:dyDescent="0.2">
      <c r="A135" s="5"/>
      <c r="B135" s="5"/>
    </row>
    <row r="136" spans="1:2" x14ac:dyDescent="0.2">
      <c r="A136" s="5"/>
      <c r="B136" s="5"/>
    </row>
    <row r="137" spans="1:2" x14ac:dyDescent="0.2">
      <c r="A137" s="5"/>
      <c r="B137" s="5"/>
    </row>
    <row r="138" spans="1:2" x14ac:dyDescent="0.2">
      <c r="A138" s="5"/>
      <c r="B138" s="5"/>
    </row>
    <row r="139" spans="1:2" x14ac:dyDescent="0.2">
      <c r="A139" s="5"/>
      <c r="B139" s="5"/>
    </row>
    <row r="140" spans="1:2" x14ac:dyDescent="0.2">
      <c r="A140" s="5"/>
      <c r="B140" s="5"/>
    </row>
    <row r="141" spans="1:2" x14ac:dyDescent="0.2">
      <c r="A141" s="5"/>
      <c r="B141" s="5"/>
    </row>
    <row r="142" spans="1:2" x14ac:dyDescent="0.2">
      <c r="A142" s="5"/>
      <c r="B142" s="5"/>
    </row>
    <row r="143" spans="1:2" x14ac:dyDescent="0.2">
      <c r="A143" s="5"/>
      <c r="B143" s="5"/>
    </row>
    <row r="144" spans="1:2" x14ac:dyDescent="0.2">
      <c r="A144" s="5"/>
      <c r="B144" s="5"/>
    </row>
    <row r="145" spans="1:2" x14ac:dyDescent="0.2">
      <c r="A145" s="5"/>
      <c r="B145" s="5"/>
    </row>
    <row r="146" spans="1:2" x14ac:dyDescent="0.2">
      <c r="A146" s="5"/>
      <c r="B146" s="5"/>
    </row>
    <row r="147" spans="1:2" x14ac:dyDescent="0.2">
      <c r="A147" s="5"/>
      <c r="B147" s="5"/>
    </row>
    <row r="148" spans="1:2" x14ac:dyDescent="0.2">
      <c r="A148" s="5"/>
      <c r="B148" s="5"/>
    </row>
    <row r="149" spans="1:2" x14ac:dyDescent="0.2">
      <c r="A149" s="5"/>
      <c r="B149" s="5"/>
    </row>
    <row r="150" spans="1:2" x14ac:dyDescent="0.2">
      <c r="A150" s="5"/>
      <c r="B150" s="5"/>
    </row>
    <row r="151" spans="1:2" x14ac:dyDescent="0.2">
      <c r="A151" s="5"/>
      <c r="B151" s="5"/>
    </row>
    <row r="152" spans="1:2" x14ac:dyDescent="0.2">
      <c r="A152" s="5"/>
      <c r="B152" s="5"/>
    </row>
    <row r="153" spans="1:2" x14ac:dyDescent="0.2">
      <c r="A153" s="5"/>
      <c r="B153" s="5"/>
    </row>
    <row r="154" spans="1:2" x14ac:dyDescent="0.2">
      <c r="A154" s="5"/>
      <c r="B154" s="5"/>
    </row>
    <row r="155" spans="1:2" x14ac:dyDescent="0.2">
      <c r="A155" s="5"/>
      <c r="B155" s="5"/>
    </row>
    <row r="156" spans="1:2" x14ac:dyDescent="0.2">
      <c r="A156" s="5"/>
      <c r="B156" s="5"/>
    </row>
    <row r="157" spans="1:2" x14ac:dyDescent="0.2">
      <c r="A157" s="5"/>
      <c r="B157" s="5"/>
    </row>
    <row r="158" spans="1:2" x14ac:dyDescent="0.2">
      <c r="A158" s="5"/>
      <c r="B158" s="5"/>
    </row>
    <row r="159" spans="1:2" x14ac:dyDescent="0.2">
      <c r="A159" s="5"/>
      <c r="B159" s="5"/>
    </row>
    <row r="160" spans="1:2" x14ac:dyDescent="0.2">
      <c r="A160" s="5"/>
      <c r="B160" s="5"/>
    </row>
    <row r="161" spans="1:2" x14ac:dyDescent="0.2">
      <c r="A161" s="5"/>
      <c r="B161" s="5"/>
    </row>
    <row r="162" spans="1:2" x14ac:dyDescent="0.2">
      <c r="A162" s="5"/>
      <c r="B162" s="5"/>
    </row>
    <row r="163" spans="1:2" x14ac:dyDescent="0.2">
      <c r="A163" s="5"/>
      <c r="B163" s="5"/>
    </row>
    <row r="164" spans="1:2" x14ac:dyDescent="0.2">
      <c r="A164" s="5"/>
      <c r="B164" s="5"/>
    </row>
    <row r="165" spans="1:2" x14ac:dyDescent="0.2">
      <c r="A165" s="5"/>
      <c r="B165" s="5"/>
    </row>
    <row r="166" spans="1:2" x14ac:dyDescent="0.2">
      <c r="A166" s="5"/>
      <c r="B166" s="5"/>
    </row>
    <row r="167" spans="1:2" x14ac:dyDescent="0.2">
      <c r="A167" s="5"/>
      <c r="B167" s="5"/>
    </row>
    <row r="168" spans="1:2" x14ac:dyDescent="0.2">
      <c r="A168" s="5"/>
      <c r="B168" s="5"/>
    </row>
    <row r="169" spans="1:2" x14ac:dyDescent="0.2">
      <c r="A169" s="5"/>
      <c r="B169" s="5"/>
    </row>
    <row r="170" spans="1:2" x14ac:dyDescent="0.2">
      <c r="A170" s="5"/>
      <c r="B170" s="5"/>
    </row>
    <row r="171" spans="1:2" x14ac:dyDescent="0.2">
      <c r="A171" s="5"/>
      <c r="B171" s="5"/>
    </row>
    <row r="172" spans="1:2" x14ac:dyDescent="0.2">
      <c r="A172" s="5"/>
      <c r="B172" s="5"/>
    </row>
    <row r="173" spans="1:2" x14ac:dyDescent="0.2">
      <c r="A173" s="5"/>
      <c r="B173" s="5"/>
    </row>
    <row r="174" spans="1:2" x14ac:dyDescent="0.2">
      <c r="A174" s="5"/>
      <c r="B174" s="5"/>
    </row>
    <row r="175" spans="1:2" x14ac:dyDescent="0.2">
      <c r="A175" s="5"/>
      <c r="B175" s="5"/>
    </row>
    <row r="176" spans="1:2" x14ac:dyDescent="0.2">
      <c r="A176" s="5"/>
      <c r="B176" s="5"/>
    </row>
    <row r="177" spans="1:2" x14ac:dyDescent="0.2">
      <c r="A177" s="5"/>
      <c r="B177" s="5"/>
    </row>
    <row r="178" spans="1:2" x14ac:dyDescent="0.2">
      <c r="A178" s="5"/>
      <c r="B178" s="5"/>
    </row>
    <row r="179" spans="1:2" x14ac:dyDescent="0.2">
      <c r="A179" s="5"/>
      <c r="B179" s="5"/>
    </row>
    <row r="180" spans="1:2" x14ac:dyDescent="0.2">
      <c r="A180" s="5"/>
      <c r="B180" s="5"/>
    </row>
    <row r="181" spans="1:2" x14ac:dyDescent="0.2">
      <c r="A181" s="5"/>
      <c r="B181" s="5"/>
    </row>
    <row r="182" spans="1:2" x14ac:dyDescent="0.2">
      <c r="A182" s="5"/>
      <c r="B182" s="5"/>
    </row>
    <row r="183" spans="1:2" x14ac:dyDescent="0.2">
      <c r="A183" s="5"/>
      <c r="B183" s="5"/>
    </row>
    <row r="184" spans="1:2" x14ac:dyDescent="0.2">
      <c r="A184" s="5"/>
      <c r="B184" s="5"/>
    </row>
    <row r="185" spans="1:2" x14ac:dyDescent="0.2">
      <c r="A185" s="5"/>
      <c r="B185" s="5"/>
    </row>
    <row r="186" spans="1:2" x14ac:dyDescent="0.2">
      <c r="A186" s="5"/>
      <c r="B186" s="5"/>
    </row>
    <row r="187" spans="1:2" x14ac:dyDescent="0.2">
      <c r="A187" s="5"/>
      <c r="B187" s="5"/>
    </row>
    <row r="188" spans="1:2" x14ac:dyDescent="0.2">
      <c r="A188" s="5"/>
      <c r="B188" s="5"/>
    </row>
    <row r="189" spans="1:2" x14ac:dyDescent="0.2">
      <c r="A189" s="5"/>
      <c r="B189" s="5"/>
    </row>
    <row r="190" spans="1:2" x14ac:dyDescent="0.2">
      <c r="A190" s="5"/>
      <c r="B190" s="5"/>
    </row>
    <row r="191" spans="1:2" x14ac:dyDescent="0.2">
      <c r="A191" s="5"/>
      <c r="B191" s="5"/>
    </row>
    <row r="192" spans="1:2" x14ac:dyDescent="0.2">
      <c r="A192" s="5"/>
      <c r="B192" s="5"/>
    </row>
    <row r="193" spans="1:2" x14ac:dyDescent="0.2">
      <c r="A193" s="5"/>
      <c r="B193" s="5"/>
    </row>
    <row r="194" spans="1:2" x14ac:dyDescent="0.2">
      <c r="A194" s="5"/>
      <c r="B194" s="5"/>
    </row>
    <row r="195" spans="1:2" x14ac:dyDescent="0.2">
      <c r="A195" s="5"/>
      <c r="B195" s="5"/>
    </row>
    <row r="196" spans="1:2" x14ac:dyDescent="0.2">
      <c r="A196" s="5"/>
      <c r="B196" s="5"/>
    </row>
    <row r="197" spans="1:2" x14ac:dyDescent="0.2">
      <c r="A197" s="5"/>
      <c r="B197" s="5"/>
    </row>
    <row r="198" spans="1:2" x14ac:dyDescent="0.2">
      <c r="A198" s="5"/>
      <c r="B198" s="5"/>
    </row>
    <row r="199" spans="1:2" x14ac:dyDescent="0.2">
      <c r="A199" s="5"/>
      <c r="B199" s="5"/>
    </row>
    <row r="200" spans="1:2" x14ac:dyDescent="0.2">
      <c r="A200" s="5"/>
      <c r="B200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zoomScaleNormal="100" workbookViewId="0">
      <selection activeCell="F8" sqref="F8"/>
    </sheetView>
  </sheetViews>
  <sheetFormatPr baseColWidth="10" defaultColWidth="8.6640625" defaultRowHeight="15" x14ac:dyDescent="0.2"/>
  <cols>
    <col min="1" max="1" width="12" customWidth="1"/>
    <col min="2" max="2" width="10" customWidth="1"/>
    <col min="3" max="4" width="12" customWidth="1"/>
    <col min="5" max="5" width="10" customWidth="1"/>
    <col min="6" max="6" width="18" customWidth="1"/>
  </cols>
  <sheetData>
    <row r="1" spans="1:6" ht="19.5" customHeight="1" x14ac:dyDescent="0.2">
      <c r="A1" s="1" t="s">
        <v>125</v>
      </c>
    </row>
    <row r="2" spans="1:6" ht="15" customHeight="1" x14ac:dyDescent="0.2">
      <c r="A2" s="7" t="s">
        <v>126</v>
      </c>
    </row>
    <row r="4" spans="1:6" ht="15" customHeight="1" x14ac:dyDescent="0.2">
      <c r="A4" s="4" t="s">
        <v>37</v>
      </c>
      <c r="B4" s="4" t="s">
        <v>127</v>
      </c>
      <c r="C4" s="4" t="s">
        <v>128</v>
      </c>
      <c r="D4" s="4" t="s">
        <v>41</v>
      </c>
      <c r="E4" s="4" t="s">
        <v>40</v>
      </c>
      <c r="F4" s="4" t="s">
        <v>39</v>
      </c>
    </row>
    <row r="5" spans="1:6" ht="15" customHeight="1" x14ac:dyDescent="0.2">
      <c r="A5" s="5" t="s">
        <v>43</v>
      </c>
      <c r="B5" s="5" t="s">
        <v>129</v>
      </c>
      <c r="C5" s="5">
        <v>24</v>
      </c>
      <c r="D5" s="5" t="s">
        <v>130</v>
      </c>
      <c r="E5" s="6">
        <v>1200</v>
      </c>
      <c r="F5" s="2" t="str">
        <f t="shared" ref="F5:F10" si="0">A5&amp;"|"&amp;B5</f>
        <v>UoB|&lt;=24</v>
      </c>
    </row>
    <row r="6" spans="1:6" ht="15" customHeight="1" x14ac:dyDescent="0.2">
      <c r="A6" s="5" t="s">
        <v>43</v>
      </c>
      <c r="B6" s="5" t="s">
        <v>131</v>
      </c>
      <c r="C6" s="5">
        <v>32</v>
      </c>
      <c r="D6" s="5" t="s">
        <v>130</v>
      </c>
      <c r="E6" s="6">
        <v>1680</v>
      </c>
      <c r="F6" s="2" t="str">
        <f t="shared" si="0"/>
        <v>UoB|&lt;=32</v>
      </c>
    </row>
    <row r="7" spans="1:6" ht="15" customHeight="1" x14ac:dyDescent="0.2">
      <c r="A7" s="5" t="s">
        <v>43</v>
      </c>
      <c r="B7" s="5" t="s">
        <v>132</v>
      </c>
      <c r="C7" s="5">
        <v>9999</v>
      </c>
      <c r="D7" s="5" t="s">
        <v>133</v>
      </c>
      <c r="E7" s="6">
        <v>45</v>
      </c>
      <c r="F7" s="2" t="str">
        <f t="shared" si="0"/>
        <v>UoB|Above32</v>
      </c>
    </row>
    <row r="8" spans="1:6" ht="15" customHeight="1" x14ac:dyDescent="0.2">
      <c r="A8" s="5" t="s">
        <v>47</v>
      </c>
      <c r="B8" s="5" t="s">
        <v>129</v>
      </c>
      <c r="C8" s="5">
        <v>24</v>
      </c>
      <c r="D8" s="5" t="s">
        <v>130</v>
      </c>
      <c r="E8" s="6">
        <v>1225</v>
      </c>
      <c r="F8" s="2" t="str">
        <f t="shared" si="0"/>
        <v>External|&lt;=24</v>
      </c>
    </row>
    <row r="9" spans="1:6" ht="15" customHeight="1" x14ac:dyDescent="0.2">
      <c r="A9" s="5" t="s">
        <v>47</v>
      </c>
      <c r="B9" s="5" t="s">
        <v>131</v>
      </c>
      <c r="C9" s="5">
        <v>32</v>
      </c>
      <c r="D9" s="5" t="s">
        <v>130</v>
      </c>
      <c r="E9" s="6">
        <v>2465</v>
      </c>
      <c r="F9" s="2" t="str">
        <f t="shared" si="0"/>
        <v>External|&lt;=32</v>
      </c>
    </row>
    <row r="10" spans="1:6" ht="15" customHeight="1" x14ac:dyDescent="0.2">
      <c r="A10" s="5" t="s">
        <v>47</v>
      </c>
      <c r="B10" s="5" t="s">
        <v>132</v>
      </c>
      <c r="C10" s="5">
        <v>9999</v>
      </c>
      <c r="D10" s="5" t="s">
        <v>133</v>
      </c>
      <c r="E10" s="6">
        <v>65</v>
      </c>
      <c r="F10" s="2" t="str">
        <f t="shared" si="0"/>
        <v>External|Above32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56"/>
  <sheetViews>
    <sheetView zoomScale="125" zoomScaleNormal="100" workbookViewId="0">
      <pane ySplit="1" topLeftCell="A1028" activePane="bottomLeft" state="frozen"/>
      <selection pane="bottomLeft" activeCell="J1" sqref="J1"/>
    </sheetView>
  </sheetViews>
  <sheetFormatPr baseColWidth="10" defaultColWidth="8.6640625" defaultRowHeight="15" x14ac:dyDescent="0.2"/>
  <cols>
    <col min="1" max="1" width="26" customWidth="1"/>
    <col min="2" max="2" width="12" customWidth="1"/>
    <col min="3" max="3" width="10" customWidth="1"/>
    <col min="4" max="5" width="12" customWidth="1"/>
    <col min="6" max="7" width="8" customWidth="1"/>
    <col min="8" max="8" width="10" customWidth="1"/>
    <col min="9" max="9" width="11" customWidth="1"/>
    <col min="10" max="11" width="10" customWidth="1"/>
    <col min="12" max="12" width="11" customWidth="1"/>
    <col min="13" max="13" width="10" customWidth="1"/>
    <col min="14" max="14" width="11" customWidth="1"/>
    <col min="15" max="15" width="13" customWidth="1"/>
    <col min="16" max="16" width="10.6640625" customWidth="1"/>
  </cols>
  <sheetData>
    <row r="1" spans="1:16" ht="39" customHeight="1" x14ac:dyDescent="0.2">
      <c r="A1" s="4" t="s">
        <v>134</v>
      </c>
      <c r="B1" s="4" t="s">
        <v>36</v>
      </c>
      <c r="C1" s="4" t="s">
        <v>37</v>
      </c>
      <c r="D1" s="4" t="s">
        <v>135</v>
      </c>
      <c r="E1" s="4" t="s">
        <v>136</v>
      </c>
      <c r="F1" s="4" t="s">
        <v>137</v>
      </c>
      <c r="G1" s="4" t="s">
        <v>138</v>
      </c>
      <c r="H1" s="4" t="s">
        <v>139</v>
      </c>
      <c r="I1" s="4" t="s">
        <v>140</v>
      </c>
      <c r="J1" s="4" t="s">
        <v>141</v>
      </c>
      <c r="K1" s="4" t="s">
        <v>142</v>
      </c>
      <c r="L1" s="4" t="s">
        <v>143</v>
      </c>
      <c r="M1" s="4" t="s">
        <v>144</v>
      </c>
      <c r="N1" s="4" t="s">
        <v>145</v>
      </c>
      <c r="O1" s="4" t="s">
        <v>146</v>
      </c>
      <c r="P1" s="4" t="s">
        <v>147</v>
      </c>
    </row>
    <row r="2" spans="1:16" ht="15" customHeight="1" x14ac:dyDescent="0.2">
      <c r="A2" s="24"/>
      <c r="B2" s="8"/>
      <c r="C2" s="8"/>
      <c r="D2" s="9"/>
      <c r="E2" s="9"/>
      <c r="F2" s="8"/>
      <c r="G2" s="10" t="str">
        <f t="shared" ref="G2:G62" si="0">IF(OR(D2="",E2=""),"",E2-D2)</f>
        <v/>
      </c>
      <c r="H2" s="10" t="str">
        <f t="shared" ref="H2:H62" si="1">IF(OR(F2="",G2=""),"",F2*G2)</f>
        <v/>
      </c>
      <c r="I2" s="11" t="str">
        <f>IF(B2="Recreation",IFERROR(INDEX(RecPricing!$E$5:$E$10,MATCH(IF(C2="Mixed","External",IF(C2="Unknown","UoB",C2))&amp;"|"&amp;IF(F2&lt;=24,"&lt;=24",IF(F2&lt;=32,"&lt;=32","Above32")),RecPricing!$F$5:$F$10,0)),""),IFERROR(INDEX(Reference!$E$5:$E$12,MATCH(B2&amp;"|"&amp;IF(C2="Mixed","External",IF(C2="Unknown","UoB",C2))&amp;"|"&amp;IF(F2&lt;=32,"32","40"),Reference!$D$5:$D$12,0)),""))</f>
        <v/>
      </c>
      <c r="J2" s="11" t="str">
        <f t="shared" ref="J2:J62" si="2">IF(I2="","",IF(B2="Recreation",IF(F2&lt;=32,I2,I2*IF(F2="",0,F2)),IF(AND(I2&lt;&gt;"",G2&lt;&gt;""),I2*G2,"")))</f>
        <v/>
      </c>
      <c r="K2" s="12"/>
      <c r="L2" s="11" t="str">
        <f t="shared" ref="L2:L62" si="3">IF(J2="","",J2-IF(K2="",0,K2))</f>
        <v/>
      </c>
      <c r="M2" s="12"/>
      <c r="N2" s="12"/>
      <c r="O2" s="11" t="str">
        <f t="shared" ref="O2:O62" si="4">IF(L2="","",L2-IF(M2="",0,M2)-IF(N2="",0,N2))</f>
        <v/>
      </c>
      <c r="P2" s="10" t="str">
        <f t="shared" ref="P2:P62" si="5">IF(D2="","",IF(MONTH(D2)&gt;=8,YEAR(D2)&amp;"-"&amp;RIGHT(YEAR(D2)+1,2),YEAR(D2)-1&amp;"-"&amp;RIGHT(YEAR(D2),2)))</f>
        <v/>
      </c>
    </row>
    <row r="3" spans="1:16" ht="15" customHeight="1" x14ac:dyDescent="0.2">
      <c r="A3" s="24"/>
      <c r="B3" s="8"/>
      <c r="C3" s="8"/>
      <c r="D3" s="9"/>
      <c r="E3" s="9"/>
      <c r="F3" s="8"/>
      <c r="G3" s="10" t="str">
        <f t="shared" si="0"/>
        <v/>
      </c>
      <c r="H3" s="10" t="str">
        <f t="shared" si="1"/>
        <v/>
      </c>
      <c r="I3" s="11" t="str">
        <f>IF(B3="Recreation",IFERROR(INDEX(RecPricing!$E$5:$E$10,MATCH(IF(C3="Mixed","External",IF(C3="Unknown","UoB",C3))&amp;"|"&amp;IF(F3&lt;=24,"&lt;=24",IF(F3&lt;=32,"&lt;=32","Above32")),RecPricing!$F$5:$F$10,0)),""),IFERROR(INDEX(Reference!$E$5:$E$12,MATCH(B3&amp;"|"&amp;IF(C3="Mixed","External",IF(C3="Unknown","UoB",C3))&amp;"|"&amp;IF(F3&lt;=32,"32","40"),Reference!$D$5:$D$12,0)),""))</f>
        <v/>
      </c>
      <c r="J3" s="11" t="str">
        <f t="shared" si="2"/>
        <v/>
      </c>
      <c r="K3" s="12"/>
      <c r="L3" s="11" t="str">
        <f t="shared" si="3"/>
        <v/>
      </c>
      <c r="M3" s="12"/>
      <c r="N3" s="12"/>
      <c r="O3" s="11" t="str">
        <f t="shared" si="4"/>
        <v/>
      </c>
      <c r="P3" s="10" t="str">
        <f t="shared" si="5"/>
        <v/>
      </c>
    </row>
    <row r="4" spans="1:16" ht="15" customHeight="1" x14ac:dyDescent="0.2">
      <c r="A4" s="8"/>
      <c r="B4" s="8"/>
      <c r="C4" s="8"/>
      <c r="D4" s="9"/>
      <c r="E4" s="9"/>
      <c r="F4" s="8"/>
      <c r="G4" s="10" t="str">
        <f t="shared" si="0"/>
        <v/>
      </c>
      <c r="H4" s="10" t="str">
        <f t="shared" si="1"/>
        <v/>
      </c>
      <c r="I4" s="11" t="str">
        <f>IF(B4="Recreation",IFERROR(INDEX(RecPricing!$E$5:$E$10,MATCH(IF(C4="Mixed","External",IF(C4="Unknown","UoB",C4))&amp;"|"&amp;IF(F4&lt;=24,"&lt;=24",IF(F4&lt;=32,"&lt;=32","Above32")),RecPricing!$F$5:$F$10,0)),""),IFERROR(INDEX(Reference!$E$5:$E$12,MATCH(B4&amp;"|"&amp;IF(C4="Mixed","External",IF(C4="Unknown","UoB",C4))&amp;"|"&amp;IF(F4&lt;=32,"32","40"),Reference!$D$5:$D$12,0)),""))</f>
        <v/>
      </c>
      <c r="J4" s="11" t="str">
        <f t="shared" si="2"/>
        <v/>
      </c>
      <c r="K4" s="12"/>
      <c r="L4" s="11" t="str">
        <f t="shared" si="3"/>
        <v/>
      </c>
      <c r="M4" s="12"/>
      <c r="N4" s="12"/>
      <c r="O4" s="11" t="str">
        <f t="shared" si="4"/>
        <v/>
      </c>
      <c r="P4" s="10" t="str">
        <f t="shared" si="5"/>
        <v/>
      </c>
    </row>
    <row r="5" spans="1:16" ht="15" customHeight="1" x14ac:dyDescent="0.2">
      <c r="A5" s="8"/>
      <c r="B5" s="8"/>
      <c r="C5" s="8"/>
      <c r="D5" s="9"/>
      <c r="E5" s="9"/>
      <c r="F5" s="8"/>
      <c r="G5" s="10" t="str">
        <f t="shared" si="0"/>
        <v/>
      </c>
      <c r="H5" s="10" t="str">
        <f t="shared" si="1"/>
        <v/>
      </c>
      <c r="I5" s="11" t="str">
        <f>IF(B5="Recreation",IFERROR(INDEX(RecPricing!$E$5:$E$10,MATCH(IF(C5="Mixed","External",IF(C5="Unknown","UoB",C5))&amp;"|"&amp;IF(F5&lt;=24,"&lt;=24",IF(F5&lt;=32,"&lt;=32","Above32")),RecPricing!$F$5:$F$10,0)),""),IFERROR(INDEX(Reference!$E$5:$E$12,MATCH(B5&amp;"|"&amp;IF(C5="Mixed","External",IF(C5="Unknown","UoB",C5))&amp;"|"&amp;IF(F5&lt;=32,"32","40"),Reference!$D$5:$D$12,0)),""))</f>
        <v/>
      </c>
      <c r="J5" s="11" t="str">
        <f t="shared" si="2"/>
        <v/>
      </c>
      <c r="K5" s="12"/>
      <c r="L5" s="11" t="str">
        <f t="shared" si="3"/>
        <v/>
      </c>
      <c r="M5" s="12"/>
      <c r="N5" s="12"/>
      <c r="O5" s="11" t="str">
        <f t="shared" si="4"/>
        <v/>
      </c>
      <c r="P5" s="10" t="str">
        <f t="shared" si="5"/>
        <v/>
      </c>
    </row>
    <row r="6" spans="1:16" ht="15" customHeight="1" x14ac:dyDescent="0.2">
      <c r="A6" s="8"/>
      <c r="B6" s="8"/>
      <c r="C6" s="8"/>
      <c r="D6" s="9"/>
      <c r="E6" s="9"/>
      <c r="F6" s="8"/>
      <c r="G6" s="10" t="str">
        <f t="shared" si="0"/>
        <v/>
      </c>
      <c r="H6" s="10" t="str">
        <f t="shared" si="1"/>
        <v/>
      </c>
      <c r="I6" s="11" t="str">
        <f>IF(B6="Recreation",IFERROR(INDEX(RecPricing!$E$5:$E$10,MATCH(IF(C6="Mixed","External",IF(C6="Unknown","UoB",C6))&amp;"|"&amp;IF(F6&lt;=24,"&lt;=24",IF(F6&lt;=32,"&lt;=32","Above32")),RecPricing!$F$5:$F$10,0)),""),IFERROR(INDEX(Reference!$E$5:$E$12,MATCH(B6&amp;"|"&amp;IF(C6="Mixed","External",IF(C6="Unknown","UoB",C6))&amp;"|"&amp;IF(F6&lt;=32,"32","40"),Reference!$D$5:$D$12,0)),""))</f>
        <v/>
      </c>
      <c r="J6" s="11" t="str">
        <f t="shared" si="2"/>
        <v/>
      </c>
      <c r="K6" s="12"/>
      <c r="L6" s="11" t="str">
        <f t="shared" si="3"/>
        <v/>
      </c>
      <c r="M6" s="12"/>
      <c r="N6" s="12"/>
      <c r="O6" s="11" t="str">
        <f t="shared" si="4"/>
        <v/>
      </c>
      <c r="P6" s="10" t="str">
        <f t="shared" si="5"/>
        <v/>
      </c>
    </row>
    <row r="7" spans="1:16" ht="15" customHeight="1" x14ac:dyDescent="0.2">
      <c r="A7" s="8"/>
      <c r="B7" s="8"/>
      <c r="C7" s="8"/>
      <c r="D7" s="9"/>
      <c r="E7" s="9"/>
      <c r="F7" s="8"/>
      <c r="G7" s="10" t="str">
        <f t="shared" si="0"/>
        <v/>
      </c>
      <c r="H7" s="10" t="str">
        <f t="shared" si="1"/>
        <v/>
      </c>
      <c r="I7" s="11" t="str">
        <f>IF(B7="Recreation",IFERROR(INDEX(RecPricing!$E$5:$E$10,MATCH(IF(C7="Mixed","External",IF(C7="Unknown","UoB",C7))&amp;"|"&amp;IF(F7&lt;=24,"&lt;=24",IF(F7&lt;=32,"&lt;=32","Above32")),RecPricing!$F$5:$F$10,0)),""),IFERROR(INDEX(Reference!$E$5:$E$12,MATCH(B7&amp;"|"&amp;IF(C7="Mixed","External",IF(C7="Unknown","UoB",C7))&amp;"|"&amp;IF(F7&lt;=32,"32","40"),Reference!$D$5:$D$12,0)),""))</f>
        <v/>
      </c>
      <c r="J7" s="11" t="str">
        <f t="shared" si="2"/>
        <v/>
      </c>
      <c r="K7" s="12"/>
      <c r="L7" s="11" t="str">
        <f t="shared" si="3"/>
        <v/>
      </c>
      <c r="M7" s="12"/>
      <c r="N7" s="12"/>
      <c r="O7" s="11" t="str">
        <f t="shared" si="4"/>
        <v/>
      </c>
      <c r="P7" s="10" t="str">
        <f t="shared" si="5"/>
        <v/>
      </c>
    </row>
    <row r="8" spans="1:16" ht="15" customHeight="1" x14ac:dyDescent="0.2">
      <c r="A8" s="8"/>
      <c r="B8" s="8"/>
      <c r="C8" s="8"/>
      <c r="D8" s="9"/>
      <c r="E8" s="9"/>
      <c r="F8" s="8"/>
      <c r="G8" s="10" t="str">
        <f t="shared" si="0"/>
        <v/>
      </c>
      <c r="H8" s="10" t="str">
        <f t="shared" si="1"/>
        <v/>
      </c>
      <c r="I8" s="11" t="str">
        <f>IF(B8="Recreation",IFERROR(INDEX(RecPricing!$E$5:$E$10,MATCH(IF(C8="Mixed","External",IF(C8="Unknown","UoB",C8))&amp;"|"&amp;IF(F8&lt;=24,"&lt;=24",IF(F8&lt;=32,"&lt;=32","Above32")),RecPricing!$F$5:$F$10,0)),""),IFERROR(INDEX(Reference!$E$5:$E$12,MATCH(B8&amp;"|"&amp;IF(C8="Mixed","External",IF(C8="Unknown","UoB",C8))&amp;"|"&amp;IF(F8&lt;=32,"32","40"),Reference!$D$5:$D$12,0)),""))</f>
        <v/>
      </c>
      <c r="J8" s="11" t="str">
        <f t="shared" si="2"/>
        <v/>
      </c>
      <c r="K8" s="12"/>
      <c r="L8" s="11" t="str">
        <f t="shared" si="3"/>
        <v/>
      </c>
      <c r="M8" s="12"/>
      <c r="N8" s="12"/>
      <c r="O8" s="11" t="str">
        <f t="shared" si="4"/>
        <v/>
      </c>
      <c r="P8" s="10" t="str">
        <f t="shared" si="5"/>
        <v/>
      </c>
    </row>
    <row r="9" spans="1:16" ht="15" customHeight="1" x14ac:dyDescent="0.2">
      <c r="A9" s="8"/>
      <c r="B9" s="8"/>
      <c r="C9" s="8"/>
      <c r="D9" s="9"/>
      <c r="E9" s="9"/>
      <c r="F9" s="8"/>
      <c r="G9" s="10" t="str">
        <f t="shared" si="0"/>
        <v/>
      </c>
      <c r="H9" s="10" t="str">
        <f t="shared" si="1"/>
        <v/>
      </c>
      <c r="I9" s="11" t="str">
        <f>IF(B9="Recreation",IFERROR(INDEX(RecPricing!$E$5:$E$10,MATCH(IF(C9="Mixed","External",IF(C9="Unknown","UoB",C9))&amp;"|"&amp;IF(F9&lt;=24,"&lt;=24",IF(F9&lt;=32,"&lt;=32","Above32")),RecPricing!$F$5:$F$10,0)),""),IFERROR(INDEX(Reference!$E$5:$E$12,MATCH(B9&amp;"|"&amp;IF(C9="Mixed","External",IF(C9="Unknown","UoB",C9))&amp;"|"&amp;IF(F9&lt;=32,"32","40"),Reference!$D$5:$D$12,0)),""))</f>
        <v/>
      </c>
      <c r="J9" s="11" t="str">
        <f t="shared" si="2"/>
        <v/>
      </c>
      <c r="K9" s="12"/>
      <c r="L9" s="11" t="str">
        <f t="shared" si="3"/>
        <v/>
      </c>
      <c r="M9" s="12"/>
      <c r="N9" s="12"/>
      <c r="O9" s="11" t="str">
        <f t="shared" si="4"/>
        <v/>
      </c>
      <c r="P9" s="10" t="str">
        <f t="shared" si="5"/>
        <v/>
      </c>
    </row>
    <row r="10" spans="1:16" ht="15" customHeight="1" x14ac:dyDescent="0.2">
      <c r="A10" s="8"/>
      <c r="B10" s="8"/>
      <c r="C10" s="8"/>
      <c r="D10" s="9"/>
      <c r="E10" s="9"/>
      <c r="F10" s="8"/>
      <c r="G10" s="10" t="str">
        <f t="shared" si="0"/>
        <v/>
      </c>
      <c r="H10" s="10" t="str">
        <f t="shared" si="1"/>
        <v/>
      </c>
      <c r="I10" s="11" t="str">
        <f>IF(B10="Recreation",IFERROR(INDEX(RecPricing!$E$5:$E$10,MATCH(IF(C10="Mixed","External",IF(C10="Unknown","UoB",C10))&amp;"|"&amp;IF(F10&lt;=24,"&lt;=24",IF(F10&lt;=32,"&lt;=32","Above32")),RecPricing!$F$5:$F$10,0)),""),IFERROR(INDEX(Reference!$E$5:$E$12,MATCH(B10&amp;"|"&amp;IF(C10="Mixed","External",IF(C10="Unknown","UoB",C10))&amp;"|"&amp;IF(F10&lt;=32,"32","40"),Reference!$D$5:$D$12,0)),""))</f>
        <v/>
      </c>
      <c r="J10" s="11" t="str">
        <f t="shared" si="2"/>
        <v/>
      </c>
      <c r="K10" s="12"/>
      <c r="L10" s="11" t="str">
        <f t="shared" si="3"/>
        <v/>
      </c>
      <c r="M10" s="12"/>
      <c r="N10" s="12"/>
      <c r="O10" s="11" t="str">
        <f t="shared" si="4"/>
        <v/>
      </c>
      <c r="P10" s="10" t="str">
        <f t="shared" si="5"/>
        <v/>
      </c>
    </row>
    <row r="11" spans="1:16" ht="15" customHeight="1" x14ac:dyDescent="0.2">
      <c r="A11" s="8"/>
      <c r="B11" s="8"/>
      <c r="C11" s="8"/>
      <c r="D11" s="9"/>
      <c r="E11" s="9"/>
      <c r="F11" s="8"/>
      <c r="G11" s="10" t="str">
        <f t="shared" si="0"/>
        <v/>
      </c>
      <c r="H11" s="10" t="str">
        <f t="shared" si="1"/>
        <v/>
      </c>
      <c r="I11" s="11" t="str">
        <f>IF(B11="Recreation",IFERROR(INDEX(RecPricing!$E$5:$E$10,MATCH(IF(C11="Mixed","External",IF(C11="Unknown","UoB",C11))&amp;"|"&amp;IF(F11&lt;=24,"&lt;=24",IF(F11&lt;=32,"&lt;=32","Above32")),RecPricing!$F$5:$F$10,0)),""),IFERROR(INDEX(Reference!$E$5:$E$12,MATCH(B11&amp;"|"&amp;IF(C11="Mixed","External",IF(C11="Unknown","UoB",C11))&amp;"|"&amp;IF(F11&lt;=32,"32","40"),Reference!$D$5:$D$12,0)),""))</f>
        <v/>
      </c>
      <c r="J11" s="11" t="str">
        <f t="shared" si="2"/>
        <v/>
      </c>
      <c r="K11" s="12"/>
      <c r="L11" s="11" t="str">
        <f t="shared" si="3"/>
        <v/>
      </c>
      <c r="M11" s="12"/>
      <c r="N11" s="12"/>
      <c r="O11" s="11" t="str">
        <f t="shared" si="4"/>
        <v/>
      </c>
      <c r="P11" s="10" t="str">
        <f t="shared" si="5"/>
        <v/>
      </c>
    </row>
    <row r="12" spans="1:16" ht="15" customHeight="1" x14ac:dyDescent="0.2">
      <c r="A12" s="8"/>
      <c r="B12" s="8"/>
      <c r="C12" s="8"/>
      <c r="D12" s="9"/>
      <c r="E12" s="9"/>
      <c r="F12" s="8"/>
      <c r="G12" s="10" t="str">
        <f t="shared" si="0"/>
        <v/>
      </c>
      <c r="H12" s="10" t="str">
        <f t="shared" si="1"/>
        <v/>
      </c>
      <c r="I12" s="11" t="str">
        <f>IF(B12="Recreation",IFERROR(INDEX(RecPricing!$E$5:$E$10,MATCH(IF(C12="Mixed","External",IF(C12="Unknown","UoB",C12))&amp;"|"&amp;IF(F12&lt;=24,"&lt;=24",IF(F12&lt;=32,"&lt;=32","Above32")),RecPricing!$F$5:$F$10,0)),""),IFERROR(INDEX(Reference!$E$5:$E$12,MATCH(B12&amp;"|"&amp;IF(C12="Mixed","External",IF(C12="Unknown","UoB",C12))&amp;"|"&amp;IF(F12&lt;=32,"32","40"),Reference!$D$5:$D$12,0)),""))</f>
        <v/>
      </c>
      <c r="J12" s="11" t="str">
        <f t="shared" si="2"/>
        <v/>
      </c>
      <c r="K12" s="12"/>
      <c r="L12" s="11" t="str">
        <f t="shared" si="3"/>
        <v/>
      </c>
      <c r="M12" s="12"/>
      <c r="N12" s="12"/>
      <c r="O12" s="11" t="str">
        <f t="shared" si="4"/>
        <v/>
      </c>
      <c r="P12" s="10" t="str">
        <f t="shared" si="5"/>
        <v/>
      </c>
    </row>
    <row r="13" spans="1:16" ht="15" customHeight="1" x14ac:dyDescent="0.2">
      <c r="A13" s="8"/>
      <c r="B13" s="8"/>
      <c r="C13" s="8"/>
      <c r="D13" s="9"/>
      <c r="E13" s="9"/>
      <c r="F13" s="8"/>
      <c r="G13" s="10" t="str">
        <f t="shared" si="0"/>
        <v/>
      </c>
      <c r="H13" s="10" t="str">
        <f t="shared" si="1"/>
        <v/>
      </c>
      <c r="I13" s="11" t="str">
        <f>IF(B13="Recreation",IFERROR(INDEX(RecPricing!$E$5:$E$10,MATCH(IF(C13="Mixed","External",IF(C13="Unknown","UoB",C13))&amp;"|"&amp;IF(F13&lt;=24,"&lt;=24",IF(F13&lt;=32,"&lt;=32","Above32")),RecPricing!$F$5:$F$10,0)),""),IFERROR(INDEX(Reference!$E$5:$E$12,MATCH(B13&amp;"|"&amp;IF(C13="Mixed","External",IF(C13="Unknown","UoB",C13))&amp;"|"&amp;IF(F13&lt;=32,"32","40"),Reference!$D$5:$D$12,0)),""))</f>
        <v/>
      </c>
      <c r="J13" s="11" t="str">
        <f t="shared" si="2"/>
        <v/>
      </c>
      <c r="K13" s="12"/>
      <c r="L13" s="11" t="str">
        <f t="shared" si="3"/>
        <v/>
      </c>
      <c r="M13" s="12"/>
      <c r="N13" s="12"/>
      <c r="O13" s="11" t="str">
        <f t="shared" si="4"/>
        <v/>
      </c>
      <c r="P13" s="10" t="str">
        <f t="shared" si="5"/>
        <v/>
      </c>
    </row>
    <row r="14" spans="1:16" ht="15" customHeight="1" x14ac:dyDescent="0.2">
      <c r="A14" s="8"/>
      <c r="B14" s="8"/>
      <c r="C14" s="8"/>
      <c r="D14" s="9"/>
      <c r="E14" s="9"/>
      <c r="F14" s="8"/>
      <c r="G14" s="10" t="str">
        <f t="shared" si="0"/>
        <v/>
      </c>
      <c r="H14" s="10" t="str">
        <f t="shared" si="1"/>
        <v/>
      </c>
      <c r="I14" s="11" t="str">
        <f>IF(B14="Recreation",IFERROR(INDEX(RecPricing!$E$5:$E$10,MATCH(IF(C14="Mixed","External",IF(C14="Unknown","UoB",C14))&amp;"|"&amp;IF(F14&lt;=24,"&lt;=24",IF(F14&lt;=32,"&lt;=32","Above32")),RecPricing!$F$5:$F$10,0)),""),IFERROR(INDEX(Reference!$E$5:$E$12,MATCH(B14&amp;"|"&amp;IF(C14="Mixed","External",IF(C14="Unknown","UoB",C14))&amp;"|"&amp;IF(F14&lt;=32,"32","40"),Reference!$D$5:$D$12,0)),""))</f>
        <v/>
      </c>
      <c r="J14" s="11" t="str">
        <f t="shared" si="2"/>
        <v/>
      </c>
      <c r="K14" s="12"/>
      <c r="L14" s="11" t="str">
        <f t="shared" si="3"/>
        <v/>
      </c>
      <c r="M14" s="12"/>
      <c r="N14" s="12"/>
      <c r="O14" s="11" t="str">
        <f t="shared" si="4"/>
        <v/>
      </c>
      <c r="P14" s="10" t="str">
        <f t="shared" si="5"/>
        <v/>
      </c>
    </row>
    <row r="15" spans="1:16" ht="15" customHeight="1" x14ac:dyDescent="0.2">
      <c r="A15" s="8"/>
      <c r="B15" s="8"/>
      <c r="C15" s="8"/>
      <c r="D15" s="9"/>
      <c r="E15" s="9"/>
      <c r="F15" s="8"/>
      <c r="G15" s="10" t="str">
        <f t="shared" si="0"/>
        <v/>
      </c>
      <c r="H15" s="10" t="str">
        <f t="shared" si="1"/>
        <v/>
      </c>
      <c r="I15" s="11" t="str">
        <f>IF(B15="Recreation",IFERROR(INDEX(RecPricing!$E$5:$E$10,MATCH(IF(C15="Mixed","External",IF(C15="Unknown","UoB",C15))&amp;"|"&amp;IF(F15&lt;=24,"&lt;=24",IF(F15&lt;=32,"&lt;=32","Above32")),RecPricing!$F$5:$F$10,0)),""),IFERROR(INDEX(Reference!$E$5:$E$12,MATCH(B15&amp;"|"&amp;IF(C15="Mixed","External",IF(C15="Unknown","UoB",C15))&amp;"|"&amp;IF(F15&lt;=32,"32","40"),Reference!$D$5:$D$12,0)),""))</f>
        <v/>
      </c>
      <c r="J15" s="11" t="str">
        <f t="shared" si="2"/>
        <v/>
      </c>
      <c r="K15" s="12"/>
      <c r="L15" s="11" t="str">
        <f t="shared" si="3"/>
        <v/>
      </c>
      <c r="M15" s="12"/>
      <c r="N15" s="12"/>
      <c r="O15" s="11" t="str">
        <f t="shared" si="4"/>
        <v/>
      </c>
      <c r="P15" s="10" t="str">
        <f t="shared" si="5"/>
        <v/>
      </c>
    </row>
    <row r="16" spans="1:16" ht="15" customHeight="1" x14ac:dyDescent="0.2">
      <c r="A16" s="8"/>
      <c r="B16" s="8"/>
      <c r="C16" s="8"/>
      <c r="D16" s="9"/>
      <c r="E16" s="9"/>
      <c r="F16" s="8"/>
      <c r="G16" s="10" t="str">
        <f t="shared" si="0"/>
        <v/>
      </c>
      <c r="H16" s="10" t="str">
        <f t="shared" si="1"/>
        <v/>
      </c>
      <c r="I16" s="11" t="str">
        <f>IF(B16="Recreation",IFERROR(INDEX(RecPricing!$E$5:$E$10,MATCH(IF(C16="Mixed","External",IF(C16="Unknown","UoB",C16))&amp;"|"&amp;IF(F16&lt;=24,"&lt;=24",IF(F16&lt;=32,"&lt;=32","Above32")),RecPricing!$F$5:$F$10,0)),""),IFERROR(INDEX(Reference!$E$5:$E$12,MATCH(B16&amp;"|"&amp;IF(C16="Mixed","External",IF(C16="Unknown","UoB",C16))&amp;"|"&amp;IF(F16&lt;=32,"32","40"),Reference!$D$5:$D$12,0)),""))</f>
        <v/>
      </c>
      <c r="J16" s="11" t="str">
        <f t="shared" si="2"/>
        <v/>
      </c>
      <c r="K16" s="12"/>
      <c r="L16" s="11" t="str">
        <f t="shared" si="3"/>
        <v/>
      </c>
      <c r="M16" s="12"/>
      <c r="N16" s="12"/>
      <c r="O16" s="11" t="str">
        <f t="shared" si="4"/>
        <v/>
      </c>
      <c r="P16" s="10" t="str">
        <f t="shared" si="5"/>
        <v/>
      </c>
    </row>
    <row r="17" spans="1:16" ht="15" customHeight="1" x14ac:dyDescent="0.2">
      <c r="A17" s="8"/>
      <c r="B17" s="8"/>
      <c r="C17" s="8"/>
      <c r="D17" s="9"/>
      <c r="E17" s="9"/>
      <c r="F17" s="8"/>
      <c r="G17" s="10" t="str">
        <f t="shared" si="0"/>
        <v/>
      </c>
      <c r="H17" s="10" t="str">
        <f t="shared" si="1"/>
        <v/>
      </c>
      <c r="I17" s="11" t="str">
        <f>IF(B17="Recreation",IFERROR(INDEX(RecPricing!$E$5:$E$10,MATCH(IF(C17="Mixed","External",IF(C17="Unknown","UoB",C17))&amp;"|"&amp;IF(F17&lt;=24,"&lt;=24",IF(F17&lt;=32,"&lt;=32","Above32")),RecPricing!$F$5:$F$10,0)),""),IFERROR(INDEX(Reference!$E$5:$E$12,MATCH(B17&amp;"|"&amp;IF(C17="Mixed","External",IF(C17="Unknown","UoB",C17))&amp;"|"&amp;IF(F17&lt;=32,"32","40"),Reference!$D$5:$D$12,0)),""))</f>
        <v/>
      </c>
      <c r="J17" s="11" t="str">
        <f t="shared" si="2"/>
        <v/>
      </c>
      <c r="K17" s="12"/>
      <c r="L17" s="11" t="str">
        <f t="shared" si="3"/>
        <v/>
      </c>
      <c r="M17" s="12"/>
      <c r="N17" s="12"/>
      <c r="O17" s="11" t="str">
        <f t="shared" si="4"/>
        <v/>
      </c>
      <c r="P17" s="10" t="str">
        <f t="shared" si="5"/>
        <v/>
      </c>
    </row>
    <row r="18" spans="1:16" ht="15" customHeight="1" x14ac:dyDescent="0.2">
      <c r="A18" s="8"/>
      <c r="B18" s="8"/>
      <c r="C18" s="8"/>
      <c r="D18" s="9"/>
      <c r="E18" s="9"/>
      <c r="F18" s="8"/>
      <c r="G18" s="10" t="str">
        <f t="shared" si="0"/>
        <v/>
      </c>
      <c r="H18" s="10" t="str">
        <f t="shared" si="1"/>
        <v/>
      </c>
      <c r="I18" s="11" t="str">
        <f>IF(B18="Recreation",IFERROR(INDEX(RecPricing!$E$5:$E$10,MATCH(IF(C18="Mixed","External",IF(C18="Unknown","UoB",C18))&amp;"|"&amp;IF(F18&lt;=24,"&lt;=24",IF(F18&lt;=32,"&lt;=32","Above32")),RecPricing!$F$5:$F$10,0)),""),IFERROR(INDEX(Reference!$E$5:$E$12,MATCH(B18&amp;"|"&amp;IF(C18="Mixed","External",IF(C18="Unknown","UoB",C18))&amp;"|"&amp;IF(F18&lt;=32,"32","40"),Reference!$D$5:$D$12,0)),""))</f>
        <v/>
      </c>
      <c r="J18" s="11" t="str">
        <f t="shared" si="2"/>
        <v/>
      </c>
      <c r="K18" s="12"/>
      <c r="L18" s="11" t="str">
        <f t="shared" si="3"/>
        <v/>
      </c>
      <c r="M18" s="12"/>
      <c r="N18" s="12"/>
      <c r="O18" s="11" t="str">
        <f t="shared" si="4"/>
        <v/>
      </c>
      <c r="P18" s="10" t="str">
        <f t="shared" si="5"/>
        <v/>
      </c>
    </row>
    <row r="19" spans="1:16" ht="15" customHeight="1" x14ac:dyDescent="0.2">
      <c r="A19" s="8"/>
      <c r="B19" s="8"/>
      <c r="C19" s="8"/>
      <c r="D19" s="9"/>
      <c r="E19" s="9"/>
      <c r="F19" s="8"/>
      <c r="G19" s="10" t="str">
        <f t="shared" si="0"/>
        <v/>
      </c>
      <c r="H19" s="10" t="str">
        <f t="shared" si="1"/>
        <v/>
      </c>
      <c r="I19" s="11" t="str">
        <f>IF(B19="Recreation",IFERROR(INDEX(RecPricing!$E$5:$E$10,MATCH(IF(C19="Mixed","External",IF(C19="Unknown","UoB",C19))&amp;"|"&amp;IF(F19&lt;=24,"&lt;=24",IF(F19&lt;=32,"&lt;=32","Above32")),RecPricing!$F$5:$F$10,0)),""),IFERROR(INDEX(Reference!$E$5:$E$12,MATCH(B19&amp;"|"&amp;IF(C19="Mixed","External",IF(C19="Unknown","UoB",C19))&amp;"|"&amp;IF(F19&lt;=32,"32","40"),Reference!$D$5:$D$12,0)),""))</f>
        <v/>
      </c>
      <c r="J19" s="11" t="str">
        <f t="shared" si="2"/>
        <v/>
      </c>
      <c r="K19" s="12"/>
      <c r="L19" s="11" t="str">
        <f t="shared" si="3"/>
        <v/>
      </c>
      <c r="M19" s="12"/>
      <c r="N19" s="12"/>
      <c r="O19" s="11" t="str">
        <f t="shared" si="4"/>
        <v/>
      </c>
      <c r="P19" s="10" t="str">
        <f t="shared" si="5"/>
        <v/>
      </c>
    </row>
    <row r="20" spans="1:16" ht="15" customHeight="1" x14ac:dyDescent="0.2">
      <c r="A20" s="8"/>
      <c r="B20" s="8"/>
      <c r="C20" s="8"/>
      <c r="D20" s="9"/>
      <c r="E20" s="9"/>
      <c r="F20" s="8"/>
      <c r="G20" s="10" t="str">
        <f t="shared" si="0"/>
        <v/>
      </c>
      <c r="H20" s="10" t="str">
        <f t="shared" si="1"/>
        <v/>
      </c>
      <c r="I20" s="11" t="str">
        <f>IF(B20="Recreation",IFERROR(INDEX(RecPricing!$E$5:$E$10,MATCH(IF(C20="Mixed","External",IF(C20="Unknown","UoB",C20))&amp;"|"&amp;IF(F20&lt;=24,"&lt;=24",IF(F20&lt;=32,"&lt;=32","Above32")),RecPricing!$F$5:$F$10,0)),""),IFERROR(INDEX(Reference!$E$5:$E$12,MATCH(B20&amp;"|"&amp;IF(C20="Mixed","External",IF(C20="Unknown","UoB",C20))&amp;"|"&amp;IF(F20&lt;=32,"32","40"),Reference!$D$5:$D$12,0)),""))</f>
        <v/>
      </c>
      <c r="J20" s="11" t="str">
        <f t="shared" si="2"/>
        <v/>
      </c>
      <c r="K20" s="12"/>
      <c r="L20" s="11" t="str">
        <f t="shared" si="3"/>
        <v/>
      </c>
      <c r="M20" s="12"/>
      <c r="N20" s="12"/>
      <c r="O20" s="11" t="str">
        <f t="shared" si="4"/>
        <v/>
      </c>
      <c r="P20" s="10" t="str">
        <f t="shared" si="5"/>
        <v/>
      </c>
    </row>
    <row r="21" spans="1:16" ht="15" customHeight="1" x14ac:dyDescent="0.2">
      <c r="A21" s="8"/>
      <c r="B21" s="8"/>
      <c r="C21" s="8"/>
      <c r="D21" s="9"/>
      <c r="E21" s="9"/>
      <c r="F21" s="8"/>
      <c r="G21" s="10" t="str">
        <f t="shared" si="0"/>
        <v/>
      </c>
      <c r="H21" s="10" t="str">
        <f t="shared" si="1"/>
        <v/>
      </c>
      <c r="I21" s="11" t="str">
        <f>IF(B21="Recreation",IFERROR(INDEX(RecPricing!$E$5:$E$10,MATCH(IF(C21="Mixed","External",IF(C21="Unknown","UoB",C21))&amp;"|"&amp;IF(F21&lt;=24,"&lt;=24",IF(F21&lt;=32,"&lt;=32","Above32")),RecPricing!$F$5:$F$10,0)),""),IFERROR(INDEX(Reference!$E$5:$E$12,MATCH(B21&amp;"|"&amp;IF(C21="Mixed","External",IF(C21="Unknown","UoB",C21))&amp;"|"&amp;IF(F21&lt;=32,"32","40"),Reference!$D$5:$D$12,0)),""))</f>
        <v/>
      </c>
      <c r="J21" s="11" t="str">
        <f t="shared" si="2"/>
        <v/>
      </c>
      <c r="K21" s="12"/>
      <c r="L21" s="11" t="str">
        <f t="shared" si="3"/>
        <v/>
      </c>
      <c r="M21" s="12"/>
      <c r="N21" s="12"/>
      <c r="O21" s="11" t="str">
        <f t="shared" si="4"/>
        <v/>
      </c>
      <c r="P21" s="10" t="str">
        <f t="shared" si="5"/>
        <v/>
      </c>
    </row>
    <row r="22" spans="1:16" ht="15" customHeight="1" x14ac:dyDescent="0.2">
      <c r="A22" s="8"/>
      <c r="B22" s="8"/>
      <c r="C22" s="8"/>
      <c r="D22" s="9"/>
      <c r="E22" s="9"/>
      <c r="F22" s="8"/>
      <c r="G22" s="10" t="str">
        <f t="shared" si="0"/>
        <v/>
      </c>
      <c r="H22" s="10" t="str">
        <f t="shared" si="1"/>
        <v/>
      </c>
      <c r="I22" s="11" t="str">
        <f>IF(B22="Recreation",IFERROR(INDEX(RecPricing!$E$5:$E$10,MATCH(IF(C22="Mixed","External",IF(C22="Unknown","UoB",C22))&amp;"|"&amp;IF(F22&lt;=24,"&lt;=24",IF(F22&lt;=32,"&lt;=32","Above32")),RecPricing!$F$5:$F$10,0)),""),IFERROR(INDEX(Reference!$E$5:$E$12,MATCH(B22&amp;"|"&amp;IF(C22="Mixed","External",IF(C22="Unknown","UoB",C22))&amp;"|"&amp;IF(F22&lt;=32,"32","40"),Reference!$D$5:$D$12,0)),""))</f>
        <v/>
      </c>
      <c r="J22" s="11" t="str">
        <f t="shared" si="2"/>
        <v/>
      </c>
      <c r="K22" s="12"/>
      <c r="L22" s="11" t="str">
        <f t="shared" si="3"/>
        <v/>
      </c>
      <c r="M22" s="12"/>
      <c r="N22" s="12"/>
      <c r="O22" s="11" t="str">
        <f t="shared" si="4"/>
        <v/>
      </c>
      <c r="P22" s="10" t="str">
        <f t="shared" si="5"/>
        <v/>
      </c>
    </row>
    <row r="23" spans="1:16" ht="15" customHeight="1" x14ac:dyDescent="0.2">
      <c r="A23" s="8"/>
      <c r="B23" s="8"/>
      <c r="C23" s="8"/>
      <c r="D23" s="9"/>
      <c r="E23" s="9"/>
      <c r="F23" s="8"/>
      <c r="G23" s="10" t="str">
        <f t="shared" si="0"/>
        <v/>
      </c>
      <c r="H23" s="10" t="str">
        <f t="shared" si="1"/>
        <v/>
      </c>
      <c r="I23" s="11" t="str">
        <f>IF(B23="Recreation",IFERROR(INDEX(RecPricing!$E$5:$E$10,MATCH(IF(C23="Mixed","External",IF(C23="Unknown","UoB",C23))&amp;"|"&amp;IF(F23&lt;=24,"&lt;=24",IF(F23&lt;=32,"&lt;=32","Above32")),RecPricing!$F$5:$F$10,0)),""),IFERROR(INDEX(Reference!$E$5:$E$12,MATCH(B23&amp;"|"&amp;IF(C23="Mixed","External",IF(C23="Unknown","UoB",C23))&amp;"|"&amp;IF(F23&lt;=32,"32","40"),Reference!$D$5:$D$12,0)),""))</f>
        <v/>
      </c>
      <c r="J23" s="11" t="str">
        <f t="shared" si="2"/>
        <v/>
      </c>
      <c r="K23" s="12"/>
      <c r="L23" s="11" t="str">
        <f t="shared" si="3"/>
        <v/>
      </c>
      <c r="M23" s="12"/>
      <c r="N23" s="12"/>
      <c r="O23" s="11" t="str">
        <f t="shared" si="4"/>
        <v/>
      </c>
      <c r="P23" s="10" t="str">
        <f t="shared" si="5"/>
        <v/>
      </c>
    </row>
    <row r="24" spans="1:16" ht="15" customHeight="1" x14ac:dyDescent="0.2">
      <c r="A24" s="8"/>
      <c r="B24" s="8"/>
      <c r="C24" s="8"/>
      <c r="D24" s="9"/>
      <c r="E24" s="9"/>
      <c r="F24" s="8"/>
      <c r="G24" s="10" t="str">
        <f t="shared" si="0"/>
        <v/>
      </c>
      <c r="H24" s="10" t="str">
        <f t="shared" si="1"/>
        <v/>
      </c>
      <c r="I24" s="11" t="str">
        <f>IF(B24="Recreation",IFERROR(INDEX(RecPricing!$E$5:$E$10,MATCH(IF(C24="Mixed","External",IF(C24="Unknown","UoB",C24))&amp;"|"&amp;IF(F24&lt;=24,"&lt;=24",IF(F24&lt;=32,"&lt;=32","Above32")),RecPricing!$F$5:$F$10,0)),""),IFERROR(INDEX(Reference!$E$5:$E$12,MATCH(B24&amp;"|"&amp;IF(C24="Mixed","External",IF(C24="Unknown","UoB",C24))&amp;"|"&amp;IF(F24&lt;=32,"32","40"),Reference!$D$5:$D$12,0)),""))</f>
        <v/>
      </c>
      <c r="J24" s="11" t="str">
        <f t="shared" si="2"/>
        <v/>
      </c>
      <c r="K24" s="12"/>
      <c r="L24" s="11" t="str">
        <f t="shared" si="3"/>
        <v/>
      </c>
      <c r="M24" s="12"/>
      <c r="N24" s="12"/>
      <c r="O24" s="11" t="str">
        <f t="shared" si="4"/>
        <v/>
      </c>
      <c r="P24" s="10" t="str">
        <f t="shared" si="5"/>
        <v/>
      </c>
    </row>
    <row r="25" spans="1:16" ht="15" customHeight="1" x14ac:dyDescent="0.2">
      <c r="A25" s="8"/>
      <c r="B25" s="8"/>
      <c r="C25" s="8"/>
      <c r="D25" s="9"/>
      <c r="E25" s="9"/>
      <c r="F25" s="8"/>
      <c r="G25" s="10" t="str">
        <f t="shared" si="0"/>
        <v/>
      </c>
      <c r="H25" s="10" t="str">
        <f t="shared" si="1"/>
        <v/>
      </c>
      <c r="I25" s="11" t="str">
        <f>IF(B25="Recreation",IFERROR(INDEX(RecPricing!$E$5:$E$10,MATCH(IF(C25="Mixed","External",IF(C25="Unknown","UoB",C25))&amp;"|"&amp;IF(F25&lt;=24,"&lt;=24",IF(F25&lt;=32,"&lt;=32","Above32")),RecPricing!$F$5:$F$10,0)),""),IFERROR(INDEX(Reference!$E$5:$E$12,MATCH(B25&amp;"|"&amp;IF(C25="Mixed","External",IF(C25="Unknown","UoB",C25))&amp;"|"&amp;IF(F25&lt;=32,"32","40"),Reference!$D$5:$D$12,0)),""))</f>
        <v/>
      </c>
      <c r="J25" s="11" t="str">
        <f t="shared" si="2"/>
        <v/>
      </c>
      <c r="K25" s="12"/>
      <c r="L25" s="11" t="str">
        <f t="shared" si="3"/>
        <v/>
      </c>
      <c r="M25" s="12"/>
      <c r="N25" s="12"/>
      <c r="O25" s="11" t="str">
        <f t="shared" si="4"/>
        <v/>
      </c>
      <c r="P25" s="10" t="str">
        <f t="shared" si="5"/>
        <v/>
      </c>
    </row>
    <row r="26" spans="1:16" ht="15" customHeight="1" x14ac:dyDescent="0.2">
      <c r="A26" s="8"/>
      <c r="B26" s="8"/>
      <c r="C26" s="8"/>
      <c r="D26" s="9"/>
      <c r="E26" s="9"/>
      <c r="F26" s="8"/>
      <c r="G26" s="10" t="str">
        <f t="shared" si="0"/>
        <v/>
      </c>
      <c r="H26" s="10" t="str">
        <f t="shared" si="1"/>
        <v/>
      </c>
      <c r="I26" s="11" t="str">
        <f>IF(B26="Recreation",IFERROR(INDEX(RecPricing!$E$5:$E$10,MATCH(IF(C26="Mixed","External",IF(C26="Unknown","UoB",C26))&amp;"|"&amp;IF(F26&lt;=24,"&lt;=24",IF(F26&lt;=32,"&lt;=32","Above32")),RecPricing!$F$5:$F$10,0)),""),IFERROR(INDEX(Reference!$E$5:$E$12,MATCH(B26&amp;"|"&amp;IF(C26="Mixed","External",IF(C26="Unknown","UoB",C26))&amp;"|"&amp;IF(F26&lt;=32,"32","40"),Reference!$D$5:$D$12,0)),""))</f>
        <v/>
      </c>
      <c r="J26" s="11" t="str">
        <f t="shared" si="2"/>
        <v/>
      </c>
      <c r="K26" s="12"/>
      <c r="L26" s="11" t="str">
        <f t="shared" si="3"/>
        <v/>
      </c>
      <c r="M26" s="12"/>
      <c r="N26" s="12"/>
      <c r="O26" s="11" t="str">
        <f t="shared" si="4"/>
        <v/>
      </c>
      <c r="P26" s="10" t="str">
        <f t="shared" si="5"/>
        <v/>
      </c>
    </row>
    <row r="27" spans="1:16" ht="15" customHeight="1" x14ac:dyDescent="0.2">
      <c r="A27" s="8"/>
      <c r="B27" s="8"/>
      <c r="C27" s="8"/>
      <c r="D27" s="9"/>
      <c r="E27" s="9"/>
      <c r="F27" s="8"/>
      <c r="G27" s="10" t="str">
        <f t="shared" si="0"/>
        <v/>
      </c>
      <c r="H27" s="10" t="str">
        <f t="shared" si="1"/>
        <v/>
      </c>
      <c r="I27" s="11" t="str">
        <f>IF(B27="Recreation",IFERROR(INDEX(RecPricing!$E$5:$E$10,MATCH(IF(C27="Mixed","External",IF(C27="Unknown","UoB",C27))&amp;"|"&amp;IF(F27&lt;=24,"&lt;=24",IF(F27&lt;=32,"&lt;=32","Above32")),RecPricing!$F$5:$F$10,0)),""),IFERROR(INDEX(Reference!$E$5:$E$12,MATCH(B27&amp;"|"&amp;IF(C27="Mixed","External",IF(C27="Unknown","UoB",C27))&amp;"|"&amp;IF(F27&lt;=32,"32","40"),Reference!$D$5:$D$12,0)),""))</f>
        <v/>
      </c>
      <c r="J27" s="11" t="str">
        <f t="shared" si="2"/>
        <v/>
      </c>
      <c r="K27" s="12"/>
      <c r="L27" s="11" t="str">
        <f t="shared" si="3"/>
        <v/>
      </c>
      <c r="M27" s="12"/>
      <c r="N27" s="12"/>
      <c r="O27" s="11" t="str">
        <f t="shared" si="4"/>
        <v/>
      </c>
      <c r="P27" s="10" t="str">
        <f t="shared" si="5"/>
        <v/>
      </c>
    </row>
    <row r="28" spans="1:16" ht="15" customHeight="1" x14ac:dyDescent="0.2">
      <c r="A28" s="8"/>
      <c r="B28" s="8"/>
      <c r="C28" s="8"/>
      <c r="D28" s="9"/>
      <c r="E28" s="9"/>
      <c r="F28" s="8"/>
      <c r="G28" s="10" t="str">
        <f t="shared" si="0"/>
        <v/>
      </c>
      <c r="H28" s="10" t="str">
        <f t="shared" si="1"/>
        <v/>
      </c>
      <c r="I28" s="11" t="str">
        <f>IF(B28="Recreation",IFERROR(INDEX(RecPricing!$E$5:$E$10,MATCH(IF(C28="Mixed","External",IF(C28="Unknown","UoB",C28))&amp;"|"&amp;IF(F28&lt;=24,"&lt;=24",IF(F28&lt;=32,"&lt;=32","Above32")),RecPricing!$F$5:$F$10,0)),""),IFERROR(INDEX(Reference!$E$5:$E$12,MATCH(B28&amp;"|"&amp;IF(C28="Mixed","External",IF(C28="Unknown","UoB",C28))&amp;"|"&amp;IF(F28&lt;=32,"32","40"),Reference!$D$5:$D$12,0)),""))</f>
        <v/>
      </c>
      <c r="J28" s="11" t="str">
        <f t="shared" si="2"/>
        <v/>
      </c>
      <c r="K28" s="12"/>
      <c r="L28" s="11" t="str">
        <f t="shared" si="3"/>
        <v/>
      </c>
      <c r="M28" s="12"/>
      <c r="N28" s="12"/>
      <c r="O28" s="11" t="str">
        <f t="shared" si="4"/>
        <v/>
      </c>
      <c r="P28" s="10" t="str">
        <f t="shared" si="5"/>
        <v/>
      </c>
    </row>
    <row r="29" spans="1:16" ht="15" customHeight="1" x14ac:dyDescent="0.2">
      <c r="A29" s="8"/>
      <c r="B29" s="8"/>
      <c r="C29" s="8"/>
      <c r="D29" s="9"/>
      <c r="E29" s="9"/>
      <c r="F29" s="8"/>
      <c r="G29" s="10" t="str">
        <f t="shared" si="0"/>
        <v/>
      </c>
      <c r="H29" s="10" t="str">
        <f t="shared" si="1"/>
        <v/>
      </c>
      <c r="I29" s="11" t="str">
        <f>IF(B29="Recreation",IFERROR(INDEX(RecPricing!$E$5:$E$10,MATCH(IF(C29="Mixed","External",IF(C29="Unknown","UoB",C29))&amp;"|"&amp;IF(F29&lt;=24,"&lt;=24",IF(F29&lt;=32,"&lt;=32","Above32")),RecPricing!$F$5:$F$10,0)),""),IFERROR(INDEX(Reference!$E$5:$E$12,MATCH(B29&amp;"|"&amp;IF(C29="Mixed","External",IF(C29="Unknown","UoB",C29))&amp;"|"&amp;IF(F29&lt;=32,"32","40"),Reference!$D$5:$D$12,0)),""))</f>
        <v/>
      </c>
      <c r="J29" s="11" t="str">
        <f t="shared" si="2"/>
        <v/>
      </c>
      <c r="K29" s="12"/>
      <c r="L29" s="11" t="str">
        <f t="shared" si="3"/>
        <v/>
      </c>
      <c r="M29" s="12"/>
      <c r="N29" s="12"/>
      <c r="O29" s="11" t="str">
        <f t="shared" si="4"/>
        <v/>
      </c>
      <c r="P29" s="10" t="str">
        <f t="shared" si="5"/>
        <v/>
      </c>
    </row>
    <row r="30" spans="1:16" ht="15" customHeight="1" x14ac:dyDescent="0.2">
      <c r="A30" s="8"/>
      <c r="B30" s="8"/>
      <c r="C30" s="8"/>
      <c r="D30" s="9"/>
      <c r="E30" s="9"/>
      <c r="F30" s="8"/>
      <c r="G30" s="10" t="str">
        <f t="shared" si="0"/>
        <v/>
      </c>
      <c r="H30" s="10" t="str">
        <f t="shared" si="1"/>
        <v/>
      </c>
      <c r="I30" s="11" t="str">
        <f>IF(B30="Recreation",IFERROR(INDEX(RecPricing!$E$5:$E$10,MATCH(IF(C30="Mixed","External",IF(C30="Unknown","UoB",C30))&amp;"|"&amp;IF(F30&lt;=24,"&lt;=24",IF(F30&lt;=32,"&lt;=32","Above32")),RecPricing!$F$5:$F$10,0)),""),IFERROR(INDEX(Reference!$E$5:$E$12,MATCH(B30&amp;"|"&amp;IF(C30="Mixed","External",IF(C30="Unknown","UoB",C30))&amp;"|"&amp;IF(F30&lt;=32,"32","40"),Reference!$D$5:$D$12,0)),""))</f>
        <v/>
      </c>
      <c r="J30" s="11" t="str">
        <f t="shared" si="2"/>
        <v/>
      </c>
      <c r="K30" s="12"/>
      <c r="L30" s="11" t="str">
        <f t="shared" si="3"/>
        <v/>
      </c>
      <c r="M30" s="12"/>
      <c r="N30" s="12"/>
      <c r="O30" s="11" t="str">
        <f t="shared" si="4"/>
        <v/>
      </c>
      <c r="P30" s="10" t="str">
        <f t="shared" si="5"/>
        <v/>
      </c>
    </row>
    <row r="31" spans="1:16" ht="15" customHeight="1" x14ac:dyDescent="0.2">
      <c r="A31" s="8"/>
      <c r="B31" s="8"/>
      <c r="C31" s="8"/>
      <c r="D31" s="9"/>
      <c r="E31" s="9"/>
      <c r="F31" s="8"/>
      <c r="G31" s="10" t="str">
        <f t="shared" si="0"/>
        <v/>
      </c>
      <c r="H31" s="10" t="str">
        <f t="shared" si="1"/>
        <v/>
      </c>
      <c r="I31" s="11" t="str">
        <f>IF(B31="Recreation",IFERROR(INDEX(RecPricing!$E$5:$E$10,MATCH(IF(C31="Mixed","External",IF(C31="Unknown","UoB",C31))&amp;"|"&amp;IF(F31&lt;=24,"&lt;=24",IF(F31&lt;=32,"&lt;=32","Above32")),RecPricing!$F$5:$F$10,0)),""),IFERROR(INDEX(Reference!$E$5:$E$12,MATCH(B31&amp;"|"&amp;IF(C31="Mixed","External",IF(C31="Unknown","UoB",C31))&amp;"|"&amp;IF(F31&lt;=32,"32","40"),Reference!$D$5:$D$12,0)),""))</f>
        <v/>
      </c>
      <c r="J31" s="11" t="str">
        <f t="shared" si="2"/>
        <v/>
      </c>
      <c r="K31" s="12"/>
      <c r="L31" s="11" t="str">
        <f t="shared" si="3"/>
        <v/>
      </c>
      <c r="M31" s="12"/>
      <c r="N31" s="12"/>
      <c r="O31" s="11" t="str">
        <f t="shared" si="4"/>
        <v/>
      </c>
      <c r="P31" s="10" t="str">
        <f t="shared" si="5"/>
        <v/>
      </c>
    </row>
    <row r="32" spans="1:16" ht="15" customHeight="1" x14ac:dyDescent="0.2">
      <c r="A32" s="8"/>
      <c r="B32" s="8"/>
      <c r="C32" s="8"/>
      <c r="D32" s="9"/>
      <c r="E32" s="9"/>
      <c r="F32" s="8"/>
      <c r="G32" s="10" t="str">
        <f t="shared" si="0"/>
        <v/>
      </c>
      <c r="H32" s="10" t="str">
        <f t="shared" si="1"/>
        <v/>
      </c>
      <c r="I32" s="11" t="str">
        <f>IF(B32="Recreation",IFERROR(INDEX(RecPricing!$E$5:$E$10,MATCH(IF(C32="Mixed","External",IF(C32="Unknown","UoB",C32))&amp;"|"&amp;IF(F32&lt;=24,"&lt;=24",IF(F32&lt;=32,"&lt;=32","Above32")),RecPricing!$F$5:$F$10,0)),""),IFERROR(INDEX(Reference!$E$5:$E$12,MATCH(B32&amp;"|"&amp;IF(C32="Mixed","External",IF(C32="Unknown","UoB",C32))&amp;"|"&amp;IF(F32&lt;=32,"32","40"),Reference!$D$5:$D$12,0)),""))</f>
        <v/>
      </c>
      <c r="J32" s="11" t="str">
        <f t="shared" si="2"/>
        <v/>
      </c>
      <c r="K32" s="12"/>
      <c r="L32" s="11" t="str">
        <f t="shared" si="3"/>
        <v/>
      </c>
      <c r="M32" s="12"/>
      <c r="N32" s="12"/>
      <c r="O32" s="11" t="str">
        <f t="shared" si="4"/>
        <v/>
      </c>
      <c r="P32" s="10" t="str">
        <f t="shared" si="5"/>
        <v/>
      </c>
    </row>
    <row r="33" spans="1:16" ht="15" customHeight="1" x14ac:dyDescent="0.2">
      <c r="A33" s="8"/>
      <c r="B33" s="8"/>
      <c r="C33" s="8"/>
      <c r="D33" s="9"/>
      <c r="E33" s="9"/>
      <c r="F33" s="8"/>
      <c r="G33" s="10" t="str">
        <f t="shared" si="0"/>
        <v/>
      </c>
      <c r="H33" s="10" t="str">
        <f t="shared" si="1"/>
        <v/>
      </c>
      <c r="I33" s="11" t="str">
        <f>IF(B33="Recreation",IFERROR(INDEX(RecPricing!$E$5:$E$10,MATCH(IF(C33="Mixed","External",IF(C33="Unknown","UoB",C33))&amp;"|"&amp;IF(F33&lt;=24,"&lt;=24",IF(F33&lt;=32,"&lt;=32","Above32")),RecPricing!$F$5:$F$10,0)),""),IFERROR(INDEX(Reference!$E$5:$E$12,MATCH(B33&amp;"|"&amp;IF(C33="Mixed","External",IF(C33="Unknown","UoB",C33))&amp;"|"&amp;IF(F33&lt;=32,"32","40"),Reference!$D$5:$D$12,0)),""))</f>
        <v/>
      </c>
      <c r="J33" s="11" t="str">
        <f t="shared" si="2"/>
        <v/>
      </c>
      <c r="K33" s="12"/>
      <c r="L33" s="11" t="str">
        <f t="shared" si="3"/>
        <v/>
      </c>
      <c r="M33" s="12"/>
      <c r="N33" s="12"/>
      <c r="O33" s="11" t="str">
        <f t="shared" si="4"/>
        <v/>
      </c>
      <c r="P33" s="10" t="str">
        <f t="shared" si="5"/>
        <v/>
      </c>
    </row>
    <row r="34" spans="1:16" ht="15" customHeight="1" x14ac:dyDescent="0.2">
      <c r="A34" s="8"/>
      <c r="B34" s="8"/>
      <c r="C34" s="8"/>
      <c r="D34" s="9"/>
      <c r="E34" s="9"/>
      <c r="F34" s="8"/>
      <c r="G34" s="10" t="str">
        <f t="shared" si="0"/>
        <v/>
      </c>
      <c r="H34" s="10" t="str">
        <f t="shared" si="1"/>
        <v/>
      </c>
      <c r="I34" s="11" t="str">
        <f>IF(B34="Recreation",IFERROR(INDEX(RecPricing!$E$5:$E$10,MATCH(IF(C34="Mixed","External",IF(C34="Unknown","UoB",C34))&amp;"|"&amp;IF(F34&lt;=24,"&lt;=24",IF(F34&lt;=32,"&lt;=32","Above32")),RecPricing!$F$5:$F$10,0)),""),IFERROR(INDEX(Reference!$E$5:$E$12,MATCH(B34&amp;"|"&amp;IF(C34="Mixed","External",IF(C34="Unknown","UoB",C34))&amp;"|"&amp;IF(F34&lt;=32,"32","40"),Reference!$D$5:$D$12,0)),""))</f>
        <v/>
      </c>
      <c r="J34" s="11" t="str">
        <f t="shared" si="2"/>
        <v/>
      </c>
      <c r="K34" s="12"/>
      <c r="L34" s="11" t="str">
        <f t="shared" si="3"/>
        <v/>
      </c>
      <c r="M34" s="12"/>
      <c r="N34" s="12"/>
      <c r="O34" s="11" t="str">
        <f t="shared" si="4"/>
        <v/>
      </c>
      <c r="P34" s="10" t="str">
        <f t="shared" si="5"/>
        <v/>
      </c>
    </row>
    <row r="35" spans="1:16" ht="15" customHeight="1" x14ac:dyDescent="0.2">
      <c r="A35" s="8"/>
      <c r="B35" s="8"/>
      <c r="C35" s="8"/>
      <c r="D35" s="9"/>
      <c r="E35" s="9"/>
      <c r="F35" s="8"/>
      <c r="G35" s="10" t="str">
        <f t="shared" si="0"/>
        <v/>
      </c>
      <c r="H35" s="10" t="str">
        <f t="shared" si="1"/>
        <v/>
      </c>
      <c r="I35" s="11" t="str">
        <f>IF(B35="Recreation",IFERROR(INDEX(RecPricing!$E$5:$E$10,MATCH(IF(C35="Mixed","External",IF(C35="Unknown","UoB",C35))&amp;"|"&amp;IF(F35&lt;=24,"&lt;=24",IF(F35&lt;=32,"&lt;=32","Above32")),RecPricing!$F$5:$F$10,0)),""),IFERROR(INDEX(Reference!$E$5:$E$12,MATCH(B35&amp;"|"&amp;IF(C35="Mixed","External",IF(C35="Unknown","UoB",C35))&amp;"|"&amp;IF(F35&lt;=32,"32","40"),Reference!$D$5:$D$12,0)),""))</f>
        <v/>
      </c>
      <c r="J35" s="11" t="str">
        <f t="shared" si="2"/>
        <v/>
      </c>
      <c r="K35" s="12"/>
      <c r="L35" s="11" t="str">
        <f t="shared" si="3"/>
        <v/>
      </c>
      <c r="M35" s="12"/>
      <c r="N35" s="12"/>
      <c r="O35" s="11" t="str">
        <f t="shared" si="4"/>
        <v/>
      </c>
      <c r="P35" s="10" t="str">
        <f t="shared" si="5"/>
        <v/>
      </c>
    </row>
    <row r="36" spans="1:16" ht="15" customHeight="1" x14ac:dyDescent="0.2">
      <c r="A36" s="8"/>
      <c r="B36" s="8"/>
      <c r="C36" s="8"/>
      <c r="D36" s="9"/>
      <c r="E36" s="9"/>
      <c r="F36" s="8"/>
      <c r="G36" s="10" t="str">
        <f t="shared" si="0"/>
        <v/>
      </c>
      <c r="H36" s="10" t="str">
        <f t="shared" si="1"/>
        <v/>
      </c>
      <c r="I36" s="11" t="str">
        <f>IF(B36="Recreation",IFERROR(INDEX(RecPricing!$E$5:$E$10,MATCH(IF(C36="Mixed","External",IF(C36="Unknown","UoB",C36))&amp;"|"&amp;IF(F36&lt;=24,"&lt;=24",IF(F36&lt;=32,"&lt;=32","Above32")),RecPricing!$F$5:$F$10,0)),""),IFERROR(INDEX(Reference!$E$5:$E$12,MATCH(B36&amp;"|"&amp;IF(C36="Mixed","External",IF(C36="Unknown","UoB",C36))&amp;"|"&amp;IF(F36&lt;=32,"32","40"),Reference!$D$5:$D$12,0)),""))</f>
        <v/>
      </c>
      <c r="J36" s="11" t="str">
        <f t="shared" si="2"/>
        <v/>
      </c>
      <c r="K36" s="12"/>
      <c r="L36" s="11" t="str">
        <f t="shared" si="3"/>
        <v/>
      </c>
      <c r="M36" s="12"/>
      <c r="N36" s="12"/>
      <c r="O36" s="11" t="str">
        <f t="shared" si="4"/>
        <v/>
      </c>
      <c r="P36" s="10" t="str">
        <f t="shared" si="5"/>
        <v/>
      </c>
    </row>
    <row r="37" spans="1:16" ht="15" customHeight="1" x14ac:dyDescent="0.2">
      <c r="A37" s="8"/>
      <c r="B37" s="8"/>
      <c r="C37" s="8"/>
      <c r="D37" s="9"/>
      <c r="E37" s="9"/>
      <c r="F37" s="8"/>
      <c r="G37" s="10" t="str">
        <f t="shared" si="0"/>
        <v/>
      </c>
      <c r="H37" s="10" t="str">
        <f t="shared" si="1"/>
        <v/>
      </c>
      <c r="I37" s="11" t="str">
        <f>IF(B37="Recreation",IFERROR(INDEX(RecPricing!$E$5:$E$10,MATCH(IF(C37="Mixed","External",IF(C37="Unknown","UoB",C37))&amp;"|"&amp;IF(F37&lt;=24,"&lt;=24",IF(F37&lt;=32,"&lt;=32","Above32")),RecPricing!$F$5:$F$10,0)),""),IFERROR(INDEX(Reference!$E$5:$E$12,MATCH(B37&amp;"|"&amp;IF(C37="Mixed","External",IF(C37="Unknown","UoB",C37))&amp;"|"&amp;IF(F37&lt;=32,"32","40"),Reference!$D$5:$D$12,0)),""))</f>
        <v/>
      </c>
      <c r="J37" s="11" t="str">
        <f t="shared" si="2"/>
        <v/>
      </c>
      <c r="K37" s="12"/>
      <c r="L37" s="11" t="str">
        <f t="shared" si="3"/>
        <v/>
      </c>
      <c r="M37" s="12"/>
      <c r="N37" s="12"/>
      <c r="O37" s="11" t="str">
        <f t="shared" si="4"/>
        <v/>
      </c>
      <c r="P37" s="10" t="str">
        <f t="shared" si="5"/>
        <v/>
      </c>
    </row>
    <row r="38" spans="1:16" ht="15" customHeight="1" x14ac:dyDescent="0.2">
      <c r="A38" s="8"/>
      <c r="B38" s="8"/>
      <c r="C38" s="8"/>
      <c r="D38" s="9"/>
      <c r="E38" s="9"/>
      <c r="F38" s="8"/>
      <c r="G38" s="10" t="str">
        <f t="shared" si="0"/>
        <v/>
      </c>
      <c r="H38" s="10" t="str">
        <f t="shared" si="1"/>
        <v/>
      </c>
      <c r="I38" s="11" t="str">
        <f>IF(B38="Recreation",IFERROR(INDEX(RecPricing!$E$5:$E$10,MATCH(IF(C38="Mixed","External",IF(C38="Unknown","UoB",C38))&amp;"|"&amp;IF(F38&lt;=24,"&lt;=24",IF(F38&lt;=32,"&lt;=32","Above32")),RecPricing!$F$5:$F$10,0)),""),IFERROR(INDEX(Reference!$E$5:$E$12,MATCH(B38&amp;"|"&amp;IF(C38="Mixed","External",IF(C38="Unknown","UoB",C38))&amp;"|"&amp;IF(F38&lt;=32,"32","40"),Reference!$D$5:$D$12,0)),""))</f>
        <v/>
      </c>
      <c r="J38" s="11" t="str">
        <f t="shared" si="2"/>
        <v/>
      </c>
      <c r="K38" s="12"/>
      <c r="L38" s="11" t="str">
        <f t="shared" si="3"/>
        <v/>
      </c>
      <c r="M38" s="12"/>
      <c r="N38" s="12"/>
      <c r="O38" s="11" t="str">
        <f t="shared" si="4"/>
        <v/>
      </c>
      <c r="P38" s="10" t="str">
        <f t="shared" si="5"/>
        <v/>
      </c>
    </row>
    <row r="39" spans="1:16" ht="15" customHeight="1" x14ac:dyDescent="0.2">
      <c r="A39" s="8"/>
      <c r="B39" s="8"/>
      <c r="C39" s="8"/>
      <c r="D39" s="9"/>
      <c r="E39" s="9"/>
      <c r="F39" s="8"/>
      <c r="G39" s="10" t="str">
        <f t="shared" si="0"/>
        <v/>
      </c>
      <c r="H39" s="10" t="str">
        <f t="shared" si="1"/>
        <v/>
      </c>
      <c r="I39" s="11" t="str">
        <f>IF(B39="Recreation",IFERROR(INDEX(RecPricing!$E$5:$E$10,MATCH(IF(C39="Mixed","External",IF(C39="Unknown","UoB",C39))&amp;"|"&amp;IF(F39&lt;=24,"&lt;=24",IF(F39&lt;=32,"&lt;=32","Above32")),RecPricing!$F$5:$F$10,0)),""),IFERROR(INDEX(Reference!$E$5:$E$12,MATCH(B39&amp;"|"&amp;IF(C39="Mixed","External",IF(C39="Unknown","UoB",C39))&amp;"|"&amp;IF(F39&lt;=32,"32","40"),Reference!$D$5:$D$12,0)),""))</f>
        <v/>
      </c>
      <c r="J39" s="11" t="str">
        <f t="shared" si="2"/>
        <v/>
      </c>
      <c r="K39" s="12"/>
      <c r="L39" s="11" t="str">
        <f t="shared" si="3"/>
        <v/>
      </c>
      <c r="M39" s="12"/>
      <c r="N39" s="12"/>
      <c r="O39" s="11" t="str">
        <f t="shared" si="4"/>
        <v/>
      </c>
      <c r="P39" s="10" t="str">
        <f t="shared" si="5"/>
        <v/>
      </c>
    </row>
    <row r="40" spans="1:16" ht="15" customHeight="1" x14ac:dyDescent="0.2">
      <c r="A40" s="8"/>
      <c r="B40" s="8"/>
      <c r="C40" s="8"/>
      <c r="D40" s="9"/>
      <c r="E40" s="9"/>
      <c r="F40" s="8"/>
      <c r="G40" s="10" t="str">
        <f t="shared" si="0"/>
        <v/>
      </c>
      <c r="H40" s="10" t="str">
        <f t="shared" si="1"/>
        <v/>
      </c>
      <c r="I40" s="11" t="str">
        <f>IF(B40="Recreation",IFERROR(INDEX(RecPricing!$E$5:$E$10,MATCH(IF(C40="Mixed","External",IF(C40="Unknown","UoB",C40))&amp;"|"&amp;IF(F40&lt;=24,"&lt;=24",IF(F40&lt;=32,"&lt;=32","Above32")),RecPricing!$F$5:$F$10,0)),""),IFERROR(INDEX(Reference!$E$5:$E$12,MATCH(B40&amp;"|"&amp;IF(C40="Mixed","External",IF(C40="Unknown","UoB",C40))&amp;"|"&amp;IF(F40&lt;=32,"32","40"),Reference!$D$5:$D$12,0)),""))</f>
        <v/>
      </c>
      <c r="J40" s="11" t="str">
        <f t="shared" si="2"/>
        <v/>
      </c>
      <c r="K40" s="12"/>
      <c r="L40" s="11" t="str">
        <f t="shared" si="3"/>
        <v/>
      </c>
      <c r="M40" s="12"/>
      <c r="N40" s="12"/>
      <c r="O40" s="11" t="str">
        <f t="shared" si="4"/>
        <v/>
      </c>
      <c r="P40" s="10" t="str">
        <f t="shared" si="5"/>
        <v/>
      </c>
    </row>
    <row r="41" spans="1:16" ht="15" customHeight="1" x14ac:dyDescent="0.2">
      <c r="A41" s="8"/>
      <c r="B41" s="8"/>
      <c r="C41" s="8"/>
      <c r="D41" s="9"/>
      <c r="E41" s="9"/>
      <c r="F41" s="8"/>
      <c r="G41" s="10" t="str">
        <f t="shared" si="0"/>
        <v/>
      </c>
      <c r="H41" s="10" t="str">
        <f t="shared" si="1"/>
        <v/>
      </c>
      <c r="I41" s="11" t="str">
        <f>IF(B41="Recreation",IFERROR(INDEX(RecPricing!$E$5:$E$10,MATCH(IF(C41="Mixed","External",IF(C41="Unknown","UoB",C41))&amp;"|"&amp;IF(F41&lt;=24,"&lt;=24",IF(F41&lt;=32,"&lt;=32","Above32")),RecPricing!$F$5:$F$10,0)),""),IFERROR(INDEX(Reference!$E$5:$E$12,MATCH(B41&amp;"|"&amp;IF(C41="Mixed","External",IF(C41="Unknown","UoB",C41))&amp;"|"&amp;IF(F41&lt;=32,"32","40"),Reference!$D$5:$D$12,0)),""))</f>
        <v/>
      </c>
      <c r="J41" s="11" t="str">
        <f t="shared" si="2"/>
        <v/>
      </c>
      <c r="K41" s="12"/>
      <c r="L41" s="11" t="str">
        <f t="shared" si="3"/>
        <v/>
      </c>
      <c r="M41" s="12"/>
      <c r="N41" s="12"/>
      <c r="O41" s="11" t="str">
        <f t="shared" si="4"/>
        <v/>
      </c>
      <c r="P41" s="10" t="str">
        <f t="shared" si="5"/>
        <v/>
      </c>
    </row>
    <row r="42" spans="1:16" ht="15" customHeight="1" x14ac:dyDescent="0.2">
      <c r="A42" s="8"/>
      <c r="B42" s="8"/>
      <c r="C42" s="8"/>
      <c r="D42" s="9"/>
      <c r="E42" s="9"/>
      <c r="F42" s="8"/>
      <c r="G42" s="10" t="str">
        <f t="shared" si="0"/>
        <v/>
      </c>
      <c r="H42" s="10" t="str">
        <f t="shared" si="1"/>
        <v/>
      </c>
      <c r="I42" s="11" t="str">
        <f>IF(B42="Recreation",IFERROR(INDEX(RecPricing!$E$5:$E$10,MATCH(IF(C42="Mixed","External",IF(C42="Unknown","UoB",C42))&amp;"|"&amp;IF(F42&lt;=24,"&lt;=24",IF(F42&lt;=32,"&lt;=32","Above32")),RecPricing!$F$5:$F$10,0)),""),IFERROR(INDEX(Reference!$E$5:$E$12,MATCH(B42&amp;"|"&amp;IF(C42="Mixed","External",IF(C42="Unknown","UoB",C42))&amp;"|"&amp;IF(F42&lt;=32,"32","40"),Reference!$D$5:$D$12,0)),""))</f>
        <v/>
      </c>
      <c r="J42" s="11" t="str">
        <f t="shared" si="2"/>
        <v/>
      </c>
      <c r="K42" s="12"/>
      <c r="L42" s="11" t="str">
        <f t="shared" si="3"/>
        <v/>
      </c>
      <c r="M42" s="12"/>
      <c r="N42" s="12"/>
      <c r="O42" s="11" t="str">
        <f t="shared" si="4"/>
        <v/>
      </c>
      <c r="P42" s="10" t="str">
        <f t="shared" si="5"/>
        <v/>
      </c>
    </row>
    <row r="43" spans="1:16" ht="15" customHeight="1" x14ac:dyDescent="0.2">
      <c r="A43" s="8"/>
      <c r="B43" s="8"/>
      <c r="C43" s="8"/>
      <c r="D43" s="9"/>
      <c r="E43" s="9"/>
      <c r="F43" s="8"/>
      <c r="G43" s="10" t="str">
        <f t="shared" si="0"/>
        <v/>
      </c>
      <c r="H43" s="10" t="str">
        <f t="shared" si="1"/>
        <v/>
      </c>
      <c r="I43" s="11" t="str">
        <f>IF(B43="Recreation",IFERROR(INDEX(RecPricing!$E$5:$E$10,MATCH(IF(C43="Mixed","External",IF(C43="Unknown","UoB",C43))&amp;"|"&amp;IF(F43&lt;=24,"&lt;=24",IF(F43&lt;=32,"&lt;=32","Above32")),RecPricing!$F$5:$F$10,0)),""),IFERROR(INDEX(Reference!$E$5:$E$12,MATCH(B43&amp;"|"&amp;IF(C43="Mixed","External",IF(C43="Unknown","UoB",C43))&amp;"|"&amp;IF(F43&lt;=32,"32","40"),Reference!$D$5:$D$12,0)),""))</f>
        <v/>
      </c>
      <c r="J43" s="11" t="str">
        <f t="shared" si="2"/>
        <v/>
      </c>
      <c r="K43" s="12"/>
      <c r="L43" s="11" t="str">
        <f t="shared" si="3"/>
        <v/>
      </c>
      <c r="M43" s="12"/>
      <c r="N43" s="12"/>
      <c r="O43" s="11" t="str">
        <f t="shared" si="4"/>
        <v/>
      </c>
      <c r="P43" s="10" t="str">
        <f t="shared" si="5"/>
        <v/>
      </c>
    </row>
    <row r="44" spans="1:16" ht="15" customHeight="1" x14ac:dyDescent="0.2">
      <c r="A44" s="8"/>
      <c r="B44" s="8"/>
      <c r="C44" s="8"/>
      <c r="D44" s="9"/>
      <c r="E44" s="9"/>
      <c r="F44" s="8"/>
      <c r="G44" s="10" t="str">
        <f t="shared" si="0"/>
        <v/>
      </c>
      <c r="H44" s="10" t="str">
        <f t="shared" si="1"/>
        <v/>
      </c>
      <c r="I44" s="11" t="str">
        <f>IF(B44="Recreation",IFERROR(INDEX(RecPricing!$E$5:$E$10,MATCH(IF(C44="Mixed","External",IF(C44="Unknown","UoB",C44))&amp;"|"&amp;IF(F44&lt;=24,"&lt;=24",IF(F44&lt;=32,"&lt;=32","Above32")),RecPricing!$F$5:$F$10,0)),""),IFERROR(INDEX(Reference!$E$5:$E$12,MATCH(B44&amp;"|"&amp;IF(C44="Mixed","External",IF(C44="Unknown","UoB",C44))&amp;"|"&amp;IF(F44&lt;=32,"32","40"),Reference!$D$5:$D$12,0)),""))</f>
        <v/>
      </c>
      <c r="J44" s="11" t="str">
        <f t="shared" si="2"/>
        <v/>
      </c>
      <c r="K44" s="12"/>
      <c r="L44" s="11" t="str">
        <f t="shared" si="3"/>
        <v/>
      </c>
      <c r="M44" s="12"/>
      <c r="N44" s="12"/>
      <c r="O44" s="11" t="str">
        <f t="shared" si="4"/>
        <v/>
      </c>
      <c r="P44" s="10" t="str">
        <f t="shared" si="5"/>
        <v/>
      </c>
    </row>
    <row r="45" spans="1:16" ht="15" customHeight="1" x14ac:dyDescent="0.2">
      <c r="A45" s="8"/>
      <c r="B45" s="8"/>
      <c r="C45" s="8"/>
      <c r="D45" s="9"/>
      <c r="E45" s="9"/>
      <c r="F45" s="8"/>
      <c r="G45" s="10" t="str">
        <f t="shared" si="0"/>
        <v/>
      </c>
      <c r="H45" s="10" t="str">
        <f t="shared" si="1"/>
        <v/>
      </c>
      <c r="I45" s="11" t="str">
        <f>IF(B45="Recreation",IFERROR(INDEX(RecPricing!$E$5:$E$10,MATCH(IF(C45="Mixed","External",IF(C45="Unknown","UoB",C45))&amp;"|"&amp;IF(F45&lt;=24,"&lt;=24",IF(F45&lt;=32,"&lt;=32","Above32")),RecPricing!$F$5:$F$10,0)),""),IFERROR(INDEX(Reference!$E$5:$E$12,MATCH(B45&amp;"|"&amp;IF(C45="Mixed","External",IF(C45="Unknown","UoB",C45))&amp;"|"&amp;IF(F45&lt;=32,"32","40"),Reference!$D$5:$D$12,0)),""))</f>
        <v/>
      </c>
      <c r="J45" s="11" t="str">
        <f t="shared" si="2"/>
        <v/>
      </c>
      <c r="K45" s="12"/>
      <c r="L45" s="11" t="str">
        <f t="shared" si="3"/>
        <v/>
      </c>
      <c r="M45" s="12"/>
      <c r="N45" s="12"/>
      <c r="O45" s="11" t="str">
        <f t="shared" si="4"/>
        <v/>
      </c>
      <c r="P45" s="10" t="str">
        <f t="shared" si="5"/>
        <v/>
      </c>
    </row>
    <row r="46" spans="1:16" ht="15" customHeight="1" x14ac:dyDescent="0.2">
      <c r="A46" s="8"/>
      <c r="B46" s="8"/>
      <c r="C46" s="8"/>
      <c r="D46" s="9"/>
      <c r="E46" s="9"/>
      <c r="F46" s="8"/>
      <c r="G46" s="10" t="str">
        <f t="shared" si="0"/>
        <v/>
      </c>
      <c r="H46" s="10" t="str">
        <f t="shared" si="1"/>
        <v/>
      </c>
      <c r="I46" s="11" t="str">
        <f>IF(B46="Recreation",IFERROR(INDEX(RecPricing!$E$5:$E$10,MATCH(IF(C46="Mixed","External",IF(C46="Unknown","UoB",C46))&amp;"|"&amp;IF(F46&lt;=24,"&lt;=24",IF(F46&lt;=32,"&lt;=32","Above32")),RecPricing!$F$5:$F$10,0)),""),IFERROR(INDEX(Reference!$E$5:$E$12,MATCH(B46&amp;"|"&amp;IF(C46="Mixed","External",IF(C46="Unknown","UoB",C46))&amp;"|"&amp;IF(F46&lt;=32,"32","40"),Reference!$D$5:$D$12,0)),""))</f>
        <v/>
      </c>
      <c r="J46" s="11" t="str">
        <f t="shared" si="2"/>
        <v/>
      </c>
      <c r="K46" s="12"/>
      <c r="L46" s="11" t="str">
        <f t="shared" si="3"/>
        <v/>
      </c>
      <c r="M46" s="12"/>
      <c r="N46" s="12"/>
      <c r="O46" s="11" t="str">
        <f t="shared" si="4"/>
        <v/>
      </c>
      <c r="P46" s="10" t="str">
        <f t="shared" si="5"/>
        <v/>
      </c>
    </row>
    <row r="47" spans="1:16" ht="15" customHeight="1" x14ac:dyDescent="0.2">
      <c r="A47" s="8"/>
      <c r="B47" s="8"/>
      <c r="C47" s="8"/>
      <c r="D47" s="9"/>
      <c r="E47" s="9"/>
      <c r="F47" s="8"/>
      <c r="G47" s="10" t="str">
        <f t="shared" si="0"/>
        <v/>
      </c>
      <c r="H47" s="10" t="str">
        <f t="shared" si="1"/>
        <v/>
      </c>
      <c r="I47" s="11" t="str">
        <f>IF(B47="Recreation",IFERROR(INDEX(RecPricing!$E$5:$E$10,MATCH(IF(C47="Mixed","External",IF(C47="Unknown","UoB",C47))&amp;"|"&amp;IF(F47&lt;=24,"&lt;=24",IF(F47&lt;=32,"&lt;=32","Above32")),RecPricing!$F$5:$F$10,0)),""),IFERROR(INDEX(Reference!$E$5:$E$12,MATCH(B47&amp;"|"&amp;IF(C47="Mixed","External",IF(C47="Unknown","UoB",C47))&amp;"|"&amp;IF(F47&lt;=32,"32","40"),Reference!$D$5:$D$12,0)),""))</f>
        <v/>
      </c>
      <c r="J47" s="11" t="str">
        <f t="shared" si="2"/>
        <v/>
      </c>
      <c r="K47" s="12"/>
      <c r="L47" s="11" t="str">
        <f t="shared" si="3"/>
        <v/>
      </c>
      <c r="M47" s="12"/>
      <c r="N47" s="12"/>
      <c r="O47" s="11" t="str">
        <f t="shared" si="4"/>
        <v/>
      </c>
      <c r="P47" s="10" t="str">
        <f t="shared" si="5"/>
        <v/>
      </c>
    </row>
    <row r="48" spans="1:16" ht="15" customHeight="1" x14ac:dyDescent="0.2">
      <c r="A48" s="8"/>
      <c r="B48" s="8"/>
      <c r="C48" s="8"/>
      <c r="D48" s="9"/>
      <c r="E48" s="9"/>
      <c r="F48" s="8"/>
      <c r="G48" s="10" t="str">
        <f t="shared" si="0"/>
        <v/>
      </c>
      <c r="H48" s="10" t="str">
        <f t="shared" si="1"/>
        <v/>
      </c>
      <c r="I48" s="11" t="str">
        <f>IF(B48="Recreation",IFERROR(INDEX(RecPricing!$E$5:$E$10,MATCH(IF(C48="Mixed","External",IF(C48="Unknown","UoB",C48))&amp;"|"&amp;IF(F48&lt;=24,"&lt;=24",IF(F48&lt;=32,"&lt;=32","Above32")),RecPricing!$F$5:$F$10,0)),""),IFERROR(INDEX(Reference!$E$5:$E$12,MATCH(B48&amp;"|"&amp;IF(C48="Mixed","External",IF(C48="Unknown","UoB",C48))&amp;"|"&amp;IF(F48&lt;=32,"32","40"),Reference!$D$5:$D$12,0)),""))</f>
        <v/>
      </c>
      <c r="J48" s="11" t="str">
        <f t="shared" si="2"/>
        <v/>
      </c>
      <c r="K48" s="12"/>
      <c r="L48" s="11" t="str">
        <f t="shared" si="3"/>
        <v/>
      </c>
      <c r="M48" s="12"/>
      <c r="N48" s="12"/>
      <c r="O48" s="11" t="str">
        <f t="shared" si="4"/>
        <v/>
      </c>
      <c r="P48" s="10" t="str">
        <f t="shared" si="5"/>
        <v/>
      </c>
    </row>
    <row r="49" spans="1:16" ht="15" customHeight="1" x14ac:dyDescent="0.2">
      <c r="A49" s="8"/>
      <c r="B49" s="8"/>
      <c r="C49" s="8"/>
      <c r="D49" s="9"/>
      <c r="E49" s="9"/>
      <c r="F49" s="8"/>
      <c r="G49" s="10" t="str">
        <f t="shared" si="0"/>
        <v/>
      </c>
      <c r="H49" s="10" t="str">
        <f t="shared" si="1"/>
        <v/>
      </c>
      <c r="I49" s="11" t="str">
        <f>IF(B49="Recreation",IFERROR(INDEX(RecPricing!$E$5:$E$10,MATCH(IF(C49="Mixed","External",IF(C49="Unknown","UoB",C49))&amp;"|"&amp;IF(F49&lt;=24,"&lt;=24",IF(F49&lt;=32,"&lt;=32","Above32")),RecPricing!$F$5:$F$10,0)),""),IFERROR(INDEX(Reference!$E$5:$E$12,MATCH(B49&amp;"|"&amp;IF(C49="Mixed","External",IF(C49="Unknown","UoB",C49))&amp;"|"&amp;IF(F49&lt;=32,"32","40"),Reference!$D$5:$D$12,0)),""))</f>
        <v/>
      </c>
      <c r="J49" s="11" t="str">
        <f t="shared" si="2"/>
        <v/>
      </c>
      <c r="K49" s="12"/>
      <c r="L49" s="11" t="str">
        <f t="shared" si="3"/>
        <v/>
      </c>
      <c r="M49" s="12"/>
      <c r="N49" s="12"/>
      <c r="O49" s="11" t="str">
        <f t="shared" si="4"/>
        <v/>
      </c>
      <c r="P49" s="10" t="str">
        <f t="shared" si="5"/>
        <v/>
      </c>
    </row>
    <row r="50" spans="1:16" ht="15" customHeight="1" x14ac:dyDescent="0.2">
      <c r="A50" s="8"/>
      <c r="B50" s="8"/>
      <c r="C50" s="8"/>
      <c r="D50" s="9"/>
      <c r="E50" s="9"/>
      <c r="F50" s="8"/>
      <c r="G50" s="10" t="str">
        <f t="shared" si="0"/>
        <v/>
      </c>
      <c r="H50" s="10" t="str">
        <f t="shared" si="1"/>
        <v/>
      </c>
      <c r="I50" s="11" t="str">
        <f>IF(B50="Recreation",IFERROR(INDEX(RecPricing!$E$5:$E$10,MATCH(IF(C50="Mixed","External",IF(C50="Unknown","UoB",C50))&amp;"|"&amp;IF(F50&lt;=24,"&lt;=24",IF(F50&lt;=32,"&lt;=32","Above32")),RecPricing!$F$5:$F$10,0)),""),IFERROR(INDEX(Reference!$E$5:$E$12,MATCH(B50&amp;"|"&amp;IF(C50="Mixed","External",IF(C50="Unknown","UoB",C50))&amp;"|"&amp;IF(F50&lt;=32,"32","40"),Reference!$D$5:$D$12,0)),""))</f>
        <v/>
      </c>
      <c r="J50" s="11" t="str">
        <f t="shared" si="2"/>
        <v/>
      </c>
      <c r="K50" s="12"/>
      <c r="L50" s="11" t="str">
        <f t="shared" si="3"/>
        <v/>
      </c>
      <c r="M50" s="12"/>
      <c r="N50" s="12"/>
      <c r="O50" s="11" t="str">
        <f t="shared" si="4"/>
        <v/>
      </c>
      <c r="P50" s="10" t="str">
        <f t="shared" si="5"/>
        <v/>
      </c>
    </row>
    <row r="51" spans="1:16" ht="15" customHeight="1" x14ac:dyDescent="0.2">
      <c r="A51" s="8"/>
      <c r="B51" s="8"/>
      <c r="C51" s="8"/>
      <c r="D51" s="9"/>
      <c r="E51" s="9"/>
      <c r="F51" s="8"/>
      <c r="G51" s="10" t="str">
        <f t="shared" si="0"/>
        <v/>
      </c>
      <c r="H51" s="10" t="str">
        <f t="shared" si="1"/>
        <v/>
      </c>
      <c r="I51" s="11" t="str">
        <f>IF(B51="Recreation",IFERROR(INDEX(RecPricing!$E$5:$E$10,MATCH(IF(C51="Mixed","External",IF(C51="Unknown","UoB",C51))&amp;"|"&amp;IF(F51&lt;=24,"&lt;=24",IF(F51&lt;=32,"&lt;=32","Above32")),RecPricing!$F$5:$F$10,0)),""),IFERROR(INDEX(Reference!$E$5:$E$12,MATCH(B51&amp;"|"&amp;IF(C51="Mixed","External",IF(C51="Unknown","UoB",C51))&amp;"|"&amp;IF(F51&lt;=32,"32","40"),Reference!$D$5:$D$12,0)),""))</f>
        <v/>
      </c>
      <c r="J51" s="11" t="str">
        <f t="shared" si="2"/>
        <v/>
      </c>
      <c r="K51" s="12"/>
      <c r="L51" s="11" t="str">
        <f t="shared" si="3"/>
        <v/>
      </c>
      <c r="M51" s="12"/>
      <c r="N51" s="12"/>
      <c r="O51" s="11" t="str">
        <f t="shared" si="4"/>
        <v/>
      </c>
      <c r="P51" s="10" t="str">
        <f t="shared" si="5"/>
        <v/>
      </c>
    </row>
    <row r="52" spans="1:16" ht="15" customHeight="1" x14ac:dyDescent="0.2">
      <c r="A52" s="8"/>
      <c r="B52" s="8"/>
      <c r="C52" s="8"/>
      <c r="D52" s="9"/>
      <c r="E52" s="9"/>
      <c r="F52" s="8"/>
      <c r="G52" s="10" t="str">
        <f t="shared" si="0"/>
        <v/>
      </c>
      <c r="H52" s="10" t="str">
        <f t="shared" si="1"/>
        <v/>
      </c>
      <c r="I52" s="11" t="str">
        <f>IF(B52="Recreation",IFERROR(INDEX(RecPricing!$E$5:$E$10,MATCH(IF(C52="Mixed","External",IF(C52="Unknown","UoB",C52))&amp;"|"&amp;IF(F52&lt;=24,"&lt;=24",IF(F52&lt;=32,"&lt;=32","Above32")),RecPricing!$F$5:$F$10,0)),""),IFERROR(INDEX(Reference!$E$5:$E$12,MATCH(B52&amp;"|"&amp;IF(C52="Mixed","External",IF(C52="Unknown","UoB",C52))&amp;"|"&amp;IF(F52&lt;=32,"32","40"),Reference!$D$5:$D$12,0)),""))</f>
        <v/>
      </c>
      <c r="J52" s="11" t="str">
        <f t="shared" si="2"/>
        <v/>
      </c>
      <c r="K52" s="12"/>
      <c r="L52" s="11" t="str">
        <f t="shared" si="3"/>
        <v/>
      </c>
      <c r="M52" s="12"/>
      <c r="N52" s="12"/>
      <c r="O52" s="11" t="str">
        <f t="shared" si="4"/>
        <v/>
      </c>
      <c r="P52" s="10" t="str">
        <f t="shared" si="5"/>
        <v/>
      </c>
    </row>
    <row r="53" spans="1:16" ht="15" customHeight="1" x14ac:dyDescent="0.2">
      <c r="A53" s="8"/>
      <c r="B53" s="8"/>
      <c r="C53" s="8"/>
      <c r="D53" s="9"/>
      <c r="E53" s="9"/>
      <c r="F53" s="8"/>
      <c r="G53" s="10" t="str">
        <f t="shared" si="0"/>
        <v/>
      </c>
      <c r="H53" s="10" t="str">
        <f t="shared" si="1"/>
        <v/>
      </c>
      <c r="I53" s="11" t="str">
        <f>IF(B53="Recreation",IFERROR(INDEX(RecPricing!$E$5:$E$10,MATCH(IF(C53="Mixed","External",IF(C53="Unknown","UoB",C53))&amp;"|"&amp;IF(F53&lt;=24,"&lt;=24",IF(F53&lt;=32,"&lt;=32","Above32")),RecPricing!$F$5:$F$10,0)),""),IFERROR(INDEX(Reference!$E$5:$E$12,MATCH(B53&amp;"|"&amp;IF(C53="Mixed","External",IF(C53="Unknown","UoB",C53))&amp;"|"&amp;IF(F53&lt;=32,"32","40"),Reference!$D$5:$D$12,0)),""))</f>
        <v/>
      </c>
      <c r="J53" s="11" t="str">
        <f t="shared" si="2"/>
        <v/>
      </c>
      <c r="K53" s="12"/>
      <c r="L53" s="11" t="str">
        <f t="shared" si="3"/>
        <v/>
      </c>
      <c r="M53" s="12"/>
      <c r="N53" s="12"/>
      <c r="O53" s="11" t="str">
        <f t="shared" si="4"/>
        <v/>
      </c>
      <c r="P53" s="10" t="str">
        <f t="shared" si="5"/>
        <v/>
      </c>
    </row>
    <row r="54" spans="1:16" ht="15" customHeight="1" x14ac:dyDescent="0.2">
      <c r="A54" s="8"/>
      <c r="B54" s="8"/>
      <c r="C54" s="8"/>
      <c r="D54" s="9"/>
      <c r="E54" s="9"/>
      <c r="F54" s="8"/>
      <c r="G54" s="10" t="str">
        <f t="shared" si="0"/>
        <v/>
      </c>
      <c r="H54" s="10" t="str">
        <f t="shared" si="1"/>
        <v/>
      </c>
      <c r="I54" s="11" t="str">
        <f>IF(B54="Recreation",IFERROR(INDEX(RecPricing!$E$5:$E$10,MATCH(IF(C54="Mixed","External",IF(C54="Unknown","UoB",C54))&amp;"|"&amp;IF(F54&lt;=24,"&lt;=24",IF(F54&lt;=32,"&lt;=32","Above32")),RecPricing!$F$5:$F$10,0)),""),IFERROR(INDEX(Reference!$E$5:$E$12,MATCH(B54&amp;"|"&amp;IF(C54="Mixed","External",IF(C54="Unknown","UoB",C54))&amp;"|"&amp;IF(F54&lt;=32,"32","40"),Reference!$D$5:$D$12,0)),""))</f>
        <v/>
      </c>
      <c r="J54" s="11" t="str">
        <f t="shared" si="2"/>
        <v/>
      </c>
      <c r="K54" s="12"/>
      <c r="L54" s="11" t="str">
        <f t="shared" si="3"/>
        <v/>
      </c>
      <c r="M54" s="12"/>
      <c r="N54" s="12"/>
      <c r="O54" s="11" t="str">
        <f t="shared" si="4"/>
        <v/>
      </c>
      <c r="P54" s="10" t="str">
        <f t="shared" si="5"/>
        <v/>
      </c>
    </row>
    <row r="55" spans="1:16" ht="15" customHeight="1" x14ac:dyDescent="0.2">
      <c r="A55" s="8"/>
      <c r="B55" s="8"/>
      <c r="C55" s="8"/>
      <c r="D55" s="9"/>
      <c r="E55" s="9"/>
      <c r="F55" s="8"/>
      <c r="G55" s="10" t="str">
        <f t="shared" si="0"/>
        <v/>
      </c>
      <c r="H55" s="10" t="str">
        <f t="shared" si="1"/>
        <v/>
      </c>
      <c r="I55" s="11" t="str">
        <f>IF(B55="Recreation",IFERROR(INDEX(RecPricing!$E$5:$E$10,MATCH(IF(C55="Mixed","External",IF(C55="Unknown","UoB",C55))&amp;"|"&amp;IF(F55&lt;=24,"&lt;=24",IF(F55&lt;=32,"&lt;=32","Above32")),RecPricing!$F$5:$F$10,0)),""),IFERROR(INDEX(Reference!$E$5:$E$12,MATCH(B55&amp;"|"&amp;IF(C55="Mixed","External",IF(C55="Unknown","UoB",C55))&amp;"|"&amp;IF(F55&lt;=32,"32","40"),Reference!$D$5:$D$12,0)),""))</f>
        <v/>
      </c>
      <c r="J55" s="11" t="str">
        <f t="shared" si="2"/>
        <v/>
      </c>
      <c r="K55" s="12"/>
      <c r="L55" s="11" t="str">
        <f t="shared" si="3"/>
        <v/>
      </c>
      <c r="M55" s="12"/>
      <c r="N55" s="12"/>
      <c r="O55" s="11" t="str">
        <f t="shared" si="4"/>
        <v/>
      </c>
      <c r="P55" s="10" t="str">
        <f t="shared" si="5"/>
        <v/>
      </c>
    </row>
    <row r="56" spans="1:16" ht="15" customHeight="1" x14ac:dyDescent="0.2">
      <c r="A56" s="8"/>
      <c r="B56" s="8"/>
      <c r="C56" s="8"/>
      <c r="D56" s="9"/>
      <c r="E56" s="9"/>
      <c r="F56" s="8"/>
      <c r="G56" s="10" t="str">
        <f t="shared" si="0"/>
        <v/>
      </c>
      <c r="H56" s="10" t="str">
        <f t="shared" si="1"/>
        <v/>
      </c>
      <c r="I56" s="11" t="str">
        <f>IF(B56="Recreation",IFERROR(INDEX(RecPricing!$E$5:$E$10,MATCH(IF(C56="Mixed","External",IF(C56="Unknown","UoB",C56))&amp;"|"&amp;IF(F56&lt;=24,"&lt;=24",IF(F56&lt;=32,"&lt;=32","Above32")),RecPricing!$F$5:$F$10,0)),""),IFERROR(INDEX(Reference!$E$5:$E$12,MATCH(B56&amp;"|"&amp;IF(C56="Mixed","External",IF(C56="Unknown","UoB",C56))&amp;"|"&amp;IF(F56&lt;=32,"32","40"),Reference!$D$5:$D$12,0)),""))</f>
        <v/>
      </c>
      <c r="J56" s="11" t="str">
        <f t="shared" si="2"/>
        <v/>
      </c>
      <c r="K56" s="12"/>
      <c r="L56" s="11" t="str">
        <f t="shared" si="3"/>
        <v/>
      </c>
      <c r="M56" s="12"/>
      <c r="N56" s="12"/>
      <c r="O56" s="11" t="str">
        <f t="shared" si="4"/>
        <v/>
      </c>
      <c r="P56" s="10" t="str">
        <f t="shared" si="5"/>
        <v/>
      </c>
    </row>
    <row r="57" spans="1:16" ht="15" customHeight="1" x14ac:dyDescent="0.2">
      <c r="A57" s="8"/>
      <c r="B57" s="8"/>
      <c r="C57" s="8"/>
      <c r="D57" s="9"/>
      <c r="E57" s="9"/>
      <c r="F57" s="8"/>
      <c r="G57" s="10" t="str">
        <f t="shared" si="0"/>
        <v/>
      </c>
      <c r="H57" s="10" t="str">
        <f t="shared" si="1"/>
        <v/>
      </c>
      <c r="I57" s="11" t="str">
        <f>IF(B57="Recreation",IFERROR(INDEX(RecPricing!$E$5:$E$10,MATCH(IF(C57="Mixed","External",IF(C57="Unknown","UoB",C57))&amp;"|"&amp;IF(F57&lt;=24,"&lt;=24",IF(F57&lt;=32,"&lt;=32","Above32")),RecPricing!$F$5:$F$10,0)),""),IFERROR(INDEX(Reference!$E$5:$E$12,MATCH(B57&amp;"|"&amp;IF(C57="Mixed","External",IF(C57="Unknown","UoB",C57))&amp;"|"&amp;IF(F57&lt;=32,"32","40"),Reference!$D$5:$D$12,0)),""))</f>
        <v/>
      </c>
      <c r="J57" s="11" t="str">
        <f t="shared" si="2"/>
        <v/>
      </c>
      <c r="K57" s="12"/>
      <c r="L57" s="11" t="str">
        <f t="shared" si="3"/>
        <v/>
      </c>
      <c r="M57" s="12"/>
      <c r="N57" s="12"/>
      <c r="O57" s="11" t="str">
        <f t="shared" si="4"/>
        <v/>
      </c>
      <c r="P57" s="10" t="str">
        <f t="shared" si="5"/>
        <v/>
      </c>
    </row>
    <row r="58" spans="1:16" ht="15" customHeight="1" x14ac:dyDescent="0.2">
      <c r="A58" s="8"/>
      <c r="B58" s="8"/>
      <c r="C58" s="8"/>
      <c r="D58" s="9"/>
      <c r="E58" s="9"/>
      <c r="F58" s="8"/>
      <c r="G58" s="10" t="str">
        <f t="shared" si="0"/>
        <v/>
      </c>
      <c r="H58" s="10" t="str">
        <f t="shared" si="1"/>
        <v/>
      </c>
      <c r="I58" s="11" t="str">
        <f>IF(B58="Recreation",IFERROR(INDEX(RecPricing!$E$5:$E$10,MATCH(IF(C58="Mixed","External",IF(C58="Unknown","UoB",C58))&amp;"|"&amp;IF(F58&lt;=24,"&lt;=24",IF(F58&lt;=32,"&lt;=32","Above32")),RecPricing!$F$5:$F$10,0)),""),IFERROR(INDEX(Reference!$E$5:$E$12,MATCH(B58&amp;"|"&amp;IF(C58="Mixed","External",IF(C58="Unknown","UoB",C58))&amp;"|"&amp;IF(F58&lt;=32,"32","40"),Reference!$D$5:$D$12,0)),""))</f>
        <v/>
      </c>
      <c r="J58" s="11" t="str">
        <f t="shared" si="2"/>
        <v/>
      </c>
      <c r="K58" s="12"/>
      <c r="L58" s="11" t="str">
        <f t="shared" si="3"/>
        <v/>
      </c>
      <c r="M58" s="12"/>
      <c r="N58" s="12"/>
      <c r="O58" s="11" t="str">
        <f t="shared" si="4"/>
        <v/>
      </c>
      <c r="P58" s="10" t="str">
        <f t="shared" si="5"/>
        <v/>
      </c>
    </row>
    <row r="59" spans="1:16" ht="15" customHeight="1" x14ac:dyDescent="0.2">
      <c r="A59" s="8"/>
      <c r="B59" s="8"/>
      <c r="C59" s="8"/>
      <c r="D59" s="9"/>
      <c r="E59" s="9"/>
      <c r="F59" s="8"/>
      <c r="G59" s="10" t="str">
        <f t="shared" si="0"/>
        <v/>
      </c>
      <c r="H59" s="10" t="str">
        <f t="shared" si="1"/>
        <v/>
      </c>
      <c r="I59" s="11" t="str">
        <f>IF(B59="Recreation",IFERROR(INDEX(RecPricing!$E$5:$E$10,MATCH(IF(C59="Mixed","External",IF(C59="Unknown","UoB",C59))&amp;"|"&amp;IF(F59&lt;=24,"&lt;=24",IF(F59&lt;=32,"&lt;=32","Above32")),RecPricing!$F$5:$F$10,0)),""),IFERROR(INDEX(Reference!$E$5:$E$12,MATCH(B59&amp;"|"&amp;IF(C59="Mixed","External",IF(C59="Unknown","UoB",C59))&amp;"|"&amp;IF(F59&lt;=32,"32","40"),Reference!$D$5:$D$12,0)),""))</f>
        <v/>
      </c>
      <c r="J59" s="11" t="str">
        <f t="shared" si="2"/>
        <v/>
      </c>
      <c r="K59" s="12"/>
      <c r="L59" s="11" t="str">
        <f t="shared" si="3"/>
        <v/>
      </c>
      <c r="M59" s="12"/>
      <c r="N59" s="12"/>
      <c r="O59" s="11" t="str">
        <f t="shared" si="4"/>
        <v/>
      </c>
      <c r="P59" s="10" t="str">
        <f t="shared" si="5"/>
        <v/>
      </c>
    </row>
    <row r="60" spans="1:16" ht="15" customHeight="1" x14ac:dyDescent="0.2">
      <c r="A60" s="8"/>
      <c r="B60" s="8"/>
      <c r="C60" s="8"/>
      <c r="D60" s="9"/>
      <c r="E60" s="9"/>
      <c r="F60" s="8"/>
      <c r="G60" s="10" t="str">
        <f t="shared" si="0"/>
        <v/>
      </c>
      <c r="H60" s="10" t="str">
        <f t="shared" si="1"/>
        <v/>
      </c>
      <c r="I60" s="11" t="str">
        <f>IF(B60="Recreation",IFERROR(INDEX(RecPricing!$E$5:$E$10,MATCH(IF(C60="Mixed","External",IF(C60="Unknown","UoB",C60))&amp;"|"&amp;IF(F60&lt;=24,"&lt;=24",IF(F60&lt;=32,"&lt;=32","Above32")),RecPricing!$F$5:$F$10,0)),""),IFERROR(INDEX(Reference!$E$5:$E$12,MATCH(B60&amp;"|"&amp;IF(C60="Mixed","External",IF(C60="Unknown","UoB",C60))&amp;"|"&amp;IF(F60&lt;=32,"32","40"),Reference!$D$5:$D$12,0)),""))</f>
        <v/>
      </c>
      <c r="J60" s="11" t="str">
        <f t="shared" si="2"/>
        <v/>
      </c>
      <c r="K60" s="12"/>
      <c r="L60" s="11" t="str">
        <f t="shared" si="3"/>
        <v/>
      </c>
      <c r="M60" s="12"/>
      <c r="N60" s="12"/>
      <c r="O60" s="11" t="str">
        <f t="shared" si="4"/>
        <v/>
      </c>
      <c r="P60" s="10" t="str">
        <f t="shared" si="5"/>
        <v/>
      </c>
    </row>
    <row r="61" spans="1:16" ht="15" customHeight="1" x14ac:dyDescent="0.2">
      <c r="A61" s="8"/>
      <c r="B61" s="8"/>
      <c r="C61" s="8"/>
      <c r="D61" s="9"/>
      <c r="E61" s="9"/>
      <c r="F61" s="8"/>
      <c r="G61" s="10" t="str">
        <f t="shared" si="0"/>
        <v/>
      </c>
      <c r="H61" s="10" t="str">
        <f t="shared" si="1"/>
        <v/>
      </c>
      <c r="I61" s="11" t="str">
        <f>IF(B61="Recreation",IFERROR(INDEX(RecPricing!$E$5:$E$10,MATCH(IF(C61="Mixed","External",IF(C61="Unknown","UoB",C61))&amp;"|"&amp;IF(F61&lt;=24,"&lt;=24",IF(F61&lt;=32,"&lt;=32","Above32")),RecPricing!$F$5:$F$10,0)),""),IFERROR(INDEX(Reference!$E$5:$E$12,MATCH(B61&amp;"|"&amp;IF(C61="Mixed","External",IF(C61="Unknown","UoB",C61))&amp;"|"&amp;IF(F61&lt;=32,"32","40"),Reference!$D$5:$D$12,0)),""))</f>
        <v/>
      </c>
      <c r="J61" s="11" t="str">
        <f t="shared" si="2"/>
        <v/>
      </c>
      <c r="K61" s="12"/>
      <c r="L61" s="11" t="str">
        <f t="shared" si="3"/>
        <v/>
      </c>
      <c r="M61" s="12"/>
      <c r="N61" s="12"/>
      <c r="O61" s="11" t="str">
        <f t="shared" si="4"/>
        <v/>
      </c>
      <c r="P61" s="10" t="str">
        <f t="shared" si="5"/>
        <v/>
      </c>
    </row>
    <row r="62" spans="1:16" ht="15" customHeight="1" x14ac:dyDescent="0.2">
      <c r="A62" s="8"/>
      <c r="B62" s="8"/>
      <c r="C62" s="8"/>
      <c r="D62" s="9"/>
      <c r="E62" s="9"/>
      <c r="F62" s="8"/>
      <c r="G62" s="10" t="str">
        <f t="shared" si="0"/>
        <v/>
      </c>
      <c r="H62" s="10" t="str">
        <f t="shared" si="1"/>
        <v/>
      </c>
      <c r="I62" s="11" t="str">
        <f>IF(B62="Recreation",IFERROR(INDEX(RecPricing!$E$5:$E$10,MATCH(IF(C62="Mixed","External",IF(C62="Unknown","UoB",C62))&amp;"|"&amp;IF(F62&lt;=24,"&lt;=24",IF(F62&lt;=32,"&lt;=32","Above32")),RecPricing!$F$5:$F$10,0)),""),IFERROR(INDEX(Reference!$E$5:$E$12,MATCH(B62&amp;"|"&amp;IF(C62="Mixed","External",IF(C62="Unknown","UoB",C62))&amp;"|"&amp;IF(F62&lt;=32,"32","40"),Reference!$D$5:$D$12,0)),""))</f>
        <v/>
      </c>
      <c r="J62" s="11" t="str">
        <f t="shared" si="2"/>
        <v/>
      </c>
      <c r="K62" s="12"/>
      <c r="L62" s="11" t="str">
        <f t="shared" si="3"/>
        <v/>
      </c>
      <c r="M62" s="12"/>
      <c r="N62" s="12"/>
      <c r="O62" s="11" t="str">
        <f t="shared" si="4"/>
        <v/>
      </c>
      <c r="P62" s="10" t="str">
        <f t="shared" si="5"/>
        <v/>
      </c>
    </row>
    <row r="63" spans="1:16" ht="15" customHeight="1" x14ac:dyDescent="0.2">
      <c r="A63" s="8"/>
      <c r="B63" s="8"/>
      <c r="C63" s="8"/>
      <c r="D63" s="9"/>
      <c r="E63" s="9"/>
      <c r="F63" s="8"/>
      <c r="G63" s="10" t="str">
        <f t="shared" ref="G63:G126" si="6">IF(OR(D63="",E63=""),"",E63-D63)</f>
        <v/>
      </c>
      <c r="H63" s="10" t="str">
        <f t="shared" ref="H63:H126" si="7">IF(OR(F63="",G63=""),"",F63*G63)</f>
        <v/>
      </c>
      <c r="I63" s="11" t="str">
        <f>IF(B63="Recreation",IFERROR(INDEX(RecPricing!$E$5:$E$10,MATCH(IF(C63="Mixed","External",IF(C63="Unknown","UoB",C63))&amp;"|"&amp;IF(F63&lt;=24,"&lt;=24",IF(F63&lt;=32,"&lt;=32","Above32")),RecPricing!$F$5:$F$10,0)),""),IFERROR(INDEX(Reference!$E$5:$E$12,MATCH(B63&amp;"|"&amp;IF(C63="Mixed","External",IF(C63="Unknown","UoB",C63))&amp;"|"&amp;IF(F63&lt;=32,"32","40"),Reference!$D$5:$D$12,0)),""))</f>
        <v/>
      </c>
      <c r="J63" s="11" t="str">
        <f t="shared" ref="J63:J126" si="8">IF(I63="","",IF(B63="Recreation",IF(F63&lt;=32,I63,I63*IF(F63="",0,F63)),IF(AND(I63&lt;&gt;"",G63&lt;&gt;""),I63*G63,"")))</f>
        <v/>
      </c>
      <c r="K63" s="12"/>
      <c r="L63" s="11" t="str">
        <f t="shared" ref="L63:L126" si="9">IF(J63="","",J63-IF(K63="",0,K63))</f>
        <v/>
      </c>
      <c r="M63" s="12"/>
      <c r="N63" s="12"/>
      <c r="O63" s="11" t="str">
        <f t="shared" ref="O63:O126" si="10">IF(L63="","",L63-IF(M63="",0,M63)-IF(N63="",0,N63))</f>
        <v/>
      </c>
      <c r="P63" s="10" t="str">
        <f t="shared" ref="P63:P126" si="11">IF(D63="","",IF(MONTH(D63)&gt;=8,YEAR(D63)&amp;"-"&amp;RIGHT(YEAR(D63)+1,2),YEAR(D63)-1&amp;"-"&amp;RIGHT(YEAR(D63),2)))</f>
        <v/>
      </c>
    </row>
    <row r="64" spans="1:16" ht="15" customHeight="1" x14ac:dyDescent="0.2">
      <c r="A64" s="8"/>
      <c r="B64" s="8"/>
      <c r="C64" s="8"/>
      <c r="D64" s="9"/>
      <c r="E64" s="9"/>
      <c r="F64" s="8"/>
      <c r="G64" s="10" t="str">
        <f t="shared" si="6"/>
        <v/>
      </c>
      <c r="H64" s="10" t="str">
        <f t="shared" si="7"/>
        <v/>
      </c>
      <c r="I64" s="11" t="str">
        <f>IF(B64="Recreation",IFERROR(INDEX(RecPricing!$E$5:$E$10,MATCH(IF(C64="Mixed","External",IF(C64="Unknown","UoB",C64))&amp;"|"&amp;IF(F64&lt;=24,"&lt;=24",IF(F64&lt;=32,"&lt;=32","Above32")),RecPricing!$F$5:$F$10,0)),""),IFERROR(INDEX(Reference!$E$5:$E$12,MATCH(B64&amp;"|"&amp;IF(C64="Mixed","External",IF(C64="Unknown","UoB",C64))&amp;"|"&amp;IF(F64&lt;=32,"32","40"),Reference!$D$5:$D$12,0)),""))</f>
        <v/>
      </c>
      <c r="J64" s="11" t="str">
        <f t="shared" si="8"/>
        <v/>
      </c>
      <c r="K64" s="12"/>
      <c r="L64" s="11" t="str">
        <f t="shared" si="9"/>
        <v/>
      </c>
      <c r="M64" s="12"/>
      <c r="N64" s="12"/>
      <c r="O64" s="11" t="str">
        <f t="shared" si="10"/>
        <v/>
      </c>
      <c r="P64" s="10" t="str">
        <f t="shared" si="11"/>
        <v/>
      </c>
    </row>
    <row r="65" spans="1:16" ht="15" customHeight="1" x14ac:dyDescent="0.2">
      <c r="A65" s="8"/>
      <c r="B65" s="8"/>
      <c r="C65" s="8"/>
      <c r="D65" s="9"/>
      <c r="E65" s="9"/>
      <c r="F65" s="8"/>
      <c r="G65" s="10" t="str">
        <f t="shared" si="6"/>
        <v/>
      </c>
      <c r="H65" s="10" t="str">
        <f t="shared" si="7"/>
        <v/>
      </c>
      <c r="I65" s="11" t="str">
        <f>IF(B65="Recreation",IFERROR(INDEX(RecPricing!$E$5:$E$10,MATCH(IF(C65="Mixed","External",IF(C65="Unknown","UoB",C65))&amp;"|"&amp;IF(F65&lt;=24,"&lt;=24",IF(F65&lt;=32,"&lt;=32","Above32")),RecPricing!$F$5:$F$10,0)),""),IFERROR(INDEX(Reference!$E$5:$E$12,MATCH(B65&amp;"|"&amp;IF(C65="Mixed","External",IF(C65="Unknown","UoB",C65))&amp;"|"&amp;IF(F65&lt;=32,"32","40"),Reference!$D$5:$D$12,0)),""))</f>
        <v/>
      </c>
      <c r="J65" s="11" t="str">
        <f t="shared" si="8"/>
        <v/>
      </c>
      <c r="K65" s="12"/>
      <c r="L65" s="11" t="str">
        <f t="shared" si="9"/>
        <v/>
      </c>
      <c r="M65" s="12"/>
      <c r="N65" s="12"/>
      <c r="O65" s="11" t="str">
        <f t="shared" si="10"/>
        <v/>
      </c>
      <c r="P65" s="10" t="str">
        <f t="shared" si="11"/>
        <v/>
      </c>
    </row>
    <row r="66" spans="1:16" ht="15" customHeight="1" x14ac:dyDescent="0.2">
      <c r="A66" s="8"/>
      <c r="B66" s="8"/>
      <c r="C66" s="8"/>
      <c r="D66" s="9"/>
      <c r="E66" s="9"/>
      <c r="F66" s="8"/>
      <c r="G66" s="10" t="str">
        <f t="shared" si="6"/>
        <v/>
      </c>
      <c r="H66" s="10" t="str">
        <f t="shared" si="7"/>
        <v/>
      </c>
      <c r="I66" s="11" t="str">
        <f>IF(B66="Recreation",IFERROR(INDEX(RecPricing!$E$5:$E$10,MATCH(IF(C66="Mixed","External",IF(C66="Unknown","UoB",C66))&amp;"|"&amp;IF(F66&lt;=24,"&lt;=24",IF(F66&lt;=32,"&lt;=32","Above32")),RecPricing!$F$5:$F$10,0)),""),IFERROR(INDEX(Reference!$E$5:$E$12,MATCH(B66&amp;"|"&amp;IF(C66="Mixed","External",IF(C66="Unknown","UoB",C66))&amp;"|"&amp;IF(F66&lt;=32,"32","40"),Reference!$D$5:$D$12,0)),""))</f>
        <v/>
      </c>
      <c r="J66" s="11" t="str">
        <f t="shared" si="8"/>
        <v/>
      </c>
      <c r="K66" s="12"/>
      <c r="L66" s="11" t="str">
        <f t="shared" si="9"/>
        <v/>
      </c>
      <c r="M66" s="12"/>
      <c r="N66" s="12"/>
      <c r="O66" s="11" t="str">
        <f t="shared" si="10"/>
        <v/>
      </c>
      <c r="P66" s="10" t="str">
        <f t="shared" si="11"/>
        <v/>
      </c>
    </row>
    <row r="67" spans="1:16" ht="15" customHeight="1" x14ac:dyDescent="0.2">
      <c r="A67" s="8"/>
      <c r="B67" s="8"/>
      <c r="C67" s="8"/>
      <c r="D67" s="9"/>
      <c r="E67" s="9"/>
      <c r="F67" s="8"/>
      <c r="G67" s="10" t="str">
        <f t="shared" si="6"/>
        <v/>
      </c>
      <c r="H67" s="10" t="str">
        <f t="shared" si="7"/>
        <v/>
      </c>
      <c r="I67" s="11" t="str">
        <f>IF(B67="Recreation",IFERROR(INDEX(RecPricing!$E$5:$E$10,MATCH(IF(C67="Mixed","External",IF(C67="Unknown","UoB",C67))&amp;"|"&amp;IF(F67&lt;=24,"&lt;=24",IF(F67&lt;=32,"&lt;=32","Above32")),RecPricing!$F$5:$F$10,0)),""),IFERROR(INDEX(Reference!$E$5:$E$12,MATCH(B67&amp;"|"&amp;IF(C67="Mixed","External",IF(C67="Unknown","UoB",C67))&amp;"|"&amp;IF(F67&lt;=32,"32","40"),Reference!$D$5:$D$12,0)),""))</f>
        <v/>
      </c>
      <c r="J67" s="11" t="str">
        <f t="shared" si="8"/>
        <v/>
      </c>
      <c r="K67" s="12"/>
      <c r="L67" s="11" t="str">
        <f t="shared" si="9"/>
        <v/>
      </c>
      <c r="M67" s="12"/>
      <c r="N67" s="12"/>
      <c r="O67" s="11" t="str">
        <f t="shared" si="10"/>
        <v/>
      </c>
      <c r="P67" s="10" t="str">
        <f t="shared" si="11"/>
        <v/>
      </c>
    </row>
    <row r="68" spans="1:16" ht="15" customHeight="1" x14ac:dyDescent="0.2">
      <c r="A68" s="8"/>
      <c r="B68" s="8"/>
      <c r="C68" s="8"/>
      <c r="D68" s="9"/>
      <c r="E68" s="9"/>
      <c r="F68" s="8"/>
      <c r="G68" s="10" t="str">
        <f t="shared" si="6"/>
        <v/>
      </c>
      <c r="H68" s="10" t="str">
        <f t="shared" si="7"/>
        <v/>
      </c>
      <c r="I68" s="11" t="str">
        <f>IF(B68="Recreation",IFERROR(INDEX(RecPricing!$E$5:$E$10,MATCH(IF(C68="Mixed","External",IF(C68="Unknown","UoB",C68))&amp;"|"&amp;IF(F68&lt;=24,"&lt;=24",IF(F68&lt;=32,"&lt;=32","Above32")),RecPricing!$F$5:$F$10,0)),""),IFERROR(INDEX(Reference!$E$5:$E$12,MATCH(B68&amp;"|"&amp;IF(C68="Mixed","External",IF(C68="Unknown","UoB",C68))&amp;"|"&amp;IF(F68&lt;=32,"32","40"),Reference!$D$5:$D$12,0)),""))</f>
        <v/>
      </c>
      <c r="J68" s="11" t="str">
        <f t="shared" si="8"/>
        <v/>
      </c>
      <c r="K68" s="12"/>
      <c r="L68" s="11" t="str">
        <f t="shared" si="9"/>
        <v/>
      </c>
      <c r="M68" s="12"/>
      <c r="N68" s="12"/>
      <c r="O68" s="11" t="str">
        <f t="shared" si="10"/>
        <v/>
      </c>
      <c r="P68" s="10" t="str">
        <f t="shared" si="11"/>
        <v/>
      </c>
    </row>
    <row r="69" spans="1:16" ht="15" customHeight="1" x14ac:dyDescent="0.2">
      <c r="A69" s="8"/>
      <c r="B69" s="8"/>
      <c r="C69" s="8"/>
      <c r="D69" s="9"/>
      <c r="E69" s="9"/>
      <c r="F69" s="8"/>
      <c r="G69" s="10" t="str">
        <f t="shared" si="6"/>
        <v/>
      </c>
      <c r="H69" s="10" t="str">
        <f t="shared" si="7"/>
        <v/>
      </c>
      <c r="I69" s="11" t="str">
        <f>IF(B69="Recreation",IFERROR(INDEX(RecPricing!$E$5:$E$10,MATCH(IF(C69="Mixed","External",IF(C69="Unknown","UoB",C69))&amp;"|"&amp;IF(F69&lt;=24,"&lt;=24",IF(F69&lt;=32,"&lt;=32","Above32")),RecPricing!$F$5:$F$10,0)),""),IFERROR(INDEX(Reference!$E$5:$E$12,MATCH(B69&amp;"|"&amp;IF(C69="Mixed","External",IF(C69="Unknown","UoB",C69))&amp;"|"&amp;IF(F69&lt;=32,"32","40"),Reference!$D$5:$D$12,0)),""))</f>
        <v/>
      </c>
      <c r="J69" s="11" t="str">
        <f t="shared" si="8"/>
        <v/>
      </c>
      <c r="K69" s="12"/>
      <c r="L69" s="11" t="str">
        <f t="shared" si="9"/>
        <v/>
      </c>
      <c r="M69" s="12"/>
      <c r="N69" s="12"/>
      <c r="O69" s="11" t="str">
        <f t="shared" si="10"/>
        <v/>
      </c>
      <c r="P69" s="10" t="str">
        <f t="shared" si="11"/>
        <v/>
      </c>
    </row>
    <row r="70" spans="1:16" ht="15" customHeight="1" x14ac:dyDescent="0.2">
      <c r="A70" s="8"/>
      <c r="B70" s="8"/>
      <c r="C70" s="8"/>
      <c r="D70" s="9"/>
      <c r="E70" s="9"/>
      <c r="F70" s="8"/>
      <c r="G70" s="10" t="str">
        <f t="shared" si="6"/>
        <v/>
      </c>
      <c r="H70" s="10" t="str">
        <f t="shared" si="7"/>
        <v/>
      </c>
      <c r="I70" s="11" t="str">
        <f>IF(B70="Recreation",IFERROR(INDEX(RecPricing!$E$5:$E$10,MATCH(IF(C70="Mixed","External",IF(C70="Unknown","UoB",C70))&amp;"|"&amp;IF(F70&lt;=24,"&lt;=24",IF(F70&lt;=32,"&lt;=32","Above32")),RecPricing!$F$5:$F$10,0)),""),IFERROR(INDEX(Reference!$E$5:$E$12,MATCH(B70&amp;"|"&amp;IF(C70="Mixed","External",IF(C70="Unknown","UoB",C70))&amp;"|"&amp;IF(F70&lt;=32,"32","40"),Reference!$D$5:$D$12,0)),""))</f>
        <v/>
      </c>
      <c r="J70" s="11" t="str">
        <f t="shared" si="8"/>
        <v/>
      </c>
      <c r="K70" s="12"/>
      <c r="L70" s="11" t="str">
        <f t="shared" si="9"/>
        <v/>
      </c>
      <c r="M70" s="12"/>
      <c r="N70" s="12"/>
      <c r="O70" s="11" t="str">
        <f t="shared" si="10"/>
        <v/>
      </c>
      <c r="P70" s="10" t="str">
        <f t="shared" si="11"/>
        <v/>
      </c>
    </row>
    <row r="71" spans="1:16" ht="15" customHeight="1" x14ac:dyDescent="0.2">
      <c r="A71" s="8"/>
      <c r="B71" s="8"/>
      <c r="C71" s="8"/>
      <c r="D71" s="9"/>
      <c r="E71" s="9"/>
      <c r="F71" s="8"/>
      <c r="G71" s="10" t="str">
        <f t="shared" si="6"/>
        <v/>
      </c>
      <c r="H71" s="10" t="str">
        <f t="shared" si="7"/>
        <v/>
      </c>
      <c r="I71" s="11" t="str">
        <f>IF(B71="Recreation",IFERROR(INDEX(RecPricing!$E$5:$E$10,MATCH(IF(C71="Mixed","External",IF(C71="Unknown","UoB",C71))&amp;"|"&amp;IF(F71&lt;=24,"&lt;=24",IF(F71&lt;=32,"&lt;=32","Above32")),RecPricing!$F$5:$F$10,0)),""),IFERROR(INDEX(Reference!$E$5:$E$12,MATCH(B71&amp;"|"&amp;IF(C71="Mixed","External",IF(C71="Unknown","UoB",C71))&amp;"|"&amp;IF(F71&lt;=32,"32","40"),Reference!$D$5:$D$12,0)),""))</f>
        <v/>
      </c>
      <c r="J71" s="11" t="str">
        <f t="shared" si="8"/>
        <v/>
      </c>
      <c r="K71" s="12"/>
      <c r="L71" s="11" t="str">
        <f t="shared" si="9"/>
        <v/>
      </c>
      <c r="M71" s="12"/>
      <c r="N71" s="12"/>
      <c r="O71" s="11" t="str">
        <f t="shared" si="10"/>
        <v/>
      </c>
      <c r="P71" s="10" t="str">
        <f t="shared" si="11"/>
        <v/>
      </c>
    </row>
    <row r="72" spans="1:16" ht="15" customHeight="1" x14ac:dyDescent="0.2">
      <c r="A72" s="8"/>
      <c r="B72" s="8"/>
      <c r="C72" s="8"/>
      <c r="D72" s="9"/>
      <c r="E72" s="9"/>
      <c r="F72" s="8"/>
      <c r="G72" s="10" t="str">
        <f t="shared" si="6"/>
        <v/>
      </c>
      <c r="H72" s="10" t="str">
        <f t="shared" si="7"/>
        <v/>
      </c>
      <c r="I72" s="11" t="str">
        <f>IF(B72="Recreation",IFERROR(INDEX(RecPricing!$E$5:$E$10,MATCH(IF(C72="Mixed","External",IF(C72="Unknown","UoB",C72))&amp;"|"&amp;IF(F72&lt;=24,"&lt;=24",IF(F72&lt;=32,"&lt;=32","Above32")),RecPricing!$F$5:$F$10,0)),""),IFERROR(INDEX(Reference!$E$5:$E$12,MATCH(B72&amp;"|"&amp;IF(C72="Mixed","External",IF(C72="Unknown","UoB",C72))&amp;"|"&amp;IF(F72&lt;=32,"32","40"),Reference!$D$5:$D$12,0)),""))</f>
        <v/>
      </c>
      <c r="J72" s="11" t="str">
        <f t="shared" si="8"/>
        <v/>
      </c>
      <c r="K72" s="12"/>
      <c r="L72" s="11" t="str">
        <f t="shared" si="9"/>
        <v/>
      </c>
      <c r="M72" s="12"/>
      <c r="N72" s="12"/>
      <c r="O72" s="11" t="str">
        <f t="shared" si="10"/>
        <v/>
      </c>
      <c r="P72" s="10" t="str">
        <f t="shared" si="11"/>
        <v/>
      </c>
    </row>
    <row r="73" spans="1:16" ht="15" customHeight="1" x14ac:dyDescent="0.2">
      <c r="A73" s="8"/>
      <c r="B73" s="8"/>
      <c r="C73" s="8"/>
      <c r="D73" s="9"/>
      <c r="E73" s="9"/>
      <c r="F73" s="8"/>
      <c r="G73" s="10" t="str">
        <f t="shared" si="6"/>
        <v/>
      </c>
      <c r="H73" s="10" t="str">
        <f t="shared" si="7"/>
        <v/>
      </c>
      <c r="I73" s="11" t="str">
        <f>IF(B73="Recreation",IFERROR(INDEX(RecPricing!$E$5:$E$10,MATCH(IF(C73="Mixed","External",IF(C73="Unknown","UoB",C73))&amp;"|"&amp;IF(F73&lt;=24,"&lt;=24",IF(F73&lt;=32,"&lt;=32","Above32")),RecPricing!$F$5:$F$10,0)),""),IFERROR(INDEX(Reference!$E$5:$E$12,MATCH(B73&amp;"|"&amp;IF(C73="Mixed","External",IF(C73="Unknown","UoB",C73))&amp;"|"&amp;IF(F73&lt;=32,"32","40"),Reference!$D$5:$D$12,0)),""))</f>
        <v/>
      </c>
      <c r="J73" s="11" t="str">
        <f t="shared" si="8"/>
        <v/>
      </c>
      <c r="K73" s="12"/>
      <c r="L73" s="11" t="str">
        <f t="shared" si="9"/>
        <v/>
      </c>
      <c r="M73" s="12"/>
      <c r="N73" s="12"/>
      <c r="O73" s="11" t="str">
        <f t="shared" si="10"/>
        <v/>
      </c>
      <c r="P73" s="10" t="str">
        <f t="shared" si="11"/>
        <v/>
      </c>
    </row>
    <row r="74" spans="1:16" ht="15" customHeight="1" x14ac:dyDescent="0.2">
      <c r="A74" s="8"/>
      <c r="B74" s="8"/>
      <c r="C74" s="8"/>
      <c r="D74" s="9"/>
      <c r="E74" s="9"/>
      <c r="F74" s="8"/>
      <c r="G74" s="10" t="str">
        <f t="shared" si="6"/>
        <v/>
      </c>
      <c r="H74" s="10" t="str">
        <f t="shared" si="7"/>
        <v/>
      </c>
      <c r="I74" s="11" t="str">
        <f>IF(B74="Recreation",IFERROR(INDEX(RecPricing!$E$5:$E$10,MATCH(IF(C74="Mixed","External",IF(C74="Unknown","UoB",C74))&amp;"|"&amp;IF(F74&lt;=24,"&lt;=24",IF(F74&lt;=32,"&lt;=32","Above32")),RecPricing!$F$5:$F$10,0)),""),IFERROR(INDEX(Reference!$E$5:$E$12,MATCH(B74&amp;"|"&amp;IF(C74="Mixed","External",IF(C74="Unknown","UoB",C74))&amp;"|"&amp;IF(F74&lt;=32,"32","40"),Reference!$D$5:$D$12,0)),""))</f>
        <v/>
      </c>
      <c r="J74" s="11" t="str">
        <f t="shared" si="8"/>
        <v/>
      </c>
      <c r="K74" s="12"/>
      <c r="L74" s="11" t="str">
        <f t="shared" si="9"/>
        <v/>
      </c>
      <c r="M74" s="12"/>
      <c r="N74" s="12"/>
      <c r="O74" s="11" t="str">
        <f t="shared" si="10"/>
        <v/>
      </c>
      <c r="P74" s="10" t="str">
        <f t="shared" si="11"/>
        <v/>
      </c>
    </row>
    <row r="75" spans="1:16" ht="15" customHeight="1" x14ac:dyDescent="0.2">
      <c r="A75" s="8"/>
      <c r="B75" s="8"/>
      <c r="C75" s="8"/>
      <c r="D75" s="9"/>
      <c r="E75" s="9"/>
      <c r="F75" s="8"/>
      <c r="G75" s="10" t="str">
        <f t="shared" si="6"/>
        <v/>
      </c>
      <c r="H75" s="10" t="str">
        <f t="shared" si="7"/>
        <v/>
      </c>
      <c r="I75" s="11" t="str">
        <f>IF(B75="Recreation",IFERROR(INDEX(RecPricing!$E$5:$E$10,MATCH(IF(C75="Mixed","External",IF(C75="Unknown","UoB",C75))&amp;"|"&amp;IF(F75&lt;=24,"&lt;=24",IF(F75&lt;=32,"&lt;=32","Above32")),RecPricing!$F$5:$F$10,0)),""),IFERROR(INDEX(Reference!$E$5:$E$12,MATCH(B75&amp;"|"&amp;IF(C75="Mixed","External",IF(C75="Unknown","UoB",C75))&amp;"|"&amp;IF(F75&lt;=32,"32","40"),Reference!$D$5:$D$12,0)),""))</f>
        <v/>
      </c>
      <c r="J75" s="11" t="str">
        <f t="shared" si="8"/>
        <v/>
      </c>
      <c r="K75" s="12"/>
      <c r="L75" s="11" t="str">
        <f t="shared" si="9"/>
        <v/>
      </c>
      <c r="M75" s="12"/>
      <c r="N75" s="12"/>
      <c r="O75" s="11" t="str">
        <f t="shared" si="10"/>
        <v/>
      </c>
      <c r="P75" s="10" t="str">
        <f t="shared" si="11"/>
        <v/>
      </c>
    </row>
    <row r="76" spans="1:16" ht="15" customHeight="1" x14ac:dyDescent="0.2">
      <c r="A76" s="8"/>
      <c r="B76" s="8"/>
      <c r="C76" s="8"/>
      <c r="D76" s="9"/>
      <c r="E76" s="9"/>
      <c r="F76" s="8"/>
      <c r="G76" s="10" t="str">
        <f t="shared" si="6"/>
        <v/>
      </c>
      <c r="H76" s="10" t="str">
        <f t="shared" si="7"/>
        <v/>
      </c>
      <c r="I76" s="11" t="str">
        <f>IF(B76="Recreation",IFERROR(INDEX(RecPricing!$E$5:$E$10,MATCH(IF(C76="Mixed","External",IF(C76="Unknown","UoB",C76))&amp;"|"&amp;IF(F76&lt;=24,"&lt;=24",IF(F76&lt;=32,"&lt;=32","Above32")),RecPricing!$F$5:$F$10,0)),""),IFERROR(INDEX(Reference!$E$5:$E$12,MATCH(B76&amp;"|"&amp;IF(C76="Mixed","External",IF(C76="Unknown","UoB",C76))&amp;"|"&amp;IF(F76&lt;=32,"32","40"),Reference!$D$5:$D$12,0)),""))</f>
        <v/>
      </c>
      <c r="J76" s="11" t="str">
        <f t="shared" si="8"/>
        <v/>
      </c>
      <c r="K76" s="12"/>
      <c r="L76" s="11" t="str">
        <f t="shared" si="9"/>
        <v/>
      </c>
      <c r="M76" s="12"/>
      <c r="N76" s="12"/>
      <c r="O76" s="11" t="str">
        <f t="shared" si="10"/>
        <v/>
      </c>
      <c r="P76" s="10" t="str">
        <f t="shared" si="11"/>
        <v/>
      </c>
    </row>
    <row r="77" spans="1:16" ht="15" customHeight="1" x14ac:dyDescent="0.2">
      <c r="A77" s="8"/>
      <c r="B77" s="8"/>
      <c r="C77" s="8"/>
      <c r="D77" s="9"/>
      <c r="E77" s="9"/>
      <c r="F77" s="8"/>
      <c r="G77" s="10" t="str">
        <f t="shared" si="6"/>
        <v/>
      </c>
      <c r="H77" s="10" t="str">
        <f t="shared" si="7"/>
        <v/>
      </c>
      <c r="I77" s="11" t="str">
        <f>IF(B77="Recreation",IFERROR(INDEX(RecPricing!$E$5:$E$10,MATCH(IF(C77="Mixed","External",IF(C77="Unknown","UoB",C77))&amp;"|"&amp;IF(F77&lt;=24,"&lt;=24",IF(F77&lt;=32,"&lt;=32","Above32")),RecPricing!$F$5:$F$10,0)),""),IFERROR(INDEX(Reference!$E$5:$E$12,MATCH(B77&amp;"|"&amp;IF(C77="Mixed","External",IF(C77="Unknown","UoB",C77))&amp;"|"&amp;IF(F77&lt;=32,"32","40"),Reference!$D$5:$D$12,0)),""))</f>
        <v/>
      </c>
      <c r="J77" s="11" t="str">
        <f t="shared" si="8"/>
        <v/>
      </c>
      <c r="K77" s="12"/>
      <c r="L77" s="11" t="str">
        <f t="shared" si="9"/>
        <v/>
      </c>
      <c r="M77" s="12"/>
      <c r="N77" s="12"/>
      <c r="O77" s="11" t="str">
        <f t="shared" si="10"/>
        <v/>
      </c>
      <c r="P77" s="10" t="str">
        <f t="shared" si="11"/>
        <v/>
      </c>
    </row>
    <row r="78" spans="1:16" ht="15" customHeight="1" x14ac:dyDescent="0.2">
      <c r="A78" s="8"/>
      <c r="B78" s="8"/>
      <c r="C78" s="8"/>
      <c r="D78" s="9"/>
      <c r="E78" s="9"/>
      <c r="F78" s="8"/>
      <c r="G78" s="10" t="str">
        <f t="shared" si="6"/>
        <v/>
      </c>
      <c r="H78" s="10" t="str">
        <f t="shared" si="7"/>
        <v/>
      </c>
      <c r="I78" s="11" t="str">
        <f>IF(B78="Recreation",IFERROR(INDEX(RecPricing!$E$5:$E$10,MATCH(IF(C78="Mixed","External",IF(C78="Unknown","UoB",C78))&amp;"|"&amp;IF(F78&lt;=24,"&lt;=24",IF(F78&lt;=32,"&lt;=32","Above32")),RecPricing!$F$5:$F$10,0)),""),IFERROR(INDEX(Reference!$E$5:$E$12,MATCH(B78&amp;"|"&amp;IF(C78="Mixed","External",IF(C78="Unknown","UoB",C78))&amp;"|"&amp;IF(F78&lt;=32,"32","40"),Reference!$D$5:$D$12,0)),""))</f>
        <v/>
      </c>
      <c r="J78" s="11" t="str">
        <f t="shared" si="8"/>
        <v/>
      </c>
      <c r="K78" s="12"/>
      <c r="L78" s="11" t="str">
        <f t="shared" si="9"/>
        <v/>
      </c>
      <c r="M78" s="12"/>
      <c r="N78" s="12"/>
      <c r="O78" s="11" t="str">
        <f t="shared" si="10"/>
        <v/>
      </c>
      <c r="P78" s="10" t="str">
        <f t="shared" si="11"/>
        <v/>
      </c>
    </row>
    <row r="79" spans="1:16" ht="15" customHeight="1" x14ac:dyDescent="0.2">
      <c r="A79" s="8"/>
      <c r="B79" s="8"/>
      <c r="C79" s="8"/>
      <c r="D79" s="9"/>
      <c r="E79" s="9"/>
      <c r="F79" s="8"/>
      <c r="G79" s="10" t="str">
        <f t="shared" si="6"/>
        <v/>
      </c>
      <c r="H79" s="10" t="str">
        <f t="shared" si="7"/>
        <v/>
      </c>
      <c r="I79" s="11" t="str">
        <f>IF(B79="Recreation",IFERROR(INDEX(RecPricing!$E$5:$E$10,MATCH(IF(C79="Mixed","External",IF(C79="Unknown","UoB",C79))&amp;"|"&amp;IF(F79&lt;=24,"&lt;=24",IF(F79&lt;=32,"&lt;=32","Above32")),RecPricing!$F$5:$F$10,0)),""),IFERROR(INDEX(Reference!$E$5:$E$12,MATCH(B79&amp;"|"&amp;IF(C79="Mixed","External",IF(C79="Unknown","UoB",C79))&amp;"|"&amp;IF(F79&lt;=32,"32","40"),Reference!$D$5:$D$12,0)),""))</f>
        <v/>
      </c>
      <c r="J79" s="11" t="str">
        <f t="shared" si="8"/>
        <v/>
      </c>
      <c r="K79" s="12"/>
      <c r="L79" s="11" t="str">
        <f t="shared" si="9"/>
        <v/>
      </c>
      <c r="M79" s="12"/>
      <c r="N79" s="12"/>
      <c r="O79" s="11" t="str">
        <f t="shared" si="10"/>
        <v/>
      </c>
      <c r="P79" s="10" t="str">
        <f t="shared" si="11"/>
        <v/>
      </c>
    </row>
    <row r="80" spans="1:16" ht="15" customHeight="1" x14ac:dyDescent="0.2">
      <c r="A80" s="8"/>
      <c r="B80" s="8"/>
      <c r="C80" s="8"/>
      <c r="D80" s="9"/>
      <c r="E80" s="9"/>
      <c r="F80" s="8"/>
      <c r="G80" s="10" t="str">
        <f t="shared" si="6"/>
        <v/>
      </c>
      <c r="H80" s="10" t="str">
        <f t="shared" si="7"/>
        <v/>
      </c>
      <c r="I80" s="11" t="str">
        <f>IF(B80="Recreation",IFERROR(INDEX(RecPricing!$E$5:$E$10,MATCH(IF(C80="Mixed","External",IF(C80="Unknown","UoB",C80))&amp;"|"&amp;IF(F80&lt;=24,"&lt;=24",IF(F80&lt;=32,"&lt;=32","Above32")),RecPricing!$F$5:$F$10,0)),""),IFERROR(INDEX(Reference!$E$5:$E$12,MATCH(B80&amp;"|"&amp;IF(C80="Mixed","External",IF(C80="Unknown","UoB",C80))&amp;"|"&amp;IF(F80&lt;=32,"32","40"),Reference!$D$5:$D$12,0)),""))</f>
        <v/>
      </c>
      <c r="J80" s="11" t="str">
        <f t="shared" si="8"/>
        <v/>
      </c>
      <c r="K80" s="12"/>
      <c r="L80" s="11" t="str">
        <f t="shared" si="9"/>
        <v/>
      </c>
      <c r="M80" s="12"/>
      <c r="N80" s="12"/>
      <c r="O80" s="11" t="str">
        <f t="shared" si="10"/>
        <v/>
      </c>
      <c r="P80" s="10" t="str">
        <f t="shared" si="11"/>
        <v/>
      </c>
    </row>
    <row r="81" spans="1:16" ht="15" customHeight="1" x14ac:dyDescent="0.2">
      <c r="A81" s="8"/>
      <c r="B81" s="8"/>
      <c r="C81" s="8"/>
      <c r="D81" s="9"/>
      <c r="E81" s="9"/>
      <c r="F81" s="8"/>
      <c r="G81" s="10" t="str">
        <f t="shared" si="6"/>
        <v/>
      </c>
      <c r="H81" s="10" t="str">
        <f t="shared" si="7"/>
        <v/>
      </c>
      <c r="I81" s="11" t="str">
        <f>IF(B81="Recreation",IFERROR(INDEX(RecPricing!$E$5:$E$10,MATCH(IF(C81="Mixed","External",IF(C81="Unknown","UoB",C81))&amp;"|"&amp;IF(F81&lt;=24,"&lt;=24",IF(F81&lt;=32,"&lt;=32","Above32")),RecPricing!$F$5:$F$10,0)),""),IFERROR(INDEX(Reference!$E$5:$E$12,MATCH(B81&amp;"|"&amp;IF(C81="Mixed","External",IF(C81="Unknown","UoB",C81))&amp;"|"&amp;IF(F81&lt;=32,"32","40"),Reference!$D$5:$D$12,0)),""))</f>
        <v/>
      </c>
      <c r="J81" s="11" t="str">
        <f t="shared" si="8"/>
        <v/>
      </c>
      <c r="K81" s="12"/>
      <c r="L81" s="11" t="str">
        <f t="shared" si="9"/>
        <v/>
      </c>
      <c r="M81" s="12"/>
      <c r="N81" s="12"/>
      <c r="O81" s="11" t="str">
        <f t="shared" si="10"/>
        <v/>
      </c>
      <c r="P81" s="10" t="str">
        <f t="shared" si="11"/>
        <v/>
      </c>
    </row>
    <row r="82" spans="1:16" ht="15" customHeight="1" x14ac:dyDescent="0.2">
      <c r="A82" s="8"/>
      <c r="B82" s="8"/>
      <c r="C82" s="8"/>
      <c r="D82" s="9"/>
      <c r="E82" s="9"/>
      <c r="F82" s="8"/>
      <c r="G82" s="10" t="str">
        <f t="shared" si="6"/>
        <v/>
      </c>
      <c r="H82" s="10" t="str">
        <f t="shared" si="7"/>
        <v/>
      </c>
      <c r="I82" s="11" t="str">
        <f>IF(B82="Recreation",IFERROR(INDEX(RecPricing!$E$5:$E$10,MATCH(IF(C82="Mixed","External",IF(C82="Unknown","UoB",C82))&amp;"|"&amp;IF(F82&lt;=24,"&lt;=24",IF(F82&lt;=32,"&lt;=32","Above32")),RecPricing!$F$5:$F$10,0)),""),IFERROR(INDEX(Reference!$E$5:$E$12,MATCH(B82&amp;"|"&amp;IF(C82="Mixed","External",IF(C82="Unknown","UoB",C82))&amp;"|"&amp;IF(F82&lt;=32,"32","40"),Reference!$D$5:$D$12,0)),""))</f>
        <v/>
      </c>
      <c r="J82" s="11" t="str">
        <f t="shared" si="8"/>
        <v/>
      </c>
      <c r="K82" s="12"/>
      <c r="L82" s="11" t="str">
        <f t="shared" si="9"/>
        <v/>
      </c>
      <c r="M82" s="12"/>
      <c r="N82" s="12"/>
      <c r="O82" s="11" t="str">
        <f t="shared" si="10"/>
        <v/>
      </c>
      <c r="P82" s="10" t="str">
        <f t="shared" si="11"/>
        <v/>
      </c>
    </row>
    <row r="83" spans="1:16" ht="15" customHeight="1" x14ac:dyDescent="0.2">
      <c r="A83" s="8"/>
      <c r="B83" s="8"/>
      <c r="C83" s="8"/>
      <c r="D83" s="9"/>
      <c r="E83" s="9"/>
      <c r="F83" s="8"/>
      <c r="G83" s="10" t="str">
        <f t="shared" si="6"/>
        <v/>
      </c>
      <c r="H83" s="10" t="str">
        <f t="shared" si="7"/>
        <v/>
      </c>
      <c r="I83" s="11" t="str">
        <f>IF(B83="Recreation",IFERROR(INDEX(RecPricing!$E$5:$E$10,MATCH(IF(C83="Mixed","External",IF(C83="Unknown","UoB",C83))&amp;"|"&amp;IF(F83&lt;=24,"&lt;=24",IF(F83&lt;=32,"&lt;=32","Above32")),RecPricing!$F$5:$F$10,0)),""),IFERROR(INDEX(Reference!$E$5:$E$12,MATCH(B83&amp;"|"&amp;IF(C83="Mixed","External",IF(C83="Unknown","UoB",C83))&amp;"|"&amp;IF(F83&lt;=32,"32","40"),Reference!$D$5:$D$12,0)),""))</f>
        <v/>
      </c>
      <c r="J83" s="11" t="str">
        <f t="shared" si="8"/>
        <v/>
      </c>
      <c r="K83" s="12"/>
      <c r="L83" s="11" t="str">
        <f t="shared" si="9"/>
        <v/>
      </c>
      <c r="M83" s="12"/>
      <c r="N83" s="12"/>
      <c r="O83" s="11" t="str">
        <f t="shared" si="10"/>
        <v/>
      </c>
      <c r="P83" s="10" t="str">
        <f t="shared" si="11"/>
        <v/>
      </c>
    </row>
    <row r="84" spans="1:16" ht="15" customHeight="1" x14ac:dyDescent="0.2">
      <c r="A84" s="8"/>
      <c r="B84" s="8"/>
      <c r="C84" s="8"/>
      <c r="D84" s="9"/>
      <c r="E84" s="9"/>
      <c r="F84" s="8"/>
      <c r="G84" s="10" t="str">
        <f t="shared" si="6"/>
        <v/>
      </c>
      <c r="H84" s="10" t="str">
        <f t="shared" si="7"/>
        <v/>
      </c>
      <c r="I84" s="11" t="str">
        <f>IF(B84="Recreation",IFERROR(INDEX(RecPricing!$E$5:$E$10,MATCH(IF(C84="Mixed","External",IF(C84="Unknown","UoB",C84))&amp;"|"&amp;IF(F84&lt;=24,"&lt;=24",IF(F84&lt;=32,"&lt;=32","Above32")),RecPricing!$F$5:$F$10,0)),""),IFERROR(INDEX(Reference!$E$5:$E$12,MATCH(B84&amp;"|"&amp;IF(C84="Mixed","External",IF(C84="Unknown","UoB",C84))&amp;"|"&amp;IF(F84&lt;=32,"32","40"),Reference!$D$5:$D$12,0)),""))</f>
        <v/>
      </c>
      <c r="J84" s="11" t="str">
        <f t="shared" si="8"/>
        <v/>
      </c>
      <c r="K84" s="12"/>
      <c r="L84" s="11" t="str">
        <f t="shared" si="9"/>
        <v/>
      </c>
      <c r="M84" s="12"/>
      <c r="N84" s="12"/>
      <c r="O84" s="11" t="str">
        <f t="shared" si="10"/>
        <v/>
      </c>
      <c r="P84" s="10" t="str">
        <f t="shared" si="11"/>
        <v/>
      </c>
    </row>
    <row r="85" spans="1:16" ht="15" customHeight="1" x14ac:dyDescent="0.2">
      <c r="A85" s="8"/>
      <c r="B85" s="8"/>
      <c r="C85" s="8"/>
      <c r="D85" s="9"/>
      <c r="E85" s="9"/>
      <c r="F85" s="8"/>
      <c r="G85" s="10" t="str">
        <f t="shared" si="6"/>
        <v/>
      </c>
      <c r="H85" s="10" t="str">
        <f t="shared" si="7"/>
        <v/>
      </c>
      <c r="I85" s="11" t="str">
        <f>IF(B85="Recreation",IFERROR(INDEX(RecPricing!$E$5:$E$10,MATCH(IF(C85="Mixed","External",IF(C85="Unknown","UoB",C85))&amp;"|"&amp;IF(F85&lt;=24,"&lt;=24",IF(F85&lt;=32,"&lt;=32","Above32")),RecPricing!$F$5:$F$10,0)),""),IFERROR(INDEX(Reference!$E$5:$E$12,MATCH(B85&amp;"|"&amp;IF(C85="Mixed","External",IF(C85="Unknown","UoB",C85))&amp;"|"&amp;IF(F85&lt;=32,"32","40"),Reference!$D$5:$D$12,0)),""))</f>
        <v/>
      </c>
      <c r="J85" s="11" t="str">
        <f t="shared" si="8"/>
        <v/>
      </c>
      <c r="K85" s="12"/>
      <c r="L85" s="11" t="str">
        <f t="shared" si="9"/>
        <v/>
      </c>
      <c r="M85" s="12"/>
      <c r="N85" s="12"/>
      <c r="O85" s="11" t="str">
        <f t="shared" si="10"/>
        <v/>
      </c>
      <c r="P85" s="10" t="str">
        <f t="shared" si="11"/>
        <v/>
      </c>
    </row>
    <row r="86" spans="1:16" ht="15" customHeight="1" x14ac:dyDescent="0.2">
      <c r="A86" s="8"/>
      <c r="B86" s="8"/>
      <c r="C86" s="8"/>
      <c r="D86" s="9"/>
      <c r="E86" s="9"/>
      <c r="F86" s="8"/>
      <c r="G86" s="10" t="str">
        <f t="shared" si="6"/>
        <v/>
      </c>
      <c r="H86" s="10" t="str">
        <f t="shared" si="7"/>
        <v/>
      </c>
      <c r="I86" s="11" t="str">
        <f>IF(B86="Recreation",IFERROR(INDEX(RecPricing!$E$5:$E$10,MATCH(IF(C86="Mixed","External",IF(C86="Unknown","UoB",C86))&amp;"|"&amp;IF(F86&lt;=24,"&lt;=24",IF(F86&lt;=32,"&lt;=32","Above32")),RecPricing!$F$5:$F$10,0)),""),IFERROR(INDEX(Reference!$E$5:$E$12,MATCH(B86&amp;"|"&amp;IF(C86="Mixed","External",IF(C86="Unknown","UoB",C86))&amp;"|"&amp;IF(F86&lt;=32,"32","40"),Reference!$D$5:$D$12,0)),""))</f>
        <v/>
      </c>
      <c r="J86" s="11" t="str">
        <f t="shared" si="8"/>
        <v/>
      </c>
      <c r="K86" s="12"/>
      <c r="L86" s="11" t="str">
        <f t="shared" si="9"/>
        <v/>
      </c>
      <c r="M86" s="12"/>
      <c r="N86" s="12"/>
      <c r="O86" s="11" t="str">
        <f t="shared" si="10"/>
        <v/>
      </c>
      <c r="P86" s="10" t="str">
        <f t="shared" si="11"/>
        <v/>
      </c>
    </row>
    <row r="87" spans="1:16" ht="15" customHeight="1" x14ac:dyDescent="0.2">
      <c r="A87" s="8"/>
      <c r="B87" s="8"/>
      <c r="C87" s="8"/>
      <c r="D87" s="9"/>
      <c r="E87" s="9"/>
      <c r="F87" s="8"/>
      <c r="G87" s="10" t="str">
        <f t="shared" si="6"/>
        <v/>
      </c>
      <c r="H87" s="10" t="str">
        <f t="shared" si="7"/>
        <v/>
      </c>
      <c r="I87" s="11" t="str">
        <f>IF(B87="Recreation",IFERROR(INDEX(RecPricing!$E$5:$E$10,MATCH(IF(C87="Mixed","External",IF(C87="Unknown","UoB",C87))&amp;"|"&amp;IF(F87&lt;=24,"&lt;=24",IF(F87&lt;=32,"&lt;=32","Above32")),RecPricing!$F$5:$F$10,0)),""),IFERROR(INDEX(Reference!$E$5:$E$12,MATCH(B87&amp;"|"&amp;IF(C87="Mixed","External",IF(C87="Unknown","UoB",C87))&amp;"|"&amp;IF(F87&lt;=32,"32","40"),Reference!$D$5:$D$12,0)),""))</f>
        <v/>
      </c>
      <c r="J87" s="11" t="str">
        <f t="shared" si="8"/>
        <v/>
      </c>
      <c r="K87" s="12"/>
      <c r="L87" s="11" t="str">
        <f t="shared" si="9"/>
        <v/>
      </c>
      <c r="M87" s="12"/>
      <c r="N87" s="12"/>
      <c r="O87" s="11" t="str">
        <f t="shared" si="10"/>
        <v/>
      </c>
      <c r="P87" s="10" t="str">
        <f t="shared" si="11"/>
        <v/>
      </c>
    </row>
    <row r="88" spans="1:16" ht="15" customHeight="1" x14ac:dyDescent="0.2">
      <c r="A88" s="8"/>
      <c r="B88" s="8"/>
      <c r="C88" s="8"/>
      <c r="D88" s="9"/>
      <c r="E88" s="9"/>
      <c r="F88" s="8"/>
      <c r="G88" s="10" t="str">
        <f t="shared" si="6"/>
        <v/>
      </c>
      <c r="H88" s="10" t="str">
        <f t="shared" si="7"/>
        <v/>
      </c>
      <c r="I88" s="11" t="str">
        <f>IF(B88="Recreation",IFERROR(INDEX(RecPricing!$E$5:$E$10,MATCH(IF(C88="Mixed","External",IF(C88="Unknown","UoB",C88))&amp;"|"&amp;IF(F88&lt;=24,"&lt;=24",IF(F88&lt;=32,"&lt;=32","Above32")),RecPricing!$F$5:$F$10,0)),""),IFERROR(INDEX(Reference!$E$5:$E$12,MATCH(B88&amp;"|"&amp;IF(C88="Mixed","External",IF(C88="Unknown","UoB",C88))&amp;"|"&amp;IF(F88&lt;=32,"32","40"),Reference!$D$5:$D$12,0)),""))</f>
        <v/>
      </c>
      <c r="J88" s="11" t="str">
        <f t="shared" si="8"/>
        <v/>
      </c>
      <c r="K88" s="12"/>
      <c r="L88" s="11" t="str">
        <f t="shared" si="9"/>
        <v/>
      </c>
      <c r="M88" s="12"/>
      <c r="N88" s="12"/>
      <c r="O88" s="11" t="str">
        <f t="shared" si="10"/>
        <v/>
      </c>
      <c r="P88" s="10" t="str">
        <f t="shared" si="11"/>
        <v/>
      </c>
    </row>
    <row r="89" spans="1:16" ht="15" customHeight="1" x14ac:dyDescent="0.2">
      <c r="A89" s="8"/>
      <c r="B89" s="8"/>
      <c r="C89" s="8"/>
      <c r="D89" s="9"/>
      <c r="E89" s="9"/>
      <c r="F89" s="8"/>
      <c r="G89" s="10" t="str">
        <f t="shared" si="6"/>
        <v/>
      </c>
      <c r="H89" s="10" t="str">
        <f t="shared" si="7"/>
        <v/>
      </c>
      <c r="I89" s="11" t="str">
        <f>IF(B89="Recreation",IFERROR(INDEX(RecPricing!$E$5:$E$10,MATCH(IF(C89="Mixed","External",IF(C89="Unknown","UoB",C89))&amp;"|"&amp;IF(F89&lt;=24,"&lt;=24",IF(F89&lt;=32,"&lt;=32","Above32")),RecPricing!$F$5:$F$10,0)),""),IFERROR(INDEX(Reference!$E$5:$E$12,MATCH(B89&amp;"|"&amp;IF(C89="Mixed","External",IF(C89="Unknown","UoB",C89))&amp;"|"&amp;IF(F89&lt;=32,"32","40"),Reference!$D$5:$D$12,0)),""))</f>
        <v/>
      </c>
      <c r="J89" s="11" t="str">
        <f t="shared" si="8"/>
        <v/>
      </c>
      <c r="K89" s="12"/>
      <c r="L89" s="11" t="str">
        <f t="shared" si="9"/>
        <v/>
      </c>
      <c r="M89" s="12"/>
      <c r="N89" s="12"/>
      <c r="O89" s="11" t="str">
        <f t="shared" si="10"/>
        <v/>
      </c>
      <c r="P89" s="10" t="str">
        <f t="shared" si="11"/>
        <v/>
      </c>
    </row>
    <row r="90" spans="1:16" ht="15" customHeight="1" x14ac:dyDescent="0.2">
      <c r="A90" s="8"/>
      <c r="B90" s="8"/>
      <c r="C90" s="8"/>
      <c r="D90" s="9"/>
      <c r="E90" s="9"/>
      <c r="F90" s="8"/>
      <c r="G90" s="10" t="str">
        <f t="shared" si="6"/>
        <v/>
      </c>
      <c r="H90" s="10" t="str">
        <f t="shared" si="7"/>
        <v/>
      </c>
      <c r="I90" s="11" t="str">
        <f>IF(B90="Recreation",IFERROR(INDEX(RecPricing!$E$5:$E$10,MATCH(IF(C90="Mixed","External",IF(C90="Unknown","UoB",C90))&amp;"|"&amp;IF(F90&lt;=24,"&lt;=24",IF(F90&lt;=32,"&lt;=32","Above32")),RecPricing!$F$5:$F$10,0)),""),IFERROR(INDEX(Reference!$E$5:$E$12,MATCH(B90&amp;"|"&amp;IF(C90="Mixed","External",IF(C90="Unknown","UoB",C90))&amp;"|"&amp;IF(F90&lt;=32,"32","40"),Reference!$D$5:$D$12,0)),""))</f>
        <v/>
      </c>
      <c r="J90" s="11" t="str">
        <f t="shared" si="8"/>
        <v/>
      </c>
      <c r="K90" s="12"/>
      <c r="L90" s="11" t="str">
        <f t="shared" si="9"/>
        <v/>
      </c>
      <c r="M90" s="12"/>
      <c r="N90" s="12"/>
      <c r="O90" s="11" t="str">
        <f t="shared" si="10"/>
        <v/>
      </c>
      <c r="P90" s="10" t="str">
        <f t="shared" si="11"/>
        <v/>
      </c>
    </row>
    <row r="91" spans="1:16" ht="15" customHeight="1" x14ac:dyDescent="0.2">
      <c r="A91" s="8"/>
      <c r="B91" s="8"/>
      <c r="C91" s="8"/>
      <c r="D91" s="9"/>
      <c r="E91" s="9"/>
      <c r="F91" s="8"/>
      <c r="G91" s="10" t="str">
        <f t="shared" si="6"/>
        <v/>
      </c>
      <c r="H91" s="10" t="str">
        <f t="shared" si="7"/>
        <v/>
      </c>
      <c r="I91" s="11" t="str">
        <f>IF(B91="Recreation",IFERROR(INDEX(RecPricing!$E$5:$E$10,MATCH(IF(C91="Mixed","External",IF(C91="Unknown","UoB",C91))&amp;"|"&amp;IF(F91&lt;=24,"&lt;=24",IF(F91&lt;=32,"&lt;=32","Above32")),RecPricing!$F$5:$F$10,0)),""),IFERROR(INDEX(Reference!$E$5:$E$12,MATCH(B91&amp;"|"&amp;IF(C91="Mixed","External",IF(C91="Unknown","UoB",C91))&amp;"|"&amp;IF(F91&lt;=32,"32","40"),Reference!$D$5:$D$12,0)),""))</f>
        <v/>
      </c>
      <c r="J91" s="11" t="str">
        <f t="shared" si="8"/>
        <v/>
      </c>
      <c r="K91" s="12"/>
      <c r="L91" s="11" t="str">
        <f t="shared" si="9"/>
        <v/>
      </c>
      <c r="M91" s="12"/>
      <c r="N91" s="12"/>
      <c r="O91" s="11" t="str">
        <f t="shared" si="10"/>
        <v/>
      </c>
      <c r="P91" s="10" t="str">
        <f t="shared" si="11"/>
        <v/>
      </c>
    </row>
    <row r="92" spans="1:16" ht="15" customHeight="1" x14ac:dyDescent="0.2">
      <c r="A92" s="8"/>
      <c r="B92" s="8"/>
      <c r="C92" s="8"/>
      <c r="D92" s="9"/>
      <c r="E92" s="9"/>
      <c r="F92" s="8"/>
      <c r="G92" s="10" t="str">
        <f t="shared" si="6"/>
        <v/>
      </c>
      <c r="H92" s="10" t="str">
        <f t="shared" si="7"/>
        <v/>
      </c>
      <c r="I92" s="11" t="str">
        <f>IF(B92="Recreation",IFERROR(INDEX(RecPricing!$E$5:$E$10,MATCH(IF(C92="Mixed","External",IF(C92="Unknown","UoB",C92))&amp;"|"&amp;IF(F92&lt;=24,"&lt;=24",IF(F92&lt;=32,"&lt;=32","Above32")),RecPricing!$F$5:$F$10,0)),""),IFERROR(INDEX(Reference!$E$5:$E$12,MATCH(B92&amp;"|"&amp;IF(C92="Mixed","External",IF(C92="Unknown","UoB",C92))&amp;"|"&amp;IF(F92&lt;=32,"32","40"),Reference!$D$5:$D$12,0)),""))</f>
        <v/>
      </c>
      <c r="J92" s="11" t="str">
        <f t="shared" si="8"/>
        <v/>
      </c>
      <c r="K92" s="12"/>
      <c r="L92" s="11" t="str">
        <f t="shared" si="9"/>
        <v/>
      </c>
      <c r="M92" s="12"/>
      <c r="N92" s="12"/>
      <c r="O92" s="11" t="str">
        <f t="shared" si="10"/>
        <v/>
      </c>
      <c r="P92" s="10" t="str">
        <f t="shared" si="11"/>
        <v/>
      </c>
    </row>
    <row r="93" spans="1:16" ht="15" customHeight="1" x14ac:dyDescent="0.2">
      <c r="A93" s="8"/>
      <c r="B93" s="8"/>
      <c r="C93" s="8"/>
      <c r="D93" s="9"/>
      <c r="E93" s="9"/>
      <c r="F93" s="8"/>
      <c r="G93" s="10" t="str">
        <f t="shared" si="6"/>
        <v/>
      </c>
      <c r="H93" s="10" t="str">
        <f t="shared" si="7"/>
        <v/>
      </c>
      <c r="I93" s="11" t="str">
        <f>IF(B93="Recreation",IFERROR(INDEX(RecPricing!$E$5:$E$10,MATCH(IF(C93="Mixed","External",IF(C93="Unknown","UoB",C93))&amp;"|"&amp;IF(F93&lt;=24,"&lt;=24",IF(F93&lt;=32,"&lt;=32","Above32")),RecPricing!$F$5:$F$10,0)),""),IFERROR(INDEX(Reference!$E$5:$E$12,MATCH(B93&amp;"|"&amp;IF(C93="Mixed","External",IF(C93="Unknown","UoB",C93))&amp;"|"&amp;IF(F93&lt;=32,"32","40"),Reference!$D$5:$D$12,0)),""))</f>
        <v/>
      </c>
      <c r="J93" s="11" t="str">
        <f t="shared" si="8"/>
        <v/>
      </c>
      <c r="K93" s="12"/>
      <c r="L93" s="11" t="str">
        <f t="shared" si="9"/>
        <v/>
      </c>
      <c r="M93" s="12"/>
      <c r="N93" s="12"/>
      <c r="O93" s="11" t="str">
        <f t="shared" si="10"/>
        <v/>
      </c>
      <c r="P93" s="10" t="str">
        <f t="shared" si="11"/>
        <v/>
      </c>
    </row>
    <row r="94" spans="1:16" ht="15" customHeight="1" x14ac:dyDescent="0.2">
      <c r="A94" s="8"/>
      <c r="B94" s="8"/>
      <c r="C94" s="8"/>
      <c r="D94" s="9"/>
      <c r="E94" s="9"/>
      <c r="F94" s="8"/>
      <c r="G94" s="10" t="str">
        <f t="shared" si="6"/>
        <v/>
      </c>
      <c r="H94" s="10" t="str">
        <f t="shared" si="7"/>
        <v/>
      </c>
      <c r="I94" s="11" t="str">
        <f>IF(B94="Recreation",IFERROR(INDEX(RecPricing!$E$5:$E$10,MATCH(IF(C94="Mixed","External",IF(C94="Unknown","UoB",C94))&amp;"|"&amp;IF(F94&lt;=24,"&lt;=24",IF(F94&lt;=32,"&lt;=32","Above32")),RecPricing!$F$5:$F$10,0)),""),IFERROR(INDEX(Reference!$E$5:$E$12,MATCH(B94&amp;"|"&amp;IF(C94="Mixed","External",IF(C94="Unknown","UoB",C94))&amp;"|"&amp;IF(F94&lt;=32,"32","40"),Reference!$D$5:$D$12,0)),""))</f>
        <v/>
      </c>
      <c r="J94" s="11" t="str">
        <f t="shared" si="8"/>
        <v/>
      </c>
      <c r="K94" s="12"/>
      <c r="L94" s="11" t="str">
        <f t="shared" si="9"/>
        <v/>
      </c>
      <c r="M94" s="12"/>
      <c r="N94" s="12"/>
      <c r="O94" s="11" t="str">
        <f t="shared" si="10"/>
        <v/>
      </c>
      <c r="P94" s="10" t="str">
        <f t="shared" si="11"/>
        <v/>
      </c>
    </row>
    <row r="95" spans="1:16" ht="15" customHeight="1" x14ac:dyDescent="0.2">
      <c r="A95" s="8"/>
      <c r="B95" s="8"/>
      <c r="C95" s="8"/>
      <c r="D95" s="9"/>
      <c r="E95" s="9"/>
      <c r="F95" s="8"/>
      <c r="G95" s="10" t="str">
        <f t="shared" si="6"/>
        <v/>
      </c>
      <c r="H95" s="10" t="str">
        <f t="shared" si="7"/>
        <v/>
      </c>
      <c r="I95" s="11" t="str">
        <f>IF(B95="Recreation",IFERROR(INDEX(RecPricing!$E$5:$E$10,MATCH(IF(C95="Mixed","External",IF(C95="Unknown","UoB",C95))&amp;"|"&amp;IF(F95&lt;=24,"&lt;=24",IF(F95&lt;=32,"&lt;=32","Above32")),RecPricing!$F$5:$F$10,0)),""),IFERROR(INDEX(Reference!$E$5:$E$12,MATCH(B95&amp;"|"&amp;IF(C95="Mixed","External",IF(C95="Unknown","UoB",C95))&amp;"|"&amp;IF(F95&lt;=32,"32","40"),Reference!$D$5:$D$12,0)),""))</f>
        <v/>
      </c>
      <c r="J95" s="11" t="str">
        <f t="shared" si="8"/>
        <v/>
      </c>
      <c r="K95" s="12"/>
      <c r="L95" s="11" t="str">
        <f t="shared" si="9"/>
        <v/>
      </c>
      <c r="M95" s="12"/>
      <c r="N95" s="12"/>
      <c r="O95" s="11" t="str">
        <f t="shared" si="10"/>
        <v/>
      </c>
      <c r="P95" s="10" t="str">
        <f t="shared" si="11"/>
        <v/>
      </c>
    </row>
    <row r="96" spans="1:16" ht="15" customHeight="1" x14ac:dyDescent="0.2">
      <c r="A96" s="8"/>
      <c r="B96" s="8"/>
      <c r="C96" s="8"/>
      <c r="D96" s="9"/>
      <c r="E96" s="9"/>
      <c r="F96" s="8"/>
      <c r="G96" s="10" t="str">
        <f t="shared" si="6"/>
        <v/>
      </c>
      <c r="H96" s="10" t="str">
        <f t="shared" si="7"/>
        <v/>
      </c>
      <c r="I96" s="11" t="str">
        <f>IF(B96="Recreation",IFERROR(INDEX(RecPricing!$E$5:$E$10,MATCH(IF(C96="Mixed","External",IF(C96="Unknown","UoB",C96))&amp;"|"&amp;IF(F96&lt;=24,"&lt;=24",IF(F96&lt;=32,"&lt;=32","Above32")),RecPricing!$F$5:$F$10,0)),""),IFERROR(INDEX(Reference!$E$5:$E$12,MATCH(B96&amp;"|"&amp;IF(C96="Mixed","External",IF(C96="Unknown","UoB",C96))&amp;"|"&amp;IF(F96&lt;=32,"32","40"),Reference!$D$5:$D$12,0)),""))</f>
        <v/>
      </c>
      <c r="J96" s="11" t="str">
        <f t="shared" si="8"/>
        <v/>
      </c>
      <c r="K96" s="12"/>
      <c r="L96" s="11" t="str">
        <f t="shared" si="9"/>
        <v/>
      </c>
      <c r="M96" s="12"/>
      <c r="N96" s="12"/>
      <c r="O96" s="11" t="str">
        <f t="shared" si="10"/>
        <v/>
      </c>
      <c r="P96" s="10" t="str">
        <f t="shared" si="11"/>
        <v/>
      </c>
    </row>
    <row r="97" spans="1:16" ht="15" customHeight="1" x14ac:dyDescent="0.2">
      <c r="A97" s="8"/>
      <c r="B97" s="8"/>
      <c r="C97" s="8"/>
      <c r="D97" s="9"/>
      <c r="E97" s="9"/>
      <c r="F97" s="8"/>
      <c r="G97" s="10" t="str">
        <f t="shared" si="6"/>
        <v/>
      </c>
      <c r="H97" s="10" t="str">
        <f t="shared" si="7"/>
        <v/>
      </c>
      <c r="I97" s="11" t="str">
        <f>IF(B97="Recreation",IFERROR(INDEX(RecPricing!$E$5:$E$10,MATCH(IF(C97="Mixed","External",IF(C97="Unknown","UoB",C97))&amp;"|"&amp;IF(F97&lt;=24,"&lt;=24",IF(F97&lt;=32,"&lt;=32","Above32")),RecPricing!$F$5:$F$10,0)),""),IFERROR(INDEX(Reference!$E$5:$E$12,MATCH(B97&amp;"|"&amp;IF(C97="Mixed","External",IF(C97="Unknown","UoB",C97))&amp;"|"&amp;IF(F97&lt;=32,"32","40"),Reference!$D$5:$D$12,0)),""))</f>
        <v/>
      </c>
      <c r="J97" s="11" t="str">
        <f t="shared" si="8"/>
        <v/>
      </c>
      <c r="K97" s="12"/>
      <c r="L97" s="11" t="str">
        <f t="shared" si="9"/>
        <v/>
      </c>
      <c r="M97" s="12"/>
      <c r="N97" s="12"/>
      <c r="O97" s="11" t="str">
        <f t="shared" si="10"/>
        <v/>
      </c>
      <c r="P97" s="10" t="str">
        <f t="shared" si="11"/>
        <v/>
      </c>
    </row>
    <row r="98" spans="1:16" ht="15" customHeight="1" x14ac:dyDescent="0.2">
      <c r="A98" s="8"/>
      <c r="B98" s="8"/>
      <c r="C98" s="8"/>
      <c r="D98" s="9"/>
      <c r="E98" s="9"/>
      <c r="F98" s="8"/>
      <c r="G98" s="10" t="str">
        <f t="shared" si="6"/>
        <v/>
      </c>
      <c r="H98" s="10" t="str">
        <f t="shared" si="7"/>
        <v/>
      </c>
      <c r="I98" s="11" t="str">
        <f>IF(B98="Recreation",IFERROR(INDEX(RecPricing!$E$5:$E$10,MATCH(IF(C98="Mixed","External",IF(C98="Unknown","UoB",C98))&amp;"|"&amp;IF(F98&lt;=24,"&lt;=24",IF(F98&lt;=32,"&lt;=32","Above32")),RecPricing!$F$5:$F$10,0)),""),IFERROR(INDEX(Reference!$E$5:$E$12,MATCH(B98&amp;"|"&amp;IF(C98="Mixed","External",IF(C98="Unknown","UoB",C98))&amp;"|"&amp;IF(F98&lt;=32,"32","40"),Reference!$D$5:$D$12,0)),""))</f>
        <v/>
      </c>
      <c r="J98" s="11" t="str">
        <f t="shared" si="8"/>
        <v/>
      </c>
      <c r="K98" s="12"/>
      <c r="L98" s="11" t="str">
        <f t="shared" si="9"/>
        <v/>
      </c>
      <c r="M98" s="12"/>
      <c r="N98" s="12"/>
      <c r="O98" s="11" t="str">
        <f t="shared" si="10"/>
        <v/>
      </c>
      <c r="P98" s="10" t="str">
        <f t="shared" si="11"/>
        <v/>
      </c>
    </row>
    <row r="99" spans="1:16" ht="15" customHeight="1" x14ac:dyDescent="0.2">
      <c r="A99" s="8"/>
      <c r="B99" s="8"/>
      <c r="C99" s="8"/>
      <c r="D99" s="9"/>
      <c r="E99" s="9"/>
      <c r="F99" s="8"/>
      <c r="G99" s="10" t="str">
        <f t="shared" si="6"/>
        <v/>
      </c>
      <c r="H99" s="10" t="str">
        <f t="shared" si="7"/>
        <v/>
      </c>
      <c r="I99" s="11" t="str">
        <f>IF(B99="Recreation",IFERROR(INDEX(RecPricing!$E$5:$E$10,MATCH(IF(C99="Mixed","External",IF(C99="Unknown","UoB",C99))&amp;"|"&amp;IF(F99&lt;=24,"&lt;=24",IF(F99&lt;=32,"&lt;=32","Above32")),RecPricing!$F$5:$F$10,0)),""),IFERROR(INDEX(Reference!$E$5:$E$12,MATCH(B99&amp;"|"&amp;IF(C99="Mixed","External",IF(C99="Unknown","UoB",C99))&amp;"|"&amp;IF(F99&lt;=32,"32","40"),Reference!$D$5:$D$12,0)),""))</f>
        <v/>
      </c>
      <c r="J99" s="11" t="str">
        <f t="shared" si="8"/>
        <v/>
      </c>
      <c r="K99" s="12"/>
      <c r="L99" s="11" t="str">
        <f t="shared" si="9"/>
        <v/>
      </c>
      <c r="M99" s="12"/>
      <c r="N99" s="12"/>
      <c r="O99" s="11" t="str">
        <f t="shared" si="10"/>
        <v/>
      </c>
      <c r="P99" s="10" t="str">
        <f t="shared" si="11"/>
        <v/>
      </c>
    </row>
    <row r="100" spans="1:16" ht="15" customHeight="1" x14ac:dyDescent="0.2">
      <c r="A100" s="8"/>
      <c r="B100" s="8"/>
      <c r="C100" s="8"/>
      <c r="D100" s="9"/>
      <c r="E100" s="9"/>
      <c r="F100" s="8"/>
      <c r="G100" s="10" t="str">
        <f t="shared" si="6"/>
        <v/>
      </c>
      <c r="H100" s="10" t="str">
        <f t="shared" si="7"/>
        <v/>
      </c>
      <c r="I100" s="11" t="str">
        <f>IF(B100="Recreation",IFERROR(INDEX(RecPricing!$E$5:$E$10,MATCH(IF(C100="Mixed","External",IF(C100="Unknown","UoB",C100))&amp;"|"&amp;IF(F100&lt;=24,"&lt;=24",IF(F100&lt;=32,"&lt;=32","Above32")),RecPricing!$F$5:$F$10,0)),""),IFERROR(INDEX(Reference!$E$5:$E$12,MATCH(B100&amp;"|"&amp;IF(C100="Mixed","External",IF(C100="Unknown","UoB",C100))&amp;"|"&amp;IF(F100&lt;=32,"32","40"),Reference!$D$5:$D$12,0)),""))</f>
        <v/>
      </c>
      <c r="J100" s="11" t="str">
        <f t="shared" si="8"/>
        <v/>
      </c>
      <c r="K100" s="12"/>
      <c r="L100" s="11" t="str">
        <f t="shared" si="9"/>
        <v/>
      </c>
      <c r="M100" s="12"/>
      <c r="N100" s="12"/>
      <c r="O100" s="11" t="str">
        <f t="shared" si="10"/>
        <v/>
      </c>
      <c r="P100" s="10" t="str">
        <f t="shared" si="11"/>
        <v/>
      </c>
    </row>
    <row r="101" spans="1:16" ht="15" customHeight="1" x14ac:dyDescent="0.2">
      <c r="A101" s="8"/>
      <c r="B101" s="8"/>
      <c r="C101" s="8"/>
      <c r="D101" s="9"/>
      <c r="E101" s="9"/>
      <c r="F101" s="8"/>
      <c r="G101" s="10" t="str">
        <f t="shared" si="6"/>
        <v/>
      </c>
      <c r="H101" s="10" t="str">
        <f t="shared" si="7"/>
        <v/>
      </c>
      <c r="I101" s="11" t="str">
        <f>IF(B101="Recreation",IFERROR(INDEX(RecPricing!$E$5:$E$10,MATCH(IF(C101="Mixed","External",IF(C101="Unknown","UoB",C101))&amp;"|"&amp;IF(F101&lt;=24,"&lt;=24",IF(F101&lt;=32,"&lt;=32","Above32")),RecPricing!$F$5:$F$10,0)),""),IFERROR(INDEX(Reference!$E$5:$E$12,MATCH(B101&amp;"|"&amp;IF(C101="Mixed","External",IF(C101="Unknown","UoB",C101))&amp;"|"&amp;IF(F101&lt;=32,"32","40"),Reference!$D$5:$D$12,0)),""))</f>
        <v/>
      </c>
      <c r="J101" s="11" t="str">
        <f t="shared" si="8"/>
        <v/>
      </c>
      <c r="K101" s="12"/>
      <c r="L101" s="11" t="str">
        <f t="shared" si="9"/>
        <v/>
      </c>
      <c r="M101" s="12"/>
      <c r="N101" s="12"/>
      <c r="O101" s="11" t="str">
        <f t="shared" si="10"/>
        <v/>
      </c>
      <c r="P101" s="10" t="str">
        <f t="shared" si="11"/>
        <v/>
      </c>
    </row>
    <row r="102" spans="1:16" ht="15" customHeight="1" x14ac:dyDescent="0.2">
      <c r="A102" s="8"/>
      <c r="B102" s="8"/>
      <c r="C102" s="8"/>
      <c r="D102" s="9"/>
      <c r="E102" s="9"/>
      <c r="F102" s="8"/>
      <c r="G102" s="10" t="str">
        <f t="shared" si="6"/>
        <v/>
      </c>
      <c r="H102" s="10" t="str">
        <f t="shared" si="7"/>
        <v/>
      </c>
      <c r="I102" s="11" t="str">
        <f>IF(B102="Recreation",IFERROR(INDEX(RecPricing!$E$5:$E$10,MATCH(IF(C102="Mixed","External",IF(C102="Unknown","UoB",C102))&amp;"|"&amp;IF(F102&lt;=24,"&lt;=24",IF(F102&lt;=32,"&lt;=32","Above32")),RecPricing!$F$5:$F$10,0)),""),IFERROR(INDEX(Reference!$E$5:$E$12,MATCH(B102&amp;"|"&amp;IF(C102="Mixed","External",IF(C102="Unknown","UoB",C102))&amp;"|"&amp;IF(F102&lt;=32,"32","40"),Reference!$D$5:$D$12,0)),""))</f>
        <v/>
      </c>
      <c r="J102" s="11" t="str">
        <f t="shared" si="8"/>
        <v/>
      </c>
      <c r="K102" s="12"/>
      <c r="L102" s="11" t="str">
        <f t="shared" si="9"/>
        <v/>
      </c>
      <c r="M102" s="12"/>
      <c r="N102" s="12"/>
      <c r="O102" s="11" t="str">
        <f t="shared" si="10"/>
        <v/>
      </c>
      <c r="P102" s="10" t="str">
        <f t="shared" si="11"/>
        <v/>
      </c>
    </row>
    <row r="103" spans="1:16" ht="15" customHeight="1" x14ac:dyDescent="0.2">
      <c r="A103" s="8"/>
      <c r="B103" s="8"/>
      <c r="C103" s="8"/>
      <c r="D103" s="9"/>
      <c r="E103" s="9"/>
      <c r="F103" s="8"/>
      <c r="G103" s="10" t="str">
        <f t="shared" si="6"/>
        <v/>
      </c>
      <c r="H103" s="10" t="str">
        <f t="shared" si="7"/>
        <v/>
      </c>
      <c r="I103" s="11" t="str">
        <f>IF(B103="Recreation",IFERROR(INDEX(RecPricing!$E$5:$E$10,MATCH(IF(C103="Mixed","External",IF(C103="Unknown","UoB",C103))&amp;"|"&amp;IF(F103&lt;=24,"&lt;=24",IF(F103&lt;=32,"&lt;=32","Above32")),RecPricing!$F$5:$F$10,0)),""),IFERROR(INDEX(Reference!$E$5:$E$12,MATCH(B103&amp;"|"&amp;IF(C103="Mixed","External",IF(C103="Unknown","UoB",C103))&amp;"|"&amp;IF(F103&lt;=32,"32","40"),Reference!$D$5:$D$12,0)),""))</f>
        <v/>
      </c>
      <c r="J103" s="11" t="str">
        <f t="shared" si="8"/>
        <v/>
      </c>
      <c r="K103" s="12"/>
      <c r="L103" s="11" t="str">
        <f t="shared" si="9"/>
        <v/>
      </c>
      <c r="M103" s="12"/>
      <c r="N103" s="12"/>
      <c r="O103" s="11" t="str">
        <f t="shared" si="10"/>
        <v/>
      </c>
      <c r="P103" s="10" t="str">
        <f t="shared" si="11"/>
        <v/>
      </c>
    </row>
    <row r="104" spans="1:16" ht="15" customHeight="1" x14ac:dyDescent="0.2">
      <c r="A104" s="8"/>
      <c r="B104" s="8"/>
      <c r="C104" s="8"/>
      <c r="D104" s="9"/>
      <c r="E104" s="9"/>
      <c r="F104" s="8"/>
      <c r="G104" s="10" t="str">
        <f t="shared" si="6"/>
        <v/>
      </c>
      <c r="H104" s="10" t="str">
        <f t="shared" si="7"/>
        <v/>
      </c>
      <c r="I104" s="11" t="str">
        <f>IF(B104="Recreation",IFERROR(INDEX(RecPricing!$E$5:$E$10,MATCH(IF(C104="Mixed","External",IF(C104="Unknown","UoB",C104))&amp;"|"&amp;IF(F104&lt;=24,"&lt;=24",IF(F104&lt;=32,"&lt;=32","Above32")),RecPricing!$F$5:$F$10,0)),""),IFERROR(INDEX(Reference!$E$5:$E$12,MATCH(B104&amp;"|"&amp;IF(C104="Mixed","External",IF(C104="Unknown","UoB",C104))&amp;"|"&amp;IF(F104&lt;=32,"32","40"),Reference!$D$5:$D$12,0)),""))</f>
        <v/>
      </c>
      <c r="J104" s="11" t="str">
        <f t="shared" si="8"/>
        <v/>
      </c>
      <c r="K104" s="12"/>
      <c r="L104" s="11" t="str">
        <f t="shared" si="9"/>
        <v/>
      </c>
      <c r="M104" s="12"/>
      <c r="N104" s="12"/>
      <c r="O104" s="11" t="str">
        <f t="shared" si="10"/>
        <v/>
      </c>
      <c r="P104" s="10" t="str">
        <f t="shared" si="11"/>
        <v/>
      </c>
    </row>
    <row r="105" spans="1:16" ht="15" customHeight="1" x14ac:dyDescent="0.2">
      <c r="A105" s="8"/>
      <c r="B105" s="8"/>
      <c r="C105" s="8"/>
      <c r="D105" s="9"/>
      <c r="E105" s="9"/>
      <c r="F105" s="8"/>
      <c r="G105" s="10" t="str">
        <f t="shared" si="6"/>
        <v/>
      </c>
      <c r="H105" s="10" t="str">
        <f t="shared" si="7"/>
        <v/>
      </c>
      <c r="I105" s="11" t="str">
        <f>IF(B105="Recreation",IFERROR(INDEX(RecPricing!$E$5:$E$10,MATCH(IF(C105="Mixed","External",IF(C105="Unknown","UoB",C105))&amp;"|"&amp;IF(F105&lt;=24,"&lt;=24",IF(F105&lt;=32,"&lt;=32","Above32")),RecPricing!$F$5:$F$10,0)),""),IFERROR(INDEX(Reference!$E$5:$E$12,MATCH(B105&amp;"|"&amp;IF(C105="Mixed","External",IF(C105="Unknown","UoB",C105))&amp;"|"&amp;IF(F105&lt;=32,"32","40"),Reference!$D$5:$D$12,0)),""))</f>
        <v/>
      </c>
      <c r="J105" s="11" t="str">
        <f t="shared" si="8"/>
        <v/>
      </c>
      <c r="K105" s="12"/>
      <c r="L105" s="11" t="str">
        <f t="shared" si="9"/>
        <v/>
      </c>
      <c r="M105" s="12"/>
      <c r="N105" s="12"/>
      <c r="O105" s="11" t="str">
        <f t="shared" si="10"/>
        <v/>
      </c>
      <c r="P105" s="10" t="str">
        <f t="shared" si="11"/>
        <v/>
      </c>
    </row>
    <row r="106" spans="1:16" ht="15" customHeight="1" x14ac:dyDescent="0.2">
      <c r="A106" s="8"/>
      <c r="B106" s="8"/>
      <c r="C106" s="8"/>
      <c r="D106" s="9"/>
      <c r="E106" s="9"/>
      <c r="F106" s="8"/>
      <c r="G106" s="10" t="str">
        <f t="shared" si="6"/>
        <v/>
      </c>
      <c r="H106" s="10" t="str">
        <f t="shared" si="7"/>
        <v/>
      </c>
      <c r="I106" s="11" t="str">
        <f>IF(B106="Recreation",IFERROR(INDEX(RecPricing!$E$5:$E$10,MATCH(IF(C106="Mixed","External",IF(C106="Unknown","UoB",C106))&amp;"|"&amp;IF(F106&lt;=24,"&lt;=24",IF(F106&lt;=32,"&lt;=32","Above32")),RecPricing!$F$5:$F$10,0)),""),IFERROR(INDEX(Reference!$E$5:$E$12,MATCH(B106&amp;"|"&amp;IF(C106="Mixed","External",IF(C106="Unknown","UoB",C106))&amp;"|"&amp;IF(F106&lt;=32,"32","40"),Reference!$D$5:$D$12,0)),""))</f>
        <v/>
      </c>
      <c r="J106" s="11" t="str">
        <f t="shared" si="8"/>
        <v/>
      </c>
      <c r="K106" s="12"/>
      <c r="L106" s="11" t="str">
        <f t="shared" si="9"/>
        <v/>
      </c>
      <c r="M106" s="12"/>
      <c r="N106" s="12"/>
      <c r="O106" s="11" t="str">
        <f t="shared" si="10"/>
        <v/>
      </c>
      <c r="P106" s="10" t="str">
        <f t="shared" si="11"/>
        <v/>
      </c>
    </row>
    <row r="107" spans="1:16" ht="15" customHeight="1" x14ac:dyDescent="0.2">
      <c r="A107" s="8"/>
      <c r="B107" s="8"/>
      <c r="C107" s="8"/>
      <c r="D107" s="9"/>
      <c r="E107" s="9"/>
      <c r="F107" s="8"/>
      <c r="G107" s="10" t="str">
        <f t="shared" si="6"/>
        <v/>
      </c>
      <c r="H107" s="10" t="str">
        <f t="shared" si="7"/>
        <v/>
      </c>
      <c r="I107" s="11" t="str">
        <f>IF(B107="Recreation",IFERROR(INDEX(RecPricing!$E$5:$E$10,MATCH(IF(C107="Mixed","External",IF(C107="Unknown","UoB",C107))&amp;"|"&amp;IF(F107&lt;=24,"&lt;=24",IF(F107&lt;=32,"&lt;=32","Above32")),RecPricing!$F$5:$F$10,0)),""),IFERROR(INDEX(Reference!$E$5:$E$12,MATCH(B107&amp;"|"&amp;IF(C107="Mixed","External",IF(C107="Unknown","UoB",C107))&amp;"|"&amp;IF(F107&lt;=32,"32","40"),Reference!$D$5:$D$12,0)),""))</f>
        <v/>
      </c>
      <c r="J107" s="11" t="str">
        <f t="shared" si="8"/>
        <v/>
      </c>
      <c r="K107" s="12"/>
      <c r="L107" s="11" t="str">
        <f t="shared" si="9"/>
        <v/>
      </c>
      <c r="M107" s="12"/>
      <c r="N107" s="12"/>
      <c r="O107" s="11" t="str">
        <f t="shared" si="10"/>
        <v/>
      </c>
      <c r="P107" s="10" t="str">
        <f t="shared" si="11"/>
        <v/>
      </c>
    </row>
    <row r="108" spans="1:16" ht="15" customHeight="1" x14ac:dyDescent="0.2">
      <c r="A108" s="8"/>
      <c r="B108" s="8"/>
      <c r="C108" s="8"/>
      <c r="D108" s="9"/>
      <c r="E108" s="9"/>
      <c r="F108" s="8"/>
      <c r="G108" s="10" t="str">
        <f t="shared" si="6"/>
        <v/>
      </c>
      <c r="H108" s="10" t="str">
        <f t="shared" si="7"/>
        <v/>
      </c>
      <c r="I108" s="11" t="str">
        <f>IF(B108="Recreation",IFERROR(INDEX(RecPricing!$E$5:$E$10,MATCH(IF(C108="Mixed","External",IF(C108="Unknown","UoB",C108))&amp;"|"&amp;IF(F108&lt;=24,"&lt;=24",IF(F108&lt;=32,"&lt;=32","Above32")),RecPricing!$F$5:$F$10,0)),""),IFERROR(INDEX(Reference!$E$5:$E$12,MATCH(B108&amp;"|"&amp;IF(C108="Mixed","External",IF(C108="Unknown","UoB",C108))&amp;"|"&amp;IF(F108&lt;=32,"32","40"),Reference!$D$5:$D$12,0)),""))</f>
        <v/>
      </c>
      <c r="J108" s="11" t="str">
        <f t="shared" si="8"/>
        <v/>
      </c>
      <c r="K108" s="12"/>
      <c r="L108" s="11" t="str">
        <f t="shared" si="9"/>
        <v/>
      </c>
      <c r="M108" s="12"/>
      <c r="N108" s="12"/>
      <c r="O108" s="11" t="str">
        <f t="shared" si="10"/>
        <v/>
      </c>
      <c r="P108" s="10" t="str">
        <f t="shared" si="11"/>
        <v/>
      </c>
    </row>
    <row r="109" spans="1:16" ht="15" customHeight="1" x14ac:dyDescent="0.2">
      <c r="A109" s="8"/>
      <c r="B109" s="8"/>
      <c r="C109" s="8"/>
      <c r="D109" s="9"/>
      <c r="E109" s="9"/>
      <c r="F109" s="8"/>
      <c r="G109" s="10" t="str">
        <f t="shared" si="6"/>
        <v/>
      </c>
      <c r="H109" s="10" t="str">
        <f t="shared" si="7"/>
        <v/>
      </c>
      <c r="I109" s="11" t="str">
        <f>IF(B109="Recreation",IFERROR(INDEX(RecPricing!$E$5:$E$10,MATCH(IF(C109="Mixed","External",IF(C109="Unknown","UoB",C109))&amp;"|"&amp;IF(F109&lt;=24,"&lt;=24",IF(F109&lt;=32,"&lt;=32","Above32")),RecPricing!$F$5:$F$10,0)),""),IFERROR(INDEX(Reference!$E$5:$E$12,MATCH(B109&amp;"|"&amp;IF(C109="Mixed","External",IF(C109="Unknown","UoB",C109))&amp;"|"&amp;IF(F109&lt;=32,"32","40"),Reference!$D$5:$D$12,0)),""))</f>
        <v/>
      </c>
      <c r="J109" s="11" t="str">
        <f t="shared" si="8"/>
        <v/>
      </c>
      <c r="K109" s="12"/>
      <c r="L109" s="11" t="str">
        <f t="shared" si="9"/>
        <v/>
      </c>
      <c r="M109" s="12"/>
      <c r="N109" s="12"/>
      <c r="O109" s="11" t="str">
        <f t="shared" si="10"/>
        <v/>
      </c>
      <c r="P109" s="10" t="str">
        <f t="shared" si="11"/>
        <v/>
      </c>
    </row>
    <row r="110" spans="1:16" ht="15" customHeight="1" x14ac:dyDescent="0.2">
      <c r="A110" s="8"/>
      <c r="B110" s="8"/>
      <c r="C110" s="8"/>
      <c r="D110" s="9"/>
      <c r="E110" s="9"/>
      <c r="F110" s="8"/>
      <c r="G110" s="10" t="str">
        <f t="shared" si="6"/>
        <v/>
      </c>
      <c r="H110" s="10" t="str">
        <f t="shared" si="7"/>
        <v/>
      </c>
      <c r="I110" s="11" t="str">
        <f>IF(B110="Recreation",IFERROR(INDEX(RecPricing!$E$5:$E$10,MATCH(IF(C110="Mixed","External",IF(C110="Unknown","UoB",C110))&amp;"|"&amp;IF(F110&lt;=24,"&lt;=24",IF(F110&lt;=32,"&lt;=32","Above32")),RecPricing!$F$5:$F$10,0)),""),IFERROR(INDEX(Reference!$E$5:$E$12,MATCH(B110&amp;"|"&amp;IF(C110="Mixed","External",IF(C110="Unknown","UoB",C110))&amp;"|"&amp;IF(F110&lt;=32,"32","40"),Reference!$D$5:$D$12,0)),""))</f>
        <v/>
      </c>
      <c r="J110" s="11" t="str">
        <f t="shared" si="8"/>
        <v/>
      </c>
      <c r="K110" s="12"/>
      <c r="L110" s="11" t="str">
        <f t="shared" si="9"/>
        <v/>
      </c>
      <c r="M110" s="12"/>
      <c r="N110" s="12"/>
      <c r="O110" s="11" t="str">
        <f t="shared" si="10"/>
        <v/>
      </c>
      <c r="P110" s="10" t="str">
        <f t="shared" si="11"/>
        <v/>
      </c>
    </row>
    <row r="111" spans="1:16" ht="15" customHeight="1" x14ac:dyDescent="0.2">
      <c r="A111" s="8"/>
      <c r="B111" s="8"/>
      <c r="C111" s="8"/>
      <c r="D111" s="9"/>
      <c r="E111" s="9"/>
      <c r="F111" s="8"/>
      <c r="G111" s="10" t="str">
        <f t="shared" si="6"/>
        <v/>
      </c>
      <c r="H111" s="10" t="str">
        <f t="shared" si="7"/>
        <v/>
      </c>
      <c r="I111" s="11" t="str">
        <f>IF(B111="Recreation",IFERROR(INDEX(RecPricing!$E$5:$E$10,MATCH(IF(C111="Mixed","External",IF(C111="Unknown","UoB",C111))&amp;"|"&amp;IF(F111&lt;=24,"&lt;=24",IF(F111&lt;=32,"&lt;=32","Above32")),RecPricing!$F$5:$F$10,0)),""),IFERROR(INDEX(Reference!$E$5:$E$12,MATCH(B111&amp;"|"&amp;IF(C111="Mixed","External",IF(C111="Unknown","UoB",C111))&amp;"|"&amp;IF(F111&lt;=32,"32","40"),Reference!$D$5:$D$12,0)),""))</f>
        <v/>
      </c>
      <c r="J111" s="11" t="str">
        <f t="shared" si="8"/>
        <v/>
      </c>
      <c r="K111" s="12"/>
      <c r="L111" s="11" t="str">
        <f t="shared" si="9"/>
        <v/>
      </c>
      <c r="M111" s="12"/>
      <c r="N111" s="12"/>
      <c r="O111" s="11" t="str">
        <f t="shared" si="10"/>
        <v/>
      </c>
      <c r="P111" s="10" t="str">
        <f t="shared" si="11"/>
        <v/>
      </c>
    </row>
    <row r="112" spans="1:16" ht="15" customHeight="1" x14ac:dyDescent="0.2">
      <c r="A112" s="8"/>
      <c r="B112" s="8"/>
      <c r="C112" s="8"/>
      <c r="D112" s="9"/>
      <c r="E112" s="9"/>
      <c r="F112" s="8"/>
      <c r="G112" s="10" t="str">
        <f t="shared" si="6"/>
        <v/>
      </c>
      <c r="H112" s="10" t="str">
        <f t="shared" si="7"/>
        <v/>
      </c>
      <c r="I112" s="11" t="str">
        <f>IF(B112="Recreation",IFERROR(INDEX(RecPricing!$E$5:$E$10,MATCH(IF(C112="Mixed","External",IF(C112="Unknown","UoB",C112))&amp;"|"&amp;IF(F112&lt;=24,"&lt;=24",IF(F112&lt;=32,"&lt;=32","Above32")),RecPricing!$F$5:$F$10,0)),""),IFERROR(INDEX(Reference!$E$5:$E$12,MATCH(B112&amp;"|"&amp;IF(C112="Mixed","External",IF(C112="Unknown","UoB",C112))&amp;"|"&amp;IF(F112&lt;=32,"32","40"),Reference!$D$5:$D$12,0)),""))</f>
        <v/>
      </c>
      <c r="J112" s="11" t="str">
        <f t="shared" si="8"/>
        <v/>
      </c>
      <c r="K112" s="12"/>
      <c r="L112" s="11" t="str">
        <f t="shared" si="9"/>
        <v/>
      </c>
      <c r="M112" s="12"/>
      <c r="N112" s="12"/>
      <c r="O112" s="11" t="str">
        <f t="shared" si="10"/>
        <v/>
      </c>
      <c r="P112" s="10" t="str">
        <f t="shared" si="11"/>
        <v/>
      </c>
    </row>
    <row r="113" spans="1:16" ht="15" customHeight="1" x14ac:dyDescent="0.2">
      <c r="A113" s="8"/>
      <c r="B113" s="8"/>
      <c r="C113" s="8"/>
      <c r="D113" s="9"/>
      <c r="E113" s="9"/>
      <c r="F113" s="8"/>
      <c r="G113" s="10" t="str">
        <f t="shared" si="6"/>
        <v/>
      </c>
      <c r="H113" s="10" t="str">
        <f t="shared" si="7"/>
        <v/>
      </c>
      <c r="I113" s="11" t="str">
        <f>IF(B113="Recreation",IFERROR(INDEX(RecPricing!$E$5:$E$10,MATCH(IF(C113="Mixed","External",IF(C113="Unknown","UoB",C113))&amp;"|"&amp;IF(F113&lt;=24,"&lt;=24",IF(F113&lt;=32,"&lt;=32","Above32")),RecPricing!$F$5:$F$10,0)),""),IFERROR(INDEX(Reference!$E$5:$E$12,MATCH(B113&amp;"|"&amp;IF(C113="Mixed","External",IF(C113="Unknown","UoB",C113))&amp;"|"&amp;IF(F113&lt;=32,"32","40"),Reference!$D$5:$D$12,0)),""))</f>
        <v/>
      </c>
      <c r="J113" s="11" t="str">
        <f t="shared" si="8"/>
        <v/>
      </c>
      <c r="K113" s="12"/>
      <c r="L113" s="11" t="str">
        <f t="shared" si="9"/>
        <v/>
      </c>
      <c r="M113" s="12"/>
      <c r="N113" s="12"/>
      <c r="O113" s="11" t="str">
        <f t="shared" si="10"/>
        <v/>
      </c>
      <c r="P113" s="10" t="str">
        <f t="shared" si="11"/>
        <v/>
      </c>
    </row>
    <row r="114" spans="1:16" ht="15" customHeight="1" x14ac:dyDescent="0.2">
      <c r="A114" s="8"/>
      <c r="B114" s="8"/>
      <c r="C114" s="8"/>
      <c r="D114" s="9"/>
      <c r="E114" s="9"/>
      <c r="F114" s="8"/>
      <c r="G114" s="10" t="str">
        <f t="shared" si="6"/>
        <v/>
      </c>
      <c r="H114" s="10" t="str">
        <f t="shared" si="7"/>
        <v/>
      </c>
      <c r="I114" s="11" t="str">
        <f>IF(B114="Recreation",IFERROR(INDEX(RecPricing!$E$5:$E$10,MATCH(IF(C114="Mixed","External",IF(C114="Unknown","UoB",C114))&amp;"|"&amp;IF(F114&lt;=24,"&lt;=24",IF(F114&lt;=32,"&lt;=32","Above32")),RecPricing!$F$5:$F$10,0)),""),IFERROR(INDEX(Reference!$E$5:$E$12,MATCH(B114&amp;"|"&amp;IF(C114="Mixed","External",IF(C114="Unknown","UoB",C114))&amp;"|"&amp;IF(F114&lt;=32,"32","40"),Reference!$D$5:$D$12,0)),""))</f>
        <v/>
      </c>
      <c r="J114" s="11" t="str">
        <f t="shared" si="8"/>
        <v/>
      </c>
      <c r="K114" s="12"/>
      <c r="L114" s="11" t="str">
        <f t="shared" si="9"/>
        <v/>
      </c>
      <c r="M114" s="12"/>
      <c r="N114" s="12"/>
      <c r="O114" s="11" t="str">
        <f t="shared" si="10"/>
        <v/>
      </c>
      <c r="P114" s="10" t="str">
        <f t="shared" si="11"/>
        <v/>
      </c>
    </row>
    <row r="115" spans="1:16" ht="15" customHeight="1" x14ac:dyDescent="0.2">
      <c r="A115" s="8"/>
      <c r="B115" s="8"/>
      <c r="C115" s="8"/>
      <c r="D115" s="9"/>
      <c r="E115" s="9"/>
      <c r="F115" s="8"/>
      <c r="G115" s="10" t="str">
        <f t="shared" si="6"/>
        <v/>
      </c>
      <c r="H115" s="10" t="str">
        <f t="shared" si="7"/>
        <v/>
      </c>
      <c r="I115" s="11" t="str">
        <f>IF(B115="Recreation",IFERROR(INDEX(RecPricing!$E$5:$E$10,MATCH(IF(C115="Mixed","External",IF(C115="Unknown","UoB",C115))&amp;"|"&amp;IF(F115&lt;=24,"&lt;=24",IF(F115&lt;=32,"&lt;=32","Above32")),RecPricing!$F$5:$F$10,0)),""),IFERROR(INDEX(Reference!$E$5:$E$12,MATCH(B115&amp;"|"&amp;IF(C115="Mixed","External",IF(C115="Unknown","UoB",C115))&amp;"|"&amp;IF(F115&lt;=32,"32","40"),Reference!$D$5:$D$12,0)),""))</f>
        <v/>
      </c>
      <c r="J115" s="11" t="str">
        <f t="shared" si="8"/>
        <v/>
      </c>
      <c r="K115" s="12"/>
      <c r="L115" s="11" t="str">
        <f t="shared" si="9"/>
        <v/>
      </c>
      <c r="M115" s="12"/>
      <c r="N115" s="12"/>
      <c r="O115" s="11" t="str">
        <f t="shared" si="10"/>
        <v/>
      </c>
      <c r="P115" s="10" t="str">
        <f t="shared" si="11"/>
        <v/>
      </c>
    </row>
    <row r="116" spans="1:16" ht="15" customHeight="1" x14ac:dyDescent="0.2">
      <c r="A116" s="8"/>
      <c r="B116" s="8"/>
      <c r="C116" s="8"/>
      <c r="D116" s="9"/>
      <c r="E116" s="9"/>
      <c r="F116" s="8"/>
      <c r="G116" s="10" t="str">
        <f t="shared" si="6"/>
        <v/>
      </c>
      <c r="H116" s="10" t="str">
        <f t="shared" si="7"/>
        <v/>
      </c>
      <c r="I116" s="11" t="str">
        <f>IF(B116="Recreation",IFERROR(INDEX(RecPricing!$E$5:$E$10,MATCH(IF(C116="Mixed","External",IF(C116="Unknown","UoB",C116))&amp;"|"&amp;IF(F116&lt;=24,"&lt;=24",IF(F116&lt;=32,"&lt;=32","Above32")),RecPricing!$F$5:$F$10,0)),""),IFERROR(INDEX(Reference!$E$5:$E$12,MATCH(B116&amp;"|"&amp;IF(C116="Mixed","External",IF(C116="Unknown","UoB",C116))&amp;"|"&amp;IF(F116&lt;=32,"32","40"),Reference!$D$5:$D$12,0)),""))</f>
        <v/>
      </c>
      <c r="J116" s="11" t="str">
        <f t="shared" si="8"/>
        <v/>
      </c>
      <c r="K116" s="12"/>
      <c r="L116" s="11" t="str">
        <f t="shared" si="9"/>
        <v/>
      </c>
      <c r="M116" s="12"/>
      <c r="N116" s="12"/>
      <c r="O116" s="11" t="str">
        <f t="shared" si="10"/>
        <v/>
      </c>
      <c r="P116" s="10" t="str">
        <f t="shared" si="11"/>
        <v/>
      </c>
    </row>
    <row r="117" spans="1:16" ht="15" customHeight="1" x14ac:dyDescent="0.2">
      <c r="A117" s="8"/>
      <c r="B117" s="8"/>
      <c r="C117" s="8"/>
      <c r="D117" s="9"/>
      <c r="E117" s="9"/>
      <c r="F117" s="8"/>
      <c r="G117" s="10" t="str">
        <f t="shared" si="6"/>
        <v/>
      </c>
      <c r="H117" s="10" t="str">
        <f t="shared" si="7"/>
        <v/>
      </c>
      <c r="I117" s="11" t="str">
        <f>IF(B117="Recreation",IFERROR(INDEX(RecPricing!$E$5:$E$10,MATCH(IF(C117="Mixed","External",IF(C117="Unknown","UoB",C117))&amp;"|"&amp;IF(F117&lt;=24,"&lt;=24",IF(F117&lt;=32,"&lt;=32","Above32")),RecPricing!$F$5:$F$10,0)),""),IFERROR(INDEX(Reference!$E$5:$E$12,MATCH(B117&amp;"|"&amp;IF(C117="Mixed","External",IF(C117="Unknown","UoB",C117))&amp;"|"&amp;IF(F117&lt;=32,"32","40"),Reference!$D$5:$D$12,0)),""))</f>
        <v/>
      </c>
      <c r="J117" s="11" t="str">
        <f t="shared" si="8"/>
        <v/>
      </c>
      <c r="K117" s="12"/>
      <c r="L117" s="11" t="str">
        <f t="shared" si="9"/>
        <v/>
      </c>
      <c r="M117" s="12"/>
      <c r="N117" s="12"/>
      <c r="O117" s="11" t="str">
        <f t="shared" si="10"/>
        <v/>
      </c>
      <c r="P117" s="10" t="str">
        <f t="shared" si="11"/>
        <v/>
      </c>
    </row>
    <row r="118" spans="1:16" ht="15" customHeight="1" x14ac:dyDescent="0.2">
      <c r="A118" s="8"/>
      <c r="B118" s="8"/>
      <c r="C118" s="8"/>
      <c r="D118" s="9"/>
      <c r="E118" s="9"/>
      <c r="F118" s="8"/>
      <c r="G118" s="10" t="str">
        <f t="shared" si="6"/>
        <v/>
      </c>
      <c r="H118" s="10" t="str">
        <f t="shared" si="7"/>
        <v/>
      </c>
      <c r="I118" s="11" t="str">
        <f>IF(B118="Recreation",IFERROR(INDEX(RecPricing!$E$5:$E$10,MATCH(IF(C118="Mixed","External",IF(C118="Unknown","UoB",C118))&amp;"|"&amp;IF(F118&lt;=24,"&lt;=24",IF(F118&lt;=32,"&lt;=32","Above32")),RecPricing!$F$5:$F$10,0)),""),IFERROR(INDEX(Reference!$E$5:$E$12,MATCH(B118&amp;"|"&amp;IF(C118="Mixed","External",IF(C118="Unknown","UoB",C118))&amp;"|"&amp;IF(F118&lt;=32,"32","40"),Reference!$D$5:$D$12,0)),""))</f>
        <v/>
      </c>
      <c r="J118" s="11" t="str">
        <f t="shared" si="8"/>
        <v/>
      </c>
      <c r="K118" s="12"/>
      <c r="L118" s="11" t="str">
        <f t="shared" si="9"/>
        <v/>
      </c>
      <c r="M118" s="12"/>
      <c r="N118" s="12"/>
      <c r="O118" s="11" t="str">
        <f t="shared" si="10"/>
        <v/>
      </c>
      <c r="P118" s="10" t="str">
        <f t="shared" si="11"/>
        <v/>
      </c>
    </row>
    <row r="119" spans="1:16" ht="15" customHeight="1" x14ac:dyDescent="0.2">
      <c r="A119" s="8"/>
      <c r="B119" s="8"/>
      <c r="C119" s="8"/>
      <c r="D119" s="9"/>
      <c r="E119" s="9"/>
      <c r="F119" s="8"/>
      <c r="G119" s="10" t="str">
        <f t="shared" si="6"/>
        <v/>
      </c>
      <c r="H119" s="10" t="str">
        <f t="shared" si="7"/>
        <v/>
      </c>
      <c r="I119" s="11" t="str">
        <f>IF(B119="Recreation",IFERROR(INDEX(RecPricing!$E$5:$E$10,MATCH(IF(C119="Mixed","External",IF(C119="Unknown","UoB",C119))&amp;"|"&amp;IF(F119&lt;=24,"&lt;=24",IF(F119&lt;=32,"&lt;=32","Above32")),RecPricing!$F$5:$F$10,0)),""),IFERROR(INDEX(Reference!$E$5:$E$12,MATCH(B119&amp;"|"&amp;IF(C119="Mixed","External",IF(C119="Unknown","UoB",C119))&amp;"|"&amp;IF(F119&lt;=32,"32","40"),Reference!$D$5:$D$12,0)),""))</f>
        <v/>
      </c>
      <c r="J119" s="11" t="str">
        <f t="shared" si="8"/>
        <v/>
      </c>
      <c r="K119" s="12"/>
      <c r="L119" s="11" t="str">
        <f t="shared" si="9"/>
        <v/>
      </c>
      <c r="M119" s="12"/>
      <c r="N119" s="12"/>
      <c r="O119" s="11" t="str">
        <f t="shared" si="10"/>
        <v/>
      </c>
      <c r="P119" s="10" t="str">
        <f t="shared" si="11"/>
        <v/>
      </c>
    </row>
    <row r="120" spans="1:16" ht="15" customHeight="1" x14ac:dyDescent="0.2">
      <c r="A120" s="8"/>
      <c r="B120" s="8"/>
      <c r="C120" s="8"/>
      <c r="D120" s="9"/>
      <c r="E120" s="9"/>
      <c r="F120" s="8"/>
      <c r="G120" s="10" t="str">
        <f t="shared" si="6"/>
        <v/>
      </c>
      <c r="H120" s="10" t="str">
        <f t="shared" si="7"/>
        <v/>
      </c>
      <c r="I120" s="11" t="str">
        <f>IF(B120="Recreation",IFERROR(INDEX(RecPricing!$E$5:$E$10,MATCH(IF(C120="Mixed","External",IF(C120="Unknown","UoB",C120))&amp;"|"&amp;IF(F120&lt;=24,"&lt;=24",IF(F120&lt;=32,"&lt;=32","Above32")),RecPricing!$F$5:$F$10,0)),""),IFERROR(INDEX(Reference!$E$5:$E$12,MATCH(B120&amp;"|"&amp;IF(C120="Mixed","External",IF(C120="Unknown","UoB",C120))&amp;"|"&amp;IF(F120&lt;=32,"32","40"),Reference!$D$5:$D$12,0)),""))</f>
        <v/>
      </c>
      <c r="J120" s="11" t="str">
        <f t="shared" si="8"/>
        <v/>
      </c>
      <c r="K120" s="12"/>
      <c r="L120" s="11" t="str">
        <f t="shared" si="9"/>
        <v/>
      </c>
      <c r="M120" s="12"/>
      <c r="N120" s="12"/>
      <c r="O120" s="11" t="str">
        <f t="shared" si="10"/>
        <v/>
      </c>
      <c r="P120" s="10" t="str">
        <f t="shared" si="11"/>
        <v/>
      </c>
    </row>
    <row r="121" spans="1:16" ht="15" customHeight="1" x14ac:dyDescent="0.2">
      <c r="A121" s="8"/>
      <c r="B121" s="8"/>
      <c r="C121" s="8"/>
      <c r="D121" s="9"/>
      <c r="E121" s="9"/>
      <c r="F121" s="8"/>
      <c r="G121" s="10" t="str">
        <f t="shared" si="6"/>
        <v/>
      </c>
      <c r="H121" s="10" t="str">
        <f t="shared" si="7"/>
        <v/>
      </c>
      <c r="I121" s="11" t="str">
        <f>IF(B121="Recreation",IFERROR(INDEX(RecPricing!$E$5:$E$10,MATCH(IF(C121="Mixed","External",IF(C121="Unknown","UoB",C121))&amp;"|"&amp;IF(F121&lt;=24,"&lt;=24",IF(F121&lt;=32,"&lt;=32","Above32")),RecPricing!$F$5:$F$10,0)),""),IFERROR(INDEX(Reference!$E$5:$E$12,MATCH(B121&amp;"|"&amp;IF(C121="Mixed","External",IF(C121="Unknown","UoB",C121))&amp;"|"&amp;IF(F121&lt;=32,"32","40"),Reference!$D$5:$D$12,0)),""))</f>
        <v/>
      </c>
      <c r="J121" s="11" t="str">
        <f t="shared" si="8"/>
        <v/>
      </c>
      <c r="K121" s="12"/>
      <c r="L121" s="11" t="str">
        <f t="shared" si="9"/>
        <v/>
      </c>
      <c r="M121" s="12"/>
      <c r="N121" s="12"/>
      <c r="O121" s="11" t="str">
        <f t="shared" si="10"/>
        <v/>
      </c>
      <c r="P121" s="10" t="str">
        <f t="shared" si="11"/>
        <v/>
      </c>
    </row>
    <row r="122" spans="1:16" ht="15" customHeight="1" x14ac:dyDescent="0.2">
      <c r="A122" s="8"/>
      <c r="B122" s="8"/>
      <c r="C122" s="8"/>
      <c r="D122" s="9"/>
      <c r="E122" s="9"/>
      <c r="F122" s="8"/>
      <c r="G122" s="10" t="str">
        <f t="shared" si="6"/>
        <v/>
      </c>
      <c r="H122" s="10" t="str">
        <f t="shared" si="7"/>
        <v/>
      </c>
      <c r="I122" s="11" t="str">
        <f>IF(B122="Recreation",IFERROR(INDEX(RecPricing!$E$5:$E$10,MATCH(IF(C122="Mixed","External",IF(C122="Unknown","UoB",C122))&amp;"|"&amp;IF(F122&lt;=24,"&lt;=24",IF(F122&lt;=32,"&lt;=32","Above32")),RecPricing!$F$5:$F$10,0)),""),IFERROR(INDEX(Reference!$E$5:$E$12,MATCH(B122&amp;"|"&amp;IF(C122="Mixed","External",IF(C122="Unknown","UoB",C122))&amp;"|"&amp;IF(F122&lt;=32,"32","40"),Reference!$D$5:$D$12,0)),""))</f>
        <v/>
      </c>
      <c r="J122" s="11" t="str">
        <f t="shared" si="8"/>
        <v/>
      </c>
      <c r="K122" s="12"/>
      <c r="L122" s="11" t="str">
        <f t="shared" si="9"/>
        <v/>
      </c>
      <c r="M122" s="12"/>
      <c r="N122" s="12"/>
      <c r="O122" s="11" t="str">
        <f t="shared" si="10"/>
        <v/>
      </c>
      <c r="P122" s="10" t="str">
        <f t="shared" si="11"/>
        <v/>
      </c>
    </row>
    <row r="123" spans="1:16" ht="15" customHeight="1" x14ac:dyDescent="0.2">
      <c r="A123" s="8"/>
      <c r="B123" s="8"/>
      <c r="C123" s="8"/>
      <c r="D123" s="9"/>
      <c r="E123" s="9"/>
      <c r="F123" s="8"/>
      <c r="G123" s="10" t="str">
        <f t="shared" si="6"/>
        <v/>
      </c>
      <c r="H123" s="10" t="str">
        <f t="shared" si="7"/>
        <v/>
      </c>
      <c r="I123" s="11" t="str">
        <f>IF(B123="Recreation",IFERROR(INDEX(RecPricing!$E$5:$E$10,MATCH(IF(C123="Mixed","External",IF(C123="Unknown","UoB",C123))&amp;"|"&amp;IF(F123&lt;=24,"&lt;=24",IF(F123&lt;=32,"&lt;=32","Above32")),RecPricing!$F$5:$F$10,0)),""),IFERROR(INDEX(Reference!$E$5:$E$12,MATCH(B123&amp;"|"&amp;IF(C123="Mixed","External",IF(C123="Unknown","UoB",C123))&amp;"|"&amp;IF(F123&lt;=32,"32","40"),Reference!$D$5:$D$12,0)),""))</f>
        <v/>
      </c>
      <c r="J123" s="11" t="str">
        <f t="shared" si="8"/>
        <v/>
      </c>
      <c r="K123" s="12"/>
      <c r="L123" s="11" t="str">
        <f t="shared" si="9"/>
        <v/>
      </c>
      <c r="M123" s="12"/>
      <c r="N123" s="12"/>
      <c r="O123" s="11" t="str">
        <f t="shared" si="10"/>
        <v/>
      </c>
      <c r="P123" s="10" t="str">
        <f t="shared" si="11"/>
        <v/>
      </c>
    </row>
    <row r="124" spans="1:16" ht="15" customHeight="1" x14ac:dyDescent="0.2">
      <c r="A124" s="8"/>
      <c r="B124" s="8"/>
      <c r="C124" s="8"/>
      <c r="D124" s="9"/>
      <c r="E124" s="9"/>
      <c r="F124" s="8"/>
      <c r="G124" s="10" t="str">
        <f t="shared" si="6"/>
        <v/>
      </c>
      <c r="H124" s="10" t="str">
        <f t="shared" si="7"/>
        <v/>
      </c>
      <c r="I124" s="11" t="str">
        <f>IF(B124="Recreation",IFERROR(INDEX(RecPricing!$E$5:$E$10,MATCH(IF(C124="Mixed","External",IF(C124="Unknown","UoB",C124))&amp;"|"&amp;IF(F124&lt;=24,"&lt;=24",IF(F124&lt;=32,"&lt;=32","Above32")),RecPricing!$F$5:$F$10,0)),""),IFERROR(INDEX(Reference!$E$5:$E$12,MATCH(B124&amp;"|"&amp;IF(C124="Mixed","External",IF(C124="Unknown","UoB",C124))&amp;"|"&amp;IF(F124&lt;=32,"32","40"),Reference!$D$5:$D$12,0)),""))</f>
        <v/>
      </c>
      <c r="J124" s="11" t="str">
        <f t="shared" si="8"/>
        <v/>
      </c>
      <c r="K124" s="12"/>
      <c r="L124" s="11" t="str">
        <f t="shared" si="9"/>
        <v/>
      </c>
      <c r="M124" s="12"/>
      <c r="N124" s="12"/>
      <c r="O124" s="11" t="str">
        <f t="shared" si="10"/>
        <v/>
      </c>
      <c r="P124" s="10" t="str">
        <f t="shared" si="11"/>
        <v/>
      </c>
    </row>
    <row r="125" spans="1:16" ht="15" customHeight="1" x14ac:dyDescent="0.2">
      <c r="A125" s="8"/>
      <c r="B125" s="8"/>
      <c r="C125" s="8"/>
      <c r="D125" s="9"/>
      <c r="E125" s="9"/>
      <c r="F125" s="8"/>
      <c r="G125" s="10" t="str">
        <f t="shared" si="6"/>
        <v/>
      </c>
      <c r="H125" s="10" t="str">
        <f t="shared" si="7"/>
        <v/>
      </c>
      <c r="I125" s="11" t="str">
        <f>IF(B125="Recreation",IFERROR(INDEX(RecPricing!$E$5:$E$10,MATCH(IF(C125="Mixed","External",IF(C125="Unknown","UoB",C125))&amp;"|"&amp;IF(F125&lt;=24,"&lt;=24",IF(F125&lt;=32,"&lt;=32","Above32")),RecPricing!$F$5:$F$10,0)),""),IFERROR(INDEX(Reference!$E$5:$E$12,MATCH(B125&amp;"|"&amp;IF(C125="Mixed","External",IF(C125="Unknown","UoB",C125))&amp;"|"&amp;IF(F125&lt;=32,"32","40"),Reference!$D$5:$D$12,0)),""))</f>
        <v/>
      </c>
      <c r="J125" s="11" t="str">
        <f t="shared" si="8"/>
        <v/>
      </c>
      <c r="K125" s="12"/>
      <c r="L125" s="11" t="str">
        <f t="shared" si="9"/>
        <v/>
      </c>
      <c r="M125" s="12"/>
      <c r="N125" s="12"/>
      <c r="O125" s="11" t="str">
        <f t="shared" si="10"/>
        <v/>
      </c>
      <c r="P125" s="10" t="str">
        <f t="shared" si="11"/>
        <v/>
      </c>
    </row>
    <row r="126" spans="1:16" ht="15" customHeight="1" x14ac:dyDescent="0.2">
      <c r="A126" s="8"/>
      <c r="B126" s="8"/>
      <c r="C126" s="8"/>
      <c r="D126" s="9"/>
      <c r="E126" s="9"/>
      <c r="F126" s="8"/>
      <c r="G126" s="10" t="str">
        <f t="shared" si="6"/>
        <v/>
      </c>
      <c r="H126" s="10" t="str">
        <f t="shared" si="7"/>
        <v/>
      </c>
      <c r="I126" s="11" t="str">
        <f>IF(B126="Recreation",IFERROR(INDEX(RecPricing!$E$5:$E$10,MATCH(IF(C126="Mixed","External",IF(C126="Unknown","UoB",C126))&amp;"|"&amp;IF(F126&lt;=24,"&lt;=24",IF(F126&lt;=32,"&lt;=32","Above32")),RecPricing!$F$5:$F$10,0)),""),IFERROR(INDEX(Reference!$E$5:$E$12,MATCH(B126&amp;"|"&amp;IF(C126="Mixed","External",IF(C126="Unknown","UoB",C126))&amp;"|"&amp;IF(F126&lt;=32,"32","40"),Reference!$D$5:$D$12,0)),""))</f>
        <v/>
      </c>
      <c r="J126" s="11" t="str">
        <f t="shared" si="8"/>
        <v/>
      </c>
      <c r="K126" s="12"/>
      <c r="L126" s="11" t="str">
        <f t="shared" si="9"/>
        <v/>
      </c>
      <c r="M126" s="12"/>
      <c r="N126" s="12"/>
      <c r="O126" s="11" t="str">
        <f t="shared" si="10"/>
        <v/>
      </c>
      <c r="P126" s="10" t="str">
        <f t="shared" si="11"/>
        <v/>
      </c>
    </row>
    <row r="127" spans="1:16" ht="15" customHeight="1" x14ac:dyDescent="0.2">
      <c r="A127" s="8"/>
      <c r="B127" s="8"/>
      <c r="C127" s="8"/>
      <c r="D127" s="9"/>
      <c r="E127" s="9"/>
      <c r="F127" s="8"/>
      <c r="G127" s="10" t="str">
        <f t="shared" ref="G127:G190" si="12">IF(OR(D127="",E127=""),"",E127-D127)</f>
        <v/>
      </c>
      <c r="H127" s="10" t="str">
        <f t="shared" ref="H127:H190" si="13">IF(OR(F127="",G127=""),"",F127*G127)</f>
        <v/>
      </c>
      <c r="I127" s="11" t="str">
        <f>IF(B127="Recreation",IFERROR(INDEX(RecPricing!$E$5:$E$10,MATCH(IF(C127="Mixed","External",IF(C127="Unknown","UoB",C127))&amp;"|"&amp;IF(F127&lt;=24,"&lt;=24",IF(F127&lt;=32,"&lt;=32","Above32")),RecPricing!$F$5:$F$10,0)),""),IFERROR(INDEX(Reference!$E$5:$E$12,MATCH(B127&amp;"|"&amp;IF(C127="Mixed","External",IF(C127="Unknown","UoB",C127))&amp;"|"&amp;IF(F127&lt;=32,"32","40"),Reference!$D$5:$D$12,0)),""))</f>
        <v/>
      </c>
      <c r="J127" s="11" t="str">
        <f t="shared" ref="J127:J190" si="14">IF(I127="","",IF(B127="Recreation",IF(F127&lt;=32,I127,I127*IF(F127="",0,F127)),IF(AND(I127&lt;&gt;"",G127&lt;&gt;""),I127*G127,"")))</f>
        <v/>
      </c>
      <c r="K127" s="12"/>
      <c r="L127" s="11" t="str">
        <f t="shared" ref="L127:L190" si="15">IF(J127="","",J127-IF(K127="",0,K127))</f>
        <v/>
      </c>
      <c r="M127" s="12"/>
      <c r="N127" s="12"/>
      <c r="O127" s="11" t="str">
        <f t="shared" ref="O127:O190" si="16">IF(L127="","",L127-IF(M127="",0,M127)-IF(N127="",0,N127))</f>
        <v/>
      </c>
      <c r="P127" s="10" t="str">
        <f t="shared" ref="P127:P190" si="17">IF(D127="","",IF(MONTH(D127)&gt;=8,YEAR(D127)&amp;"-"&amp;RIGHT(YEAR(D127)+1,2),YEAR(D127)-1&amp;"-"&amp;RIGHT(YEAR(D127),2)))</f>
        <v/>
      </c>
    </row>
    <row r="128" spans="1:16" ht="15" customHeight="1" x14ac:dyDescent="0.2">
      <c r="A128" s="8"/>
      <c r="B128" s="8"/>
      <c r="C128" s="8"/>
      <c r="D128" s="9"/>
      <c r="E128" s="9"/>
      <c r="F128" s="8"/>
      <c r="G128" s="10" t="str">
        <f t="shared" si="12"/>
        <v/>
      </c>
      <c r="H128" s="10" t="str">
        <f t="shared" si="13"/>
        <v/>
      </c>
      <c r="I128" s="11" t="str">
        <f>IF(B128="Recreation",IFERROR(INDEX(RecPricing!$E$5:$E$10,MATCH(IF(C128="Mixed","External",IF(C128="Unknown","UoB",C128))&amp;"|"&amp;IF(F128&lt;=24,"&lt;=24",IF(F128&lt;=32,"&lt;=32","Above32")),RecPricing!$F$5:$F$10,0)),""),IFERROR(INDEX(Reference!$E$5:$E$12,MATCH(B128&amp;"|"&amp;IF(C128="Mixed","External",IF(C128="Unknown","UoB",C128))&amp;"|"&amp;IF(F128&lt;=32,"32","40"),Reference!$D$5:$D$12,0)),""))</f>
        <v/>
      </c>
      <c r="J128" s="11" t="str">
        <f t="shared" si="14"/>
        <v/>
      </c>
      <c r="K128" s="12"/>
      <c r="L128" s="11" t="str">
        <f t="shared" si="15"/>
        <v/>
      </c>
      <c r="M128" s="12"/>
      <c r="N128" s="12"/>
      <c r="O128" s="11" t="str">
        <f t="shared" si="16"/>
        <v/>
      </c>
      <c r="P128" s="10" t="str">
        <f t="shared" si="17"/>
        <v/>
      </c>
    </row>
    <row r="129" spans="1:16" ht="15" customHeight="1" x14ac:dyDescent="0.2">
      <c r="A129" s="8"/>
      <c r="B129" s="8"/>
      <c r="C129" s="8"/>
      <c r="D129" s="9"/>
      <c r="E129" s="9"/>
      <c r="F129" s="8"/>
      <c r="G129" s="10" t="str">
        <f t="shared" si="12"/>
        <v/>
      </c>
      <c r="H129" s="10" t="str">
        <f t="shared" si="13"/>
        <v/>
      </c>
      <c r="I129" s="11" t="str">
        <f>IF(B129="Recreation",IFERROR(INDEX(RecPricing!$E$5:$E$10,MATCH(IF(C129="Mixed","External",IF(C129="Unknown","UoB",C129))&amp;"|"&amp;IF(F129&lt;=24,"&lt;=24",IF(F129&lt;=32,"&lt;=32","Above32")),RecPricing!$F$5:$F$10,0)),""),IFERROR(INDEX(Reference!$E$5:$E$12,MATCH(B129&amp;"|"&amp;IF(C129="Mixed","External",IF(C129="Unknown","UoB",C129))&amp;"|"&amp;IF(F129&lt;=32,"32","40"),Reference!$D$5:$D$12,0)),""))</f>
        <v/>
      </c>
      <c r="J129" s="11" t="str">
        <f t="shared" si="14"/>
        <v/>
      </c>
      <c r="K129" s="12"/>
      <c r="L129" s="11" t="str">
        <f t="shared" si="15"/>
        <v/>
      </c>
      <c r="M129" s="12"/>
      <c r="N129" s="12"/>
      <c r="O129" s="11" t="str">
        <f t="shared" si="16"/>
        <v/>
      </c>
      <c r="P129" s="10" t="str">
        <f t="shared" si="17"/>
        <v/>
      </c>
    </row>
    <row r="130" spans="1:16" ht="15" customHeight="1" x14ac:dyDescent="0.2">
      <c r="A130" s="8"/>
      <c r="B130" s="8"/>
      <c r="C130" s="8"/>
      <c r="D130" s="9"/>
      <c r="E130" s="9"/>
      <c r="F130" s="8"/>
      <c r="G130" s="10" t="str">
        <f t="shared" si="12"/>
        <v/>
      </c>
      <c r="H130" s="10" t="str">
        <f t="shared" si="13"/>
        <v/>
      </c>
      <c r="I130" s="11" t="str">
        <f>IF(B130="Recreation",IFERROR(INDEX(RecPricing!$E$5:$E$10,MATCH(IF(C130="Mixed","External",IF(C130="Unknown","UoB",C130))&amp;"|"&amp;IF(F130&lt;=24,"&lt;=24",IF(F130&lt;=32,"&lt;=32","Above32")),RecPricing!$F$5:$F$10,0)),""),IFERROR(INDEX(Reference!$E$5:$E$12,MATCH(B130&amp;"|"&amp;IF(C130="Mixed","External",IF(C130="Unknown","UoB",C130))&amp;"|"&amp;IF(F130&lt;=32,"32","40"),Reference!$D$5:$D$12,0)),""))</f>
        <v/>
      </c>
      <c r="J130" s="11" t="str">
        <f t="shared" si="14"/>
        <v/>
      </c>
      <c r="K130" s="12"/>
      <c r="L130" s="11" t="str">
        <f t="shared" si="15"/>
        <v/>
      </c>
      <c r="M130" s="12"/>
      <c r="N130" s="12"/>
      <c r="O130" s="11" t="str">
        <f t="shared" si="16"/>
        <v/>
      </c>
      <c r="P130" s="10" t="str">
        <f t="shared" si="17"/>
        <v/>
      </c>
    </row>
    <row r="131" spans="1:16" ht="15" customHeight="1" x14ac:dyDescent="0.2">
      <c r="A131" s="8"/>
      <c r="B131" s="8"/>
      <c r="C131" s="8"/>
      <c r="D131" s="9"/>
      <c r="E131" s="9"/>
      <c r="F131" s="8"/>
      <c r="G131" s="10" t="str">
        <f t="shared" si="12"/>
        <v/>
      </c>
      <c r="H131" s="10" t="str">
        <f t="shared" si="13"/>
        <v/>
      </c>
      <c r="I131" s="11" t="str">
        <f>IF(B131="Recreation",IFERROR(INDEX(RecPricing!$E$5:$E$10,MATCH(IF(C131="Mixed","External",IF(C131="Unknown","UoB",C131))&amp;"|"&amp;IF(F131&lt;=24,"&lt;=24",IF(F131&lt;=32,"&lt;=32","Above32")),RecPricing!$F$5:$F$10,0)),""),IFERROR(INDEX(Reference!$E$5:$E$12,MATCH(B131&amp;"|"&amp;IF(C131="Mixed","External",IF(C131="Unknown","UoB",C131))&amp;"|"&amp;IF(F131&lt;=32,"32","40"),Reference!$D$5:$D$12,0)),""))</f>
        <v/>
      </c>
      <c r="J131" s="11" t="str">
        <f t="shared" si="14"/>
        <v/>
      </c>
      <c r="K131" s="12"/>
      <c r="L131" s="11" t="str">
        <f t="shared" si="15"/>
        <v/>
      </c>
      <c r="M131" s="12"/>
      <c r="N131" s="12"/>
      <c r="O131" s="11" t="str">
        <f t="shared" si="16"/>
        <v/>
      </c>
      <c r="P131" s="10" t="str">
        <f t="shared" si="17"/>
        <v/>
      </c>
    </row>
    <row r="132" spans="1:16" ht="15" customHeight="1" x14ac:dyDescent="0.2">
      <c r="A132" s="8"/>
      <c r="B132" s="8"/>
      <c r="C132" s="8"/>
      <c r="D132" s="9"/>
      <c r="E132" s="9"/>
      <c r="F132" s="8"/>
      <c r="G132" s="10" t="str">
        <f t="shared" si="12"/>
        <v/>
      </c>
      <c r="H132" s="10" t="str">
        <f t="shared" si="13"/>
        <v/>
      </c>
      <c r="I132" s="11" t="str">
        <f>IF(B132="Recreation",IFERROR(INDEX(RecPricing!$E$5:$E$10,MATCH(IF(C132="Mixed","External",IF(C132="Unknown","UoB",C132))&amp;"|"&amp;IF(F132&lt;=24,"&lt;=24",IF(F132&lt;=32,"&lt;=32","Above32")),RecPricing!$F$5:$F$10,0)),""),IFERROR(INDEX(Reference!$E$5:$E$12,MATCH(B132&amp;"|"&amp;IF(C132="Mixed","External",IF(C132="Unknown","UoB",C132))&amp;"|"&amp;IF(F132&lt;=32,"32","40"),Reference!$D$5:$D$12,0)),""))</f>
        <v/>
      </c>
      <c r="J132" s="11" t="str">
        <f t="shared" si="14"/>
        <v/>
      </c>
      <c r="K132" s="12"/>
      <c r="L132" s="11" t="str">
        <f t="shared" si="15"/>
        <v/>
      </c>
      <c r="M132" s="12"/>
      <c r="N132" s="12"/>
      <c r="O132" s="11" t="str">
        <f t="shared" si="16"/>
        <v/>
      </c>
      <c r="P132" s="10" t="str">
        <f t="shared" si="17"/>
        <v/>
      </c>
    </row>
    <row r="133" spans="1:16" ht="15" customHeight="1" x14ac:dyDescent="0.2">
      <c r="A133" s="8"/>
      <c r="B133" s="8"/>
      <c r="C133" s="8"/>
      <c r="D133" s="9"/>
      <c r="E133" s="9"/>
      <c r="F133" s="8"/>
      <c r="G133" s="10" t="str">
        <f t="shared" si="12"/>
        <v/>
      </c>
      <c r="H133" s="10" t="str">
        <f t="shared" si="13"/>
        <v/>
      </c>
      <c r="I133" s="11" t="str">
        <f>IF(B133="Recreation",IFERROR(INDEX(RecPricing!$E$5:$E$10,MATCH(IF(C133="Mixed","External",IF(C133="Unknown","UoB",C133))&amp;"|"&amp;IF(F133&lt;=24,"&lt;=24",IF(F133&lt;=32,"&lt;=32","Above32")),RecPricing!$F$5:$F$10,0)),""),IFERROR(INDEX(Reference!$E$5:$E$12,MATCH(B133&amp;"|"&amp;IF(C133="Mixed","External",IF(C133="Unknown","UoB",C133))&amp;"|"&amp;IF(F133&lt;=32,"32","40"),Reference!$D$5:$D$12,0)),""))</f>
        <v/>
      </c>
      <c r="J133" s="11" t="str">
        <f t="shared" si="14"/>
        <v/>
      </c>
      <c r="K133" s="12"/>
      <c r="L133" s="11" t="str">
        <f t="shared" si="15"/>
        <v/>
      </c>
      <c r="M133" s="12"/>
      <c r="N133" s="12"/>
      <c r="O133" s="11" t="str">
        <f t="shared" si="16"/>
        <v/>
      </c>
      <c r="P133" s="10" t="str">
        <f t="shared" si="17"/>
        <v/>
      </c>
    </row>
    <row r="134" spans="1:16" ht="15" customHeight="1" x14ac:dyDescent="0.2">
      <c r="A134" s="8"/>
      <c r="B134" s="8"/>
      <c r="C134" s="8"/>
      <c r="D134" s="9"/>
      <c r="E134" s="9"/>
      <c r="F134" s="8"/>
      <c r="G134" s="10" t="str">
        <f t="shared" si="12"/>
        <v/>
      </c>
      <c r="H134" s="10" t="str">
        <f t="shared" si="13"/>
        <v/>
      </c>
      <c r="I134" s="11" t="str">
        <f>IF(B134="Recreation",IFERROR(INDEX(RecPricing!$E$5:$E$10,MATCH(IF(C134="Mixed","External",IF(C134="Unknown","UoB",C134))&amp;"|"&amp;IF(F134&lt;=24,"&lt;=24",IF(F134&lt;=32,"&lt;=32","Above32")),RecPricing!$F$5:$F$10,0)),""),IFERROR(INDEX(Reference!$E$5:$E$12,MATCH(B134&amp;"|"&amp;IF(C134="Mixed","External",IF(C134="Unknown","UoB",C134))&amp;"|"&amp;IF(F134&lt;=32,"32","40"),Reference!$D$5:$D$12,0)),""))</f>
        <v/>
      </c>
      <c r="J134" s="11" t="str">
        <f t="shared" si="14"/>
        <v/>
      </c>
      <c r="K134" s="12"/>
      <c r="L134" s="11" t="str">
        <f t="shared" si="15"/>
        <v/>
      </c>
      <c r="M134" s="12"/>
      <c r="N134" s="12"/>
      <c r="O134" s="11" t="str">
        <f t="shared" si="16"/>
        <v/>
      </c>
      <c r="P134" s="10" t="str">
        <f t="shared" si="17"/>
        <v/>
      </c>
    </row>
    <row r="135" spans="1:16" ht="15" customHeight="1" x14ac:dyDescent="0.2">
      <c r="A135" s="8"/>
      <c r="B135" s="8"/>
      <c r="C135" s="8"/>
      <c r="D135" s="9"/>
      <c r="E135" s="9"/>
      <c r="F135" s="8"/>
      <c r="G135" s="10" t="str">
        <f t="shared" si="12"/>
        <v/>
      </c>
      <c r="H135" s="10" t="str">
        <f t="shared" si="13"/>
        <v/>
      </c>
      <c r="I135" s="11" t="str">
        <f>IF(B135="Recreation",IFERROR(INDEX(RecPricing!$E$5:$E$10,MATCH(IF(C135="Mixed","External",IF(C135="Unknown","UoB",C135))&amp;"|"&amp;IF(F135&lt;=24,"&lt;=24",IF(F135&lt;=32,"&lt;=32","Above32")),RecPricing!$F$5:$F$10,0)),""),IFERROR(INDEX(Reference!$E$5:$E$12,MATCH(B135&amp;"|"&amp;IF(C135="Mixed","External",IF(C135="Unknown","UoB",C135))&amp;"|"&amp;IF(F135&lt;=32,"32","40"),Reference!$D$5:$D$12,0)),""))</f>
        <v/>
      </c>
      <c r="J135" s="11" t="str">
        <f t="shared" si="14"/>
        <v/>
      </c>
      <c r="K135" s="12"/>
      <c r="L135" s="11" t="str">
        <f t="shared" si="15"/>
        <v/>
      </c>
      <c r="M135" s="12"/>
      <c r="N135" s="12"/>
      <c r="O135" s="11" t="str">
        <f t="shared" si="16"/>
        <v/>
      </c>
      <c r="P135" s="10" t="str">
        <f t="shared" si="17"/>
        <v/>
      </c>
    </row>
    <row r="136" spans="1:16" ht="15" customHeight="1" x14ac:dyDescent="0.2">
      <c r="A136" s="8"/>
      <c r="B136" s="8"/>
      <c r="C136" s="8"/>
      <c r="D136" s="9"/>
      <c r="E136" s="9"/>
      <c r="F136" s="8"/>
      <c r="G136" s="10" t="str">
        <f t="shared" si="12"/>
        <v/>
      </c>
      <c r="H136" s="10" t="str">
        <f t="shared" si="13"/>
        <v/>
      </c>
      <c r="I136" s="11" t="str">
        <f>IF(B136="Recreation",IFERROR(INDEX(RecPricing!$E$5:$E$10,MATCH(IF(C136="Mixed","External",IF(C136="Unknown","UoB",C136))&amp;"|"&amp;IF(F136&lt;=24,"&lt;=24",IF(F136&lt;=32,"&lt;=32","Above32")),RecPricing!$F$5:$F$10,0)),""),IFERROR(INDEX(Reference!$E$5:$E$12,MATCH(B136&amp;"|"&amp;IF(C136="Mixed","External",IF(C136="Unknown","UoB",C136))&amp;"|"&amp;IF(F136&lt;=32,"32","40"),Reference!$D$5:$D$12,0)),""))</f>
        <v/>
      </c>
      <c r="J136" s="11" t="str">
        <f t="shared" si="14"/>
        <v/>
      </c>
      <c r="K136" s="12"/>
      <c r="L136" s="11" t="str">
        <f t="shared" si="15"/>
        <v/>
      </c>
      <c r="M136" s="12"/>
      <c r="N136" s="12"/>
      <c r="O136" s="11" t="str">
        <f t="shared" si="16"/>
        <v/>
      </c>
      <c r="P136" s="10" t="str">
        <f t="shared" si="17"/>
        <v/>
      </c>
    </row>
    <row r="137" spans="1:16" ht="15" customHeight="1" x14ac:dyDescent="0.2">
      <c r="A137" s="8"/>
      <c r="B137" s="8"/>
      <c r="C137" s="8"/>
      <c r="D137" s="9"/>
      <c r="E137" s="9"/>
      <c r="F137" s="8"/>
      <c r="G137" s="10" t="str">
        <f t="shared" si="12"/>
        <v/>
      </c>
      <c r="H137" s="10" t="str">
        <f t="shared" si="13"/>
        <v/>
      </c>
      <c r="I137" s="11" t="str">
        <f>IF(B137="Recreation",IFERROR(INDEX(RecPricing!$E$5:$E$10,MATCH(IF(C137="Mixed","External",IF(C137="Unknown","UoB",C137))&amp;"|"&amp;IF(F137&lt;=24,"&lt;=24",IF(F137&lt;=32,"&lt;=32","Above32")),RecPricing!$F$5:$F$10,0)),""),IFERROR(INDEX(Reference!$E$5:$E$12,MATCH(B137&amp;"|"&amp;IF(C137="Mixed","External",IF(C137="Unknown","UoB",C137))&amp;"|"&amp;IF(F137&lt;=32,"32","40"),Reference!$D$5:$D$12,0)),""))</f>
        <v/>
      </c>
      <c r="J137" s="11" t="str">
        <f t="shared" si="14"/>
        <v/>
      </c>
      <c r="K137" s="12"/>
      <c r="L137" s="11" t="str">
        <f t="shared" si="15"/>
        <v/>
      </c>
      <c r="M137" s="12"/>
      <c r="N137" s="12"/>
      <c r="O137" s="11" t="str">
        <f t="shared" si="16"/>
        <v/>
      </c>
      <c r="P137" s="10" t="str">
        <f t="shared" si="17"/>
        <v/>
      </c>
    </row>
    <row r="138" spans="1:16" ht="15" customHeight="1" x14ac:dyDescent="0.2">
      <c r="A138" s="8"/>
      <c r="B138" s="8"/>
      <c r="C138" s="8"/>
      <c r="D138" s="9"/>
      <c r="E138" s="9"/>
      <c r="F138" s="8"/>
      <c r="G138" s="10" t="str">
        <f t="shared" si="12"/>
        <v/>
      </c>
      <c r="H138" s="10" t="str">
        <f t="shared" si="13"/>
        <v/>
      </c>
      <c r="I138" s="11" t="str">
        <f>IF(B138="Recreation",IFERROR(INDEX(RecPricing!$E$5:$E$10,MATCH(IF(C138="Mixed","External",IF(C138="Unknown","UoB",C138))&amp;"|"&amp;IF(F138&lt;=24,"&lt;=24",IF(F138&lt;=32,"&lt;=32","Above32")),RecPricing!$F$5:$F$10,0)),""),IFERROR(INDEX(Reference!$E$5:$E$12,MATCH(B138&amp;"|"&amp;IF(C138="Mixed","External",IF(C138="Unknown","UoB",C138))&amp;"|"&amp;IF(F138&lt;=32,"32","40"),Reference!$D$5:$D$12,0)),""))</f>
        <v/>
      </c>
      <c r="J138" s="11" t="str">
        <f t="shared" si="14"/>
        <v/>
      </c>
      <c r="K138" s="12"/>
      <c r="L138" s="11" t="str">
        <f t="shared" si="15"/>
        <v/>
      </c>
      <c r="M138" s="12"/>
      <c r="N138" s="12"/>
      <c r="O138" s="11" t="str">
        <f t="shared" si="16"/>
        <v/>
      </c>
      <c r="P138" s="10" t="str">
        <f t="shared" si="17"/>
        <v/>
      </c>
    </row>
    <row r="139" spans="1:16" ht="15" customHeight="1" x14ac:dyDescent="0.2">
      <c r="A139" s="8"/>
      <c r="B139" s="8"/>
      <c r="C139" s="8"/>
      <c r="D139" s="9"/>
      <c r="E139" s="9"/>
      <c r="F139" s="8"/>
      <c r="G139" s="10" t="str">
        <f t="shared" si="12"/>
        <v/>
      </c>
      <c r="H139" s="10" t="str">
        <f t="shared" si="13"/>
        <v/>
      </c>
      <c r="I139" s="11" t="str">
        <f>IF(B139="Recreation",IFERROR(INDEX(RecPricing!$E$5:$E$10,MATCH(IF(C139="Mixed","External",IF(C139="Unknown","UoB",C139))&amp;"|"&amp;IF(F139&lt;=24,"&lt;=24",IF(F139&lt;=32,"&lt;=32","Above32")),RecPricing!$F$5:$F$10,0)),""),IFERROR(INDEX(Reference!$E$5:$E$12,MATCH(B139&amp;"|"&amp;IF(C139="Mixed","External",IF(C139="Unknown","UoB",C139))&amp;"|"&amp;IF(F139&lt;=32,"32","40"),Reference!$D$5:$D$12,0)),""))</f>
        <v/>
      </c>
      <c r="J139" s="11" t="str">
        <f t="shared" si="14"/>
        <v/>
      </c>
      <c r="K139" s="12"/>
      <c r="L139" s="11" t="str">
        <f t="shared" si="15"/>
        <v/>
      </c>
      <c r="M139" s="12"/>
      <c r="N139" s="12"/>
      <c r="O139" s="11" t="str">
        <f t="shared" si="16"/>
        <v/>
      </c>
      <c r="P139" s="10" t="str">
        <f t="shared" si="17"/>
        <v/>
      </c>
    </row>
    <row r="140" spans="1:16" ht="15" customHeight="1" x14ac:dyDescent="0.2">
      <c r="A140" s="8"/>
      <c r="B140" s="8"/>
      <c r="C140" s="8"/>
      <c r="D140" s="9"/>
      <c r="E140" s="9"/>
      <c r="F140" s="8"/>
      <c r="G140" s="10" t="str">
        <f t="shared" si="12"/>
        <v/>
      </c>
      <c r="H140" s="10" t="str">
        <f t="shared" si="13"/>
        <v/>
      </c>
      <c r="I140" s="11" t="str">
        <f>IF(B140="Recreation",IFERROR(INDEX(RecPricing!$E$5:$E$10,MATCH(IF(C140="Mixed","External",IF(C140="Unknown","UoB",C140))&amp;"|"&amp;IF(F140&lt;=24,"&lt;=24",IF(F140&lt;=32,"&lt;=32","Above32")),RecPricing!$F$5:$F$10,0)),""),IFERROR(INDEX(Reference!$E$5:$E$12,MATCH(B140&amp;"|"&amp;IF(C140="Mixed","External",IF(C140="Unknown","UoB",C140))&amp;"|"&amp;IF(F140&lt;=32,"32","40"),Reference!$D$5:$D$12,0)),""))</f>
        <v/>
      </c>
      <c r="J140" s="11" t="str">
        <f t="shared" si="14"/>
        <v/>
      </c>
      <c r="K140" s="12"/>
      <c r="L140" s="11" t="str">
        <f t="shared" si="15"/>
        <v/>
      </c>
      <c r="M140" s="12"/>
      <c r="N140" s="12"/>
      <c r="O140" s="11" t="str">
        <f t="shared" si="16"/>
        <v/>
      </c>
      <c r="P140" s="10" t="str">
        <f t="shared" si="17"/>
        <v/>
      </c>
    </row>
    <row r="141" spans="1:16" ht="15" customHeight="1" x14ac:dyDescent="0.2">
      <c r="A141" s="8"/>
      <c r="B141" s="8"/>
      <c r="C141" s="8"/>
      <c r="D141" s="9"/>
      <c r="E141" s="9"/>
      <c r="F141" s="8"/>
      <c r="G141" s="10" t="str">
        <f t="shared" si="12"/>
        <v/>
      </c>
      <c r="H141" s="10" t="str">
        <f t="shared" si="13"/>
        <v/>
      </c>
      <c r="I141" s="11" t="str">
        <f>IF(B141="Recreation",IFERROR(INDEX(RecPricing!$E$5:$E$10,MATCH(IF(C141="Mixed","External",IF(C141="Unknown","UoB",C141))&amp;"|"&amp;IF(F141&lt;=24,"&lt;=24",IF(F141&lt;=32,"&lt;=32","Above32")),RecPricing!$F$5:$F$10,0)),""),IFERROR(INDEX(Reference!$E$5:$E$12,MATCH(B141&amp;"|"&amp;IF(C141="Mixed","External",IF(C141="Unknown","UoB",C141))&amp;"|"&amp;IF(F141&lt;=32,"32","40"),Reference!$D$5:$D$12,0)),""))</f>
        <v/>
      </c>
      <c r="J141" s="11" t="str">
        <f t="shared" si="14"/>
        <v/>
      </c>
      <c r="K141" s="12"/>
      <c r="L141" s="11" t="str">
        <f t="shared" si="15"/>
        <v/>
      </c>
      <c r="M141" s="12"/>
      <c r="N141" s="12"/>
      <c r="O141" s="11" t="str">
        <f t="shared" si="16"/>
        <v/>
      </c>
      <c r="P141" s="10" t="str">
        <f t="shared" si="17"/>
        <v/>
      </c>
    </row>
    <row r="142" spans="1:16" ht="15" customHeight="1" x14ac:dyDescent="0.2">
      <c r="A142" s="8"/>
      <c r="B142" s="8"/>
      <c r="C142" s="8"/>
      <c r="D142" s="9"/>
      <c r="E142" s="9"/>
      <c r="F142" s="8"/>
      <c r="G142" s="10" t="str">
        <f t="shared" si="12"/>
        <v/>
      </c>
      <c r="H142" s="10" t="str">
        <f t="shared" si="13"/>
        <v/>
      </c>
      <c r="I142" s="11" t="str">
        <f>IF(B142="Recreation",IFERROR(INDEX(RecPricing!$E$5:$E$10,MATCH(IF(C142="Mixed","External",IF(C142="Unknown","UoB",C142))&amp;"|"&amp;IF(F142&lt;=24,"&lt;=24",IF(F142&lt;=32,"&lt;=32","Above32")),RecPricing!$F$5:$F$10,0)),""),IFERROR(INDEX(Reference!$E$5:$E$12,MATCH(B142&amp;"|"&amp;IF(C142="Mixed","External",IF(C142="Unknown","UoB",C142))&amp;"|"&amp;IF(F142&lt;=32,"32","40"),Reference!$D$5:$D$12,0)),""))</f>
        <v/>
      </c>
      <c r="J142" s="11" t="str">
        <f t="shared" si="14"/>
        <v/>
      </c>
      <c r="K142" s="12"/>
      <c r="L142" s="11" t="str">
        <f t="shared" si="15"/>
        <v/>
      </c>
      <c r="M142" s="12"/>
      <c r="N142" s="12"/>
      <c r="O142" s="11" t="str">
        <f t="shared" si="16"/>
        <v/>
      </c>
      <c r="P142" s="10" t="str">
        <f t="shared" si="17"/>
        <v/>
      </c>
    </row>
    <row r="143" spans="1:16" ht="15" customHeight="1" x14ac:dyDescent="0.2">
      <c r="A143" s="8"/>
      <c r="B143" s="8"/>
      <c r="C143" s="8"/>
      <c r="D143" s="9"/>
      <c r="E143" s="9"/>
      <c r="F143" s="8"/>
      <c r="G143" s="10" t="str">
        <f t="shared" si="12"/>
        <v/>
      </c>
      <c r="H143" s="10" t="str">
        <f t="shared" si="13"/>
        <v/>
      </c>
      <c r="I143" s="11" t="str">
        <f>IF(B143="Recreation",IFERROR(INDEX(RecPricing!$E$5:$E$10,MATCH(IF(C143="Mixed","External",IF(C143="Unknown","UoB",C143))&amp;"|"&amp;IF(F143&lt;=24,"&lt;=24",IF(F143&lt;=32,"&lt;=32","Above32")),RecPricing!$F$5:$F$10,0)),""),IFERROR(INDEX(Reference!$E$5:$E$12,MATCH(B143&amp;"|"&amp;IF(C143="Mixed","External",IF(C143="Unknown","UoB",C143))&amp;"|"&amp;IF(F143&lt;=32,"32","40"),Reference!$D$5:$D$12,0)),""))</f>
        <v/>
      </c>
      <c r="J143" s="11" t="str">
        <f t="shared" si="14"/>
        <v/>
      </c>
      <c r="K143" s="12"/>
      <c r="L143" s="11" t="str">
        <f t="shared" si="15"/>
        <v/>
      </c>
      <c r="M143" s="12"/>
      <c r="N143" s="12"/>
      <c r="O143" s="11" t="str">
        <f t="shared" si="16"/>
        <v/>
      </c>
      <c r="P143" s="10" t="str">
        <f t="shared" si="17"/>
        <v/>
      </c>
    </row>
    <row r="144" spans="1:16" ht="15" customHeight="1" x14ac:dyDescent="0.2">
      <c r="A144" s="8"/>
      <c r="B144" s="8"/>
      <c r="C144" s="8"/>
      <c r="D144" s="9"/>
      <c r="E144" s="9"/>
      <c r="F144" s="8"/>
      <c r="G144" s="10" t="str">
        <f t="shared" si="12"/>
        <v/>
      </c>
      <c r="H144" s="10" t="str">
        <f t="shared" si="13"/>
        <v/>
      </c>
      <c r="I144" s="11" t="str">
        <f>IF(B144="Recreation",IFERROR(INDEX(RecPricing!$E$5:$E$10,MATCH(IF(C144="Mixed","External",IF(C144="Unknown","UoB",C144))&amp;"|"&amp;IF(F144&lt;=24,"&lt;=24",IF(F144&lt;=32,"&lt;=32","Above32")),RecPricing!$F$5:$F$10,0)),""),IFERROR(INDEX(Reference!$E$5:$E$12,MATCH(B144&amp;"|"&amp;IF(C144="Mixed","External",IF(C144="Unknown","UoB",C144))&amp;"|"&amp;IF(F144&lt;=32,"32","40"),Reference!$D$5:$D$12,0)),""))</f>
        <v/>
      </c>
      <c r="J144" s="11" t="str">
        <f t="shared" si="14"/>
        <v/>
      </c>
      <c r="K144" s="12"/>
      <c r="L144" s="11" t="str">
        <f t="shared" si="15"/>
        <v/>
      </c>
      <c r="M144" s="12"/>
      <c r="N144" s="12"/>
      <c r="O144" s="11" t="str">
        <f t="shared" si="16"/>
        <v/>
      </c>
      <c r="P144" s="10" t="str">
        <f t="shared" si="17"/>
        <v/>
      </c>
    </row>
    <row r="145" spans="1:16" ht="15" customHeight="1" x14ac:dyDescent="0.2">
      <c r="A145" s="8"/>
      <c r="B145" s="8"/>
      <c r="C145" s="8"/>
      <c r="D145" s="9"/>
      <c r="E145" s="9"/>
      <c r="F145" s="8"/>
      <c r="G145" s="10" t="str">
        <f t="shared" si="12"/>
        <v/>
      </c>
      <c r="H145" s="10" t="str">
        <f t="shared" si="13"/>
        <v/>
      </c>
      <c r="I145" s="11" t="str">
        <f>IF(B145="Recreation",IFERROR(INDEX(RecPricing!$E$5:$E$10,MATCH(IF(C145="Mixed","External",IF(C145="Unknown","UoB",C145))&amp;"|"&amp;IF(F145&lt;=24,"&lt;=24",IF(F145&lt;=32,"&lt;=32","Above32")),RecPricing!$F$5:$F$10,0)),""),IFERROR(INDEX(Reference!$E$5:$E$12,MATCH(B145&amp;"|"&amp;IF(C145="Mixed","External",IF(C145="Unknown","UoB",C145))&amp;"|"&amp;IF(F145&lt;=32,"32","40"),Reference!$D$5:$D$12,0)),""))</f>
        <v/>
      </c>
      <c r="J145" s="11" t="str">
        <f t="shared" si="14"/>
        <v/>
      </c>
      <c r="K145" s="12"/>
      <c r="L145" s="11" t="str">
        <f t="shared" si="15"/>
        <v/>
      </c>
      <c r="M145" s="12"/>
      <c r="N145" s="12"/>
      <c r="O145" s="11" t="str">
        <f t="shared" si="16"/>
        <v/>
      </c>
      <c r="P145" s="10" t="str">
        <f t="shared" si="17"/>
        <v/>
      </c>
    </row>
    <row r="146" spans="1:16" ht="15" customHeight="1" x14ac:dyDescent="0.2">
      <c r="A146" s="8"/>
      <c r="B146" s="8"/>
      <c r="C146" s="8"/>
      <c r="D146" s="9"/>
      <c r="E146" s="9"/>
      <c r="F146" s="8"/>
      <c r="G146" s="10" t="str">
        <f t="shared" si="12"/>
        <v/>
      </c>
      <c r="H146" s="10" t="str">
        <f t="shared" si="13"/>
        <v/>
      </c>
      <c r="I146" s="11" t="str">
        <f>IF(B146="Recreation",IFERROR(INDEX(RecPricing!$E$5:$E$10,MATCH(IF(C146="Mixed","External",IF(C146="Unknown","UoB",C146))&amp;"|"&amp;IF(F146&lt;=24,"&lt;=24",IF(F146&lt;=32,"&lt;=32","Above32")),RecPricing!$F$5:$F$10,0)),""),IFERROR(INDEX(Reference!$E$5:$E$12,MATCH(B146&amp;"|"&amp;IF(C146="Mixed","External",IF(C146="Unknown","UoB",C146))&amp;"|"&amp;IF(F146&lt;=32,"32","40"),Reference!$D$5:$D$12,0)),""))</f>
        <v/>
      </c>
      <c r="J146" s="11" t="str">
        <f t="shared" si="14"/>
        <v/>
      </c>
      <c r="K146" s="12"/>
      <c r="L146" s="11" t="str">
        <f t="shared" si="15"/>
        <v/>
      </c>
      <c r="M146" s="12"/>
      <c r="N146" s="12"/>
      <c r="O146" s="11" t="str">
        <f t="shared" si="16"/>
        <v/>
      </c>
      <c r="P146" s="10" t="str">
        <f t="shared" si="17"/>
        <v/>
      </c>
    </row>
    <row r="147" spans="1:16" ht="15" customHeight="1" x14ac:dyDescent="0.2">
      <c r="A147" s="8"/>
      <c r="B147" s="8"/>
      <c r="C147" s="8"/>
      <c r="D147" s="9"/>
      <c r="E147" s="9"/>
      <c r="F147" s="8"/>
      <c r="G147" s="10" t="str">
        <f t="shared" si="12"/>
        <v/>
      </c>
      <c r="H147" s="10" t="str">
        <f t="shared" si="13"/>
        <v/>
      </c>
      <c r="I147" s="11" t="str">
        <f>IF(B147="Recreation",IFERROR(INDEX(RecPricing!$E$5:$E$10,MATCH(IF(C147="Mixed","External",IF(C147="Unknown","UoB",C147))&amp;"|"&amp;IF(F147&lt;=24,"&lt;=24",IF(F147&lt;=32,"&lt;=32","Above32")),RecPricing!$F$5:$F$10,0)),""),IFERROR(INDEX(Reference!$E$5:$E$12,MATCH(B147&amp;"|"&amp;IF(C147="Mixed","External",IF(C147="Unknown","UoB",C147))&amp;"|"&amp;IF(F147&lt;=32,"32","40"),Reference!$D$5:$D$12,0)),""))</f>
        <v/>
      </c>
      <c r="J147" s="11" t="str">
        <f t="shared" si="14"/>
        <v/>
      </c>
      <c r="K147" s="12"/>
      <c r="L147" s="11" t="str">
        <f t="shared" si="15"/>
        <v/>
      </c>
      <c r="M147" s="12"/>
      <c r="N147" s="12"/>
      <c r="O147" s="11" t="str">
        <f t="shared" si="16"/>
        <v/>
      </c>
      <c r="P147" s="10" t="str">
        <f t="shared" si="17"/>
        <v/>
      </c>
    </row>
    <row r="148" spans="1:16" ht="15" customHeight="1" x14ac:dyDescent="0.2">
      <c r="A148" s="8"/>
      <c r="B148" s="8"/>
      <c r="C148" s="8"/>
      <c r="D148" s="9"/>
      <c r="E148" s="9"/>
      <c r="F148" s="8"/>
      <c r="G148" s="10" t="str">
        <f t="shared" si="12"/>
        <v/>
      </c>
      <c r="H148" s="10" t="str">
        <f t="shared" si="13"/>
        <v/>
      </c>
      <c r="I148" s="11" t="str">
        <f>IF(B148="Recreation",IFERROR(INDEX(RecPricing!$E$5:$E$10,MATCH(IF(C148="Mixed","External",IF(C148="Unknown","UoB",C148))&amp;"|"&amp;IF(F148&lt;=24,"&lt;=24",IF(F148&lt;=32,"&lt;=32","Above32")),RecPricing!$F$5:$F$10,0)),""),IFERROR(INDEX(Reference!$E$5:$E$12,MATCH(B148&amp;"|"&amp;IF(C148="Mixed","External",IF(C148="Unknown","UoB",C148))&amp;"|"&amp;IF(F148&lt;=32,"32","40"),Reference!$D$5:$D$12,0)),""))</f>
        <v/>
      </c>
      <c r="J148" s="11" t="str">
        <f t="shared" si="14"/>
        <v/>
      </c>
      <c r="K148" s="12"/>
      <c r="L148" s="11" t="str">
        <f t="shared" si="15"/>
        <v/>
      </c>
      <c r="M148" s="12"/>
      <c r="N148" s="12"/>
      <c r="O148" s="11" t="str">
        <f t="shared" si="16"/>
        <v/>
      </c>
      <c r="P148" s="10" t="str">
        <f t="shared" si="17"/>
        <v/>
      </c>
    </row>
    <row r="149" spans="1:16" ht="15" customHeight="1" x14ac:dyDescent="0.2">
      <c r="A149" s="8"/>
      <c r="B149" s="8"/>
      <c r="C149" s="8"/>
      <c r="D149" s="9"/>
      <c r="E149" s="9"/>
      <c r="F149" s="8"/>
      <c r="G149" s="10" t="str">
        <f t="shared" si="12"/>
        <v/>
      </c>
      <c r="H149" s="10" t="str">
        <f t="shared" si="13"/>
        <v/>
      </c>
      <c r="I149" s="11" t="str">
        <f>IF(B149="Recreation",IFERROR(INDEX(RecPricing!$E$5:$E$10,MATCH(IF(C149="Mixed","External",IF(C149="Unknown","UoB",C149))&amp;"|"&amp;IF(F149&lt;=24,"&lt;=24",IF(F149&lt;=32,"&lt;=32","Above32")),RecPricing!$F$5:$F$10,0)),""),IFERROR(INDEX(Reference!$E$5:$E$12,MATCH(B149&amp;"|"&amp;IF(C149="Mixed","External",IF(C149="Unknown","UoB",C149))&amp;"|"&amp;IF(F149&lt;=32,"32","40"),Reference!$D$5:$D$12,0)),""))</f>
        <v/>
      </c>
      <c r="J149" s="11" t="str">
        <f t="shared" si="14"/>
        <v/>
      </c>
      <c r="K149" s="12"/>
      <c r="L149" s="11" t="str">
        <f t="shared" si="15"/>
        <v/>
      </c>
      <c r="M149" s="12"/>
      <c r="N149" s="12"/>
      <c r="O149" s="11" t="str">
        <f t="shared" si="16"/>
        <v/>
      </c>
      <c r="P149" s="10" t="str">
        <f t="shared" si="17"/>
        <v/>
      </c>
    </row>
    <row r="150" spans="1:16" ht="15" customHeight="1" x14ac:dyDescent="0.2">
      <c r="A150" s="8"/>
      <c r="B150" s="8"/>
      <c r="C150" s="8"/>
      <c r="D150" s="9"/>
      <c r="E150" s="9"/>
      <c r="F150" s="8"/>
      <c r="G150" s="10" t="str">
        <f t="shared" si="12"/>
        <v/>
      </c>
      <c r="H150" s="10" t="str">
        <f t="shared" si="13"/>
        <v/>
      </c>
      <c r="I150" s="11" t="str">
        <f>IF(B150="Recreation",IFERROR(INDEX(RecPricing!$E$5:$E$10,MATCH(IF(C150="Mixed","External",IF(C150="Unknown","UoB",C150))&amp;"|"&amp;IF(F150&lt;=24,"&lt;=24",IF(F150&lt;=32,"&lt;=32","Above32")),RecPricing!$F$5:$F$10,0)),""),IFERROR(INDEX(Reference!$E$5:$E$12,MATCH(B150&amp;"|"&amp;IF(C150="Mixed","External",IF(C150="Unknown","UoB",C150))&amp;"|"&amp;IF(F150&lt;=32,"32","40"),Reference!$D$5:$D$12,0)),""))</f>
        <v/>
      </c>
      <c r="J150" s="11" t="str">
        <f t="shared" si="14"/>
        <v/>
      </c>
      <c r="K150" s="12"/>
      <c r="L150" s="11" t="str">
        <f t="shared" si="15"/>
        <v/>
      </c>
      <c r="M150" s="12"/>
      <c r="N150" s="12"/>
      <c r="O150" s="11" t="str">
        <f t="shared" si="16"/>
        <v/>
      </c>
      <c r="P150" s="10" t="str">
        <f t="shared" si="17"/>
        <v/>
      </c>
    </row>
    <row r="151" spans="1:16" ht="15" customHeight="1" x14ac:dyDescent="0.2">
      <c r="A151" s="8"/>
      <c r="B151" s="8"/>
      <c r="C151" s="8"/>
      <c r="D151" s="9"/>
      <c r="E151" s="9"/>
      <c r="F151" s="8"/>
      <c r="G151" s="10" t="str">
        <f t="shared" si="12"/>
        <v/>
      </c>
      <c r="H151" s="10" t="str">
        <f t="shared" si="13"/>
        <v/>
      </c>
      <c r="I151" s="11" t="str">
        <f>IF(B151="Recreation",IFERROR(INDEX(RecPricing!$E$5:$E$10,MATCH(IF(C151="Mixed","External",IF(C151="Unknown","UoB",C151))&amp;"|"&amp;IF(F151&lt;=24,"&lt;=24",IF(F151&lt;=32,"&lt;=32","Above32")),RecPricing!$F$5:$F$10,0)),""),IFERROR(INDEX(Reference!$E$5:$E$12,MATCH(B151&amp;"|"&amp;IF(C151="Mixed","External",IF(C151="Unknown","UoB",C151))&amp;"|"&amp;IF(F151&lt;=32,"32","40"),Reference!$D$5:$D$12,0)),""))</f>
        <v/>
      </c>
      <c r="J151" s="11" t="str">
        <f t="shared" si="14"/>
        <v/>
      </c>
      <c r="K151" s="12"/>
      <c r="L151" s="11" t="str">
        <f t="shared" si="15"/>
        <v/>
      </c>
      <c r="M151" s="12"/>
      <c r="N151" s="12"/>
      <c r="O151" s="11" t="str">
        <f t="shared" si="16"/>
        <v/>
      </c>
      <c r="P151" s="10" t="str">
        <f t="shared" si="17"/>
        <v/>
      </c>
    </row>
    <row r="152" spans="1:16" ht="15" customHeight="1" x14ac:dyDescent="0.2">
      <c r="A152" s="8"/>
      <c r="B152" s="8"/>
      <c r="C152" s="8"/>
      <c r="D152" s="9"/>
      <c r="E152" s="9"/>
      <c r="F152" s="8"/>
      <c r="G152" s="10" t="str">
        <f t="shared" si="12"/>
        <v/>
      </c>
      <c r="H152" s="10" t="str">
        <f t="shared" si="13"/>
        <v/>
      </c>
      <c r="I152" s="11" t="str">
        <f>IF(B152="Recreation",IFERROR(INDEX(RecPricing!$E$5:$E$10,MATCH(IF(C152="Mixed","External",IF(C152="Unknown","UoB",C152))&amp;"|"&amp;IF(F152&lt;=24,"&lt;=24",IF(F152&lt;=32,"&lt;=32","Above32")),RecPricing!$F$5:$F$10,0)),""),IFERROR(INDEX(Reference!$E$5:$E$12,MATCH(B152&amp;"|"&amp;IF(C152="Mixed","External",IF(C152="Unknown","UoB",C152))&amp;"|"&amp;IF(F152&lt;=32,"32","40"),Reference!$D$5:$D$12,0)),""))</f>
        <v/>
      </c>
      <c r="J152" s="11" t="str">
        <f t="shared" si="14"/>
        <v/>
      </c>
      <c r="K152" s="12"/>
      <c r="L152" s="11" t="str">
        <f t="shared" si="15"/>
        <v/>
      </c>
      <c r="M152" s="12"/>
      <c r="N152" s="12"/>
      <c r="O152" s="11" t="str">
        <f t="shared" si="16"/>
        <v/>
      </c>
      <c r="P152" s="10" t="str">
        <f t="shared" si="17"/>
        <v/>
      </c>
    </row>
    <row r="153" spans="1:16" ht="15" customHeight="1" x14ac:dyDescent="0.2">
      <c r="A153" s="8"/>
      <c r="B153" s="8"/>
      <c r="C153" s="8"/>
      <c r="D153" s="9"/>
      <c r="E153" s="9"/>
      <c r="F153" s="8"/>
      <c r="G153" s="10" t="str">
        <f t="shared" si="12"/>
        <v/>
      </c>
      <c r="H153" s="10" t="str">
        <f t="shared" si="13"/>
        <v/>
      </c>
      <c r="I153" s="11" t="str">
        <f>IF(B153="Recreation",IFERROR(INDEX(RecPricing!$E$5:$E$10,MATCH(IF(C153="Mixed","External",IF(C153="Unknown","UoB",C153))&amp;"|"&amp;IF(F153&lt;=24,"&lt;=24",IF(F153&lt;=32,"&lt;=32","Above32")),RecPricing!$F$5:$F$10,0)),""),IFERROR(INDEX(Reference!$E$5:$E$12,MATCH(B153&amp;"|"&amp;IF(C153="Mixed","External",IF(C153="Unknown","UoB",C153))&amp;"|"&amp;IF(F153&lt;=32,"32","40"),Reference!$D$5:$D$12,0)),""))</f>
        <v/>
      </c>
      <c r="J153" s="11" t="str">
        <f t="shared" si="14"/>
        <v/>
      </c>
      <c r="K153" s="12"/>
      <c r="L153" s="11" t="str">
        <f t="shared" si="15"/>
        <v/>
      </c>
      <c r="M153" s="12"/>
      <c r="N153" s="12"/>
      <c r="O153" s="11" t="str">
        <f t="shared" si="16"/>
        <v/>
      </c>
      <c r="P153" s="10" t="str">
        <f t="shared" si="17"/>
        <v/>
      </c>
    </row>
    <row r="154" spans="1:16" ht="15" customHeight="1" x14ac:dyDescent="0.2">
      <c r="A154" s="8"/>
      <c r="B154" s="8"/>
      <c r="C154" s="8"/>
      <c r="D154" s="9"/>
      <c r="E154" s="9"/>
      <c r="F154" s="8"/>
      <c r="G154" s="10" t="str">
        <f t="shared" si="12"/>
        <v/>
      </c>
      <c r="H154" s="10" t="str">
        <f t="shared" si="13"/>
        <v/>
      </c>
      <c r="I154" s="11" t="str">
        <f>IF(B154="Recreation",IFERROR(INDEX(RecPricing!$E$5:$E$10,MATCH(IF(C154="Mixed","External",IF(C154="Unknown","UoB",C154))&amp;"|"&amp;IF(F154&lt;=24,"&lt;=24",IF(F154&lt;=32,"&lt;=32","Above32")),RecPricing!$F$5:$F$10,0)),""),IFERROR(INDEX(Reference!$E$5:$E$12,MATCH(B154&amp;"|"&amp;IF(C154="Mixed","External",IF(C154="Unknown","UoB",C154))&amp;"|"&amp;IF(F154&lt;=32,"32","40"),Reference!$D$5:$D$12,0)),""))</f>
        <v/>
      </c>
      <c r="J154" s="11" t="str">
        <f t="shared" si="14"/>
        <v/>
      </c>
      <c r="K154" s="12"/>
      <c r="L154" s="11" t="str">
        <f t="shared" si="15"/>
        <v/>
      </c>
      <c r="M154" s="12"/>
      <c r="N154" s="12"/>
      <c r="O154" s="11" t="str">
        <f t="shared" si="16"/>
        <v/>
      </c>
      <c r="P154" s="10" t="str">
        <f t="shared" si="17"/>
        <v/>
      </c>
    </row>
    <row r="155" spans="1:16" ht="15" customHeight="1" x14ac:dyDescent="0.2">
      <c r="A155" s="8"/>
      <c r="B155" s="8"/>
      <c r="C155" s="8"/>
      <c r="D155" s="9"/>
      <c r="E155" s="9"/>
      <c r="F155" s="8"/>
      <c r="G155" s="10" t="str">
        <f t="shared" si="12"/>
        <v/>
      </c>
      <c r="H155" s="10" t="str">
        <f t="shared" si="13"/>
        <v/>
      </c>
      <c r="I155" s="11" t="str">
        <f>IF(B155="Recreation",IFERROR(INDEX(RecPricing!$E$5:$E$10,MATCH(IF(C155="Mixed","External",IF(C155="Unknown","UoB",C155))&amp;"|"&amp;IF(F155&lt;=24,"&lt;=24",IF(F155&lt;=32,"&lt;=32","Above32")),RecPricing!$F$5:$F$10,0)),""),IFERROR(INDEX(Reference!$E$5:$E$12,MATCH(B155&amp;"|"&amp;IF(C155="Mixed","External",IF(C155="Unknown","UoB",C155))&amp;"|"&amp;IF(F155&lt;=32,"32","40"),Reference!$D$5:$D$12,0)),""))</f>
        <v/>
      </c>
      <c r="J155" s="11" t="str">
        <f t="shared" si="14"/>
        <v/>
      </c>
      <c r="K155" s="12"/>
      <c r="L155" s="11" t="str">
        <f t="shared" si="15"/>
        <v/>
      </c>
      <c r="M155" s="12"/>
      <c r="N155" s="12"/>
      <c r="O155" s="11" t="str">
        <f t="shared" si="16"/>
        <v/>
      </c>
      <c r="P155" s="10" t="str">
        <f t="shared" si="17"/>
        <v/>
      </c>
    </row>
    <row r="156" spans="1:16" ht="15" customHeight="1" x14ac:dyDescent="0.2">
      <c r="A156" s="8"/>
      <c r="B156" s="8"/>
      <c r="C156" s="8"/>
      <c r="D156" s="9"/>
      <c r="E156" s="9"/>
      <c r="F156" s="8"/>
      <c r="G156" s="10" t="str">
        <f t="shared" si="12"/>
        <v/>
      </c>
      <c r="H156" s="10" t="str">
        <f t="shared" si="13"/>
        <v/>
      </c>
      <c r="I156" s="11" t="str">
        <f>IF(B156="Recreation",IFERROR(INDEX(RecPricing!$E$5:$E$10,MATCH(IF(C156="Mixed","External",IF(C156="Unknown","UoB",C156))&amp;"|"&amp;IF(F156&lt;=24,"&lt;=24",IF(F156&lt;=32,"&lt;=32","Above32")),RecPricing!$F$5:$F$10,0)),""),IFERROR(INDEX(Reference!$E$5:$E$12,MATCH(B156&amp;"|"&amp;IF(C156="Mixed","External",IF(C156="Unknown","UoB",C156))&amp;"|"&amp;IF(F156&lt;=32,"32","40"),Reference!$D$5:$D$12,0)),""))</f>
        <v/>
      </c>
      <c r="J156" s="11" t="str">
        <f t="shared" si="14"/>
        <v/>
      </c>
      <c r="K156" s="12"/>
      <c r="L156" s="11" t="str">
        <f t="shared" si="15"/>
        <v/>
      </c>
      <c r="M156" s="12"/>
      <c r="N156" s="12"/>
      <c r="O156" s="11" t="str">
        <f t="shared" si="16"/>
        <v/>
      </c>
      <c r="P156" s="10" t="str">
        <f t="shared" si="17"/>
        <v/>
      </c>
    </row>
    <row r="157" spans="1:16" ht="15" customHeight="1" x14ac:dyDescent="0.2">
      <c r="A157" s="8"/>
      <c r="B157" s="8"/>
      <c r="C157" s="8"/>
      <c r="D157" s="9"/>
      <c r="E157" s="9"/>
      <c r="F157" s="8"/>
      <c r="G157" s="10" t="str">
        <f t="shared" si="12"/>
        <v/>
      </c>
      <c r="H157" s="10" t="str">
        <f t="shared" si="13"/>
        <v/>
      </c>
      <c r="I157" s="11" t="str">
        <f>IF(B157="Recreation",IFERROR(INDEX(RecPricing!$E$5:$E$10,MATCH(IF(C157="Mixed","External",IF(C157="Unknown","UoB",C157))&amp;"|"&amp;IF(F157&lt;=24,"&lt;=24",IF(F157&lt;=32,"&lt;=32","Above32")),RecPricing!$F$5:$F$10,0)),""),IFERROR(INDEX(Reference!$E$5:$E$12,MATCH(B157&amp;"|"&amp;IF(C157="Mixed","External",IF(C157="Unknown","UoB",C157))&amp;"|"&amp;IF(F157&lt;=32,"32","40"),Reference!$D$5:$D$12,0)),""))</f>
        <v/>
      </c>
      <c r="J157" s="11" t="str">
        <f t="shared" si="14"/>
        <v/>
      </c>
      <c r="K157" s="12"/>
      <c r="L157" s="11" t="str">
        <f t="shared" si="15"/>
        <v/>
      </c>
      <c r="M157" s="12"/>
      <c r="N157" s="12"/>
      <c r="O157" s="11" t="str">
        <f t="shared" si="16"/>
        <v/>
      </c>
      <c r="P157" s="10" t="str">
        <f t="shared" si="17"/>
        <v/>
      </c>
    </row>
    <row r="158" spans="1:16" ht="15" customHeight="1" x14ac:dyDescent="0.2">
      <c r="A158" s="8"/>
      <c r="B158" s="8"/>
      <c r="C158" s="8"/>
      <c r="D158" s="9"/>
      <c r="E158" s="9"/>
      <c r="F158" s="8"/>
      <c r="G158" s="10" t="str">
        <f t="shared" si="12"/>
        <v/>
      </c>
      <c r="H158" s="10" t="str">
        <f t="shared" si="13"/>
        <v/>
      </c>
      <c r="I158" s="11" t="str">
        <f>IF(B158="Recreation",IFERROR(INDEX(RecPricing!$E$5:$E$10,MATCH(IF(C158="Mixed","External",IF(C158="Unknown","UoB",C158))&amp;"|"&amp;IF(F158&lt;=24,"&lt;=24",IF(F158&lt;=32,"&lt;=32","Above32")),RecPricing!$F$5:$F$10,0)),""),IFERROR(INDEX(Reference!$E$5:$E$12,MATCH(B158&amp;"|"&amp;IF(C158="Mixed","External",IF(C158="Unknown","UoB",C158))&amp;"|"&amp;IF(F158&lt;=32,"32","40"),Reference!$D$5:$D$12,0)),""))</f>
        <v/>
      </c>
      <c r="J158" s="11" t="str">
        <f t="shared" si="14"/>
        <v/>
      </c>
      <c r="K158" s="12"/>
      <c r="L158" s="11" t="str">
        <f t="shared" si="15"/>
        <v/>
      </c>
      <c r="M158" s="12"/>
      <c r="N158" s="12"/>
      <c r="O158" s="11" t="str">
        <f t="shared" si="16"/>
        <v/>
      </c>
      <c r="P158" s="10" t="str">
        <f t="shared" si="17"/>
        <v/>
      </c>
    </row>
    <row r="159" spans="1:16" ht="15" customHeight="1" x14ac:dyDescent="0.2">
      <c r="A159" s="8"/>
      <c r="B159" s="8"/>
      <c r="C159" s="8"/>
      <c r="D159" s="9"/>
      <c r="E159" s="9"/>
      <c r="F159" s="8"/>
      <c r="G159" s="10" t="str">
        <f t="shared" si="12"/>
        <v/>
      </c>
      <c r="H159" s="10" t="str">
        <f t="shared" si="13"/>
        <v/>
      </c>
      <c r="I159" s="11" t="str">
        <f>IF(B159="Recreation",IFERROR(INDEX(RecPricing!$E$5:$E$10,MATCH(IF(C159="Mixed","External",IF(C159="Unknown","UoB",C159))&amp;"|"&amp;IF(F159&lt;=24,"&lt;=24",IF(F159&lt;=32,"&lt;=32","Above32")),RecPricing!$F$5:$F$10,0)),""),IFERROR(INDEX(Reference!$E$5:$E$12,MATCH(B159&amp;"|"&amp;IF(C159="Mixed","External",IF(C159="Unknown","UoB",C159))&amp;"|"&amp;IF(F159&lt;=32,"32","40"),Reference!$D$5:$D$12,0)),""))</f>
        <v/>
      </c>
      <c r="J159" s="11" t="str">
        <f t="shared" si="14"/>
        <v/>
      </c>
      <c r="K159" s="12"/>
      <c r="L159" s="11" t="str">
        <f t="shared" si="15"/>
        <v/>
      </c>
      <c r="M159" s="12"/>
      <c r="N159" s="12"/>
      <c r="O159" s="11" t="str">
        <f t="shared" si="16"/>
        <v/>
      </c>
      <c r="P159" s="10" t="str">
        <f t="shared" si="17"/>
        <v/>
      </c>
    </row>
    <row r="160" spans="1:16" ht="15" customHeight="1" x14ac:dyDescent="0.2">
      <c r="A160" s="8"/>
      <c r="B160" s="8"/>
      <c r="C160" s="8"/>
      <c r="D160" s="9"/>
      <c r="E160" s="9"/>
      <c r="F160" s="8"/>
      <c r="G160" s="10" t="str">
        <f t="shared" si="12"/>
        <v/>
      </c>
      <c r="H160" s="10" t="str">
        <f t="shared" si="13"/>
        <v/>
      </c>
      <c r="I160" s="11" t="str">
        <f>IF(B160="Recreation",IFERROR(INDEX(RecPricing!$E$5:$E$10,MATCH(IF(C160="Mixed","External",IF(C160="Unknown","UoB",C160))&amp;"|"&amp;IF(F160&lt;=24,"&lt;=24",IF(F160&lt;=32,"&lt;=32","Above32")),RecPricing!$F$5:$F$10,0)),""),IFERROR(INDEX(Reference!$E$5:$E$12,MATCH(B160&amp;"|"&amp;IF(C160="Mixed","External",IF(C160="Unknown","UoB",C160))&amp;"|"&amp;IF(F160&lt;=32,"32","40"),Reference!$D$5:$D$12,0)),""))</f>
        <v/>
      </c>
      <c r="J160" s="11" t="str">
        <f t="shared" si="14"/>
        <v/>
      </c>
      <c r="K160" s="12"/>
      <c r="L160" s="11" t="str">
        <f t="shared" si="15"/>
        <v/>
      </c>
      <c r="M160" s="12"/>
      <c r="N160" s="12"/>
      <c r="O160" s="11" t="str">
        <f t="shared" si="16"/>
        <v/>
      </c>
      <c r="P160" s="10" t="str">
        <f t="shared" si="17"/>
        <v/>
      </c>
    </row>
    <row r="161" spans="1:16" ht="15" customHeight="1" x14ac:dyDescent="0.2">
      <c r="A161" s="8"/>
      <c r="B161" s="8"/>
      <c r="C161" s="8"/>
      <c r="D161" s="9"/>
      <c r="E161" s="9"/>
      <c r="F161" s="8"/>
      <c r="G161" s="10" t="str">
        <f t="shared" si="12"/>
        <v/>
      </c>
      <c r="H161" s="10" t="str">
        <f t="shared" si="13"/>
        <v/>
      </c>
      <c r="I161" s="11" t="str">
        <f>IF(B161="Recreation",IFERROR(INDEX(RecPricing!$E$5:$E$10,MATCH(IF(C161="Mixed","External",IF(C161="Unknown","UoB",C161))&amp;"|"&amp;IF(F161&lt;=24,"&lt;=24",IF(F161&lt;=32,"&lt;=32","Above32")),RecPricing!$F$5:$F$10,0)),""),IFERROR(INDEX(Reference!$E$5:$E$12,MATCH(B161&amp;"|"&amp;IF(C161="Mixed","External",IF(C161="Unknown","UoB",C161))&amp;"|"&amp;IF(F161&lt;=32,"32","40"),Reference!$D$5:$D$12,0)),""))</f>
        <v/>
      </c>
      <c r="J161" s="11" t="str">
        <f t="shared" si="14"/>
        <v/>
      </c>
      <c r="K161" s="12"/>
      <c r="L161" s="11" t="str">
        <f t="shared" si="15"/>
        <v/>
      </c>
      <c r="M161" s="12"/>
      <c r="N161" s="12"/>
      <c r="O161" s="11" t="str">
        <f t="shared" si="16"/>
        <v/>
      </c>
      <c r="P161" s="10" t="str">
        <f t="shared" si="17"/>
        <v/>
      </c>
    </row>
    <row r="162" spans="1:16" ht="15" customHeight="1" x14ac:dyDescent="0.2">
      <c r="A162" s="8"/>
      <c r="B162" s="8"/>
      <c r="C162" s="8"/>
      <c r="D162" s="9"/>
      <c r="E162" s="9"/>
      <c r="F162" s="8"/>
      <c r="G162" s="10" t="str">
        <f t="shared" si="12"/>
        <v/>
      </c>
      <c r="H162" s="10" t="str">
        <f t="shared" si="13"/>
        <v/>
      </c>
      <c r="I162" s="11" t="str">
        <f>IF(B162="Recreation",IFERROR(INDEX(RecPricing!$E$5:$E$10,MATCH(IF(C162="Mixed","External",IF(C162="Unknown","UoB",C162))&amp;"|"&amp;IF(F162&lt;=24,"&lt;=24",IF(F162&lt;=32,"&lt;=32","Above32")),RecPricing!$F$5:$F$10,0)),""),IFERROR(INDEX(Reference!$E$5:$E$12,MATCH(B162&amp;"|"&amp;IF(C162="Mixed","External",IF(C162="Unknown","UoB",C162))&amp;"|"&amp;IF(F162&lt;=32,"32","40"),Reference!$D$5:$D$12,0)),""))</f>
        <v/>
      </c>
      <c r="J162" s="11" t="str">
        <f t="shared" si="14"/>
        <v/>
      </c>
      <c r="K162" s="12"/>
      <c r="L162" s="11" t="str">
        <f t="shared" si="15"/>
        <v/>
      </c>
      <c r="M162" s="12"/>
      <c r="N162" s="12"/>
      <c r="O162" s="11" t="str">
        <f t="shared" si="16"/>
        <v/>
      </c>
      <c r="P162" s="10" t="str">
        <f t="shared" si="17"/>
        <v/>
      </c>
    </row>
    <row r="163" spans="1:16" ht="15" customHeight="1" x14ac:dyDescent="0.2">
      <c r="A163" s="8"/>
      <c r="B163" s="8"/>
      <c r="C163" s="8"/>
      <c r="D163" s="9"/>
      <c r="E163" s="9"/>
      <c r="F163" s="8"/>
      <c r="G163" s="10" t="str">
        <f t="shared" si="12"/>
        <v/>
      </c>
      <c r="H163" s="10" t="str">
        <f t="shared" si="13"/>
        <v/>
      </c>
      <c r="I163" s="11" t="str">
        <f>IF(B163="Recreation",IFERROR(INDEX(RecPricing!$E$5:$E$10,MATCH(IF(C163="Mixed","External",IF(C163="Unknown","UoB",C163))&amp;"|"&amp;IF(F163&lt;=24,"&lt;=24",IF(F163&lt;=32,"&lt;=32","Above32")),RecPricing!$F$5:$F$10,0)),""),IFERROR(INDEX(Reference!$E$5:$E$12,MATCH(B163&amp;"|"&amp;IF(C163="Mixed","External",IF(C163="Unknown","UoB",C163))&amp;"|"&amp;IF(F163&lt;=32,"32","40"),Reference!$D$5:$D$12,0)),""))</f>
        <v/>
      </c>
      <c r="J163" s="11" t="str">
        <f t="shared" si="14"/>
        <v/>
      </c>
      <c r="K163" s="12"/>
      <c r="L163" s="11" t="str">
        <f t="shared" si="15"/>
        <v/>
      </c>
      <c r="M163" s="12"/>
      <c r="N163" s="12"/>
      <c r="O163" s="11" t="str">
        <f t="shared" si="16"/>
        <v/>
      </c>
      <c r="P163" s="10" t="str">
        <f t="shared" si="17"/>
        <v/>
      </c>
    </row>
    <row r="164" spans="1:16" ht="15" customHeight="1" x14ac:dyDescent="0.2">
      <c r="A164" s="8"/>
      <c r="B164" s="8"/>
      <c r="C164" s="8"/>
      <c r="D164" s="9"/>
      <c r="E164" s="9"/>
      <c r="F164" s="8"/>
      <c r="G164" s="10" t="str">
        <f t="shared" si="12"/>
        <v/>
      </c>
      <c r="H164" s="10" t="str">
        <f t="shared" si="13"/>
        <v/>
      </c>
      <c r="I164" s="11" t="str">
        <f>IF(B164="Recreation",IFERROR(INDEX(RecPricing!$E$5:$E$10,MATCH(IF(C164="Mixed","External",IF(C164="Unknown","UoB",C164))&amp;"|"&amp;IF(F164&lt;=24,"&lt;=24",IF(F164&lt;=32,"&lt;=32","Above32")),RecPricing!$F$5:$F$10,0)),""),IFERROR(INDEX(Reference!$E$5:$E$12,MATCH(B164&amp;"|"&amp;IF(C164="Mixed","External",IF(C164="Unknown","UoB",C164))&amp;"|"&amp;IF(F164&lt;=32,"32","40"),Reference!$D$5:$D$12,0)),""))</f>
        <v/>
      </c>
      <c r="J164" s="11" t="str">
        <f t="shared" si="14"/>
        <v/>
      </c>
      <c r="K164" s="12"/>
      <c r="L164" s="11" t="str">
        <f t="shared" si="15"/>
        <v/>
      </c>
      <c r="M164" s="12"/>
      <c r="N164" s="12"/>
      <c r="O164" s="11" t="str">
        <f t="shared" si="16"/>
        <v/>
      </c>
      <c r="P164" s="10" t="str">
        <f t="shared" si="17"/>
        <v/>
      </c>
    </row>
    <row r="165" spans="1:16" ht="15" customHeight="1" x14ac:dyDescent="0.2">
      <c r="A165" s="8"/>
      <c r="B165" s="8"/>
      <c r="C165" s="8"/>
      <c r="D165" s="9"/>
      <c r="E165" s="9"/>
      <c r="F165" s="8"/>
      <c r="G165" s="10" t="str">
        <f t="shared" si="12"/>
        <v/>
      </c>
      <c r="H165" s="10" t="str">
        <f t="shared" si="13"/>
        <v/>
      </c>
      <c r="I165" s="11" t="str">
        <f>IF(B165="Recreation",IFERROR(INDEX(RecPricing!$E$5:$E$10,MATCH(IF(C165="Mixed","External",IF(C165="Unknown","UoB",C165))&amp;"|"&amp;IF(F165&lt;=24,"&lt;=24",IF(F165&lt;=32,"&lt;=32","Above32")),RecPricing!$F$5:$F$10,0)),""),IFERROR(INDEX(Reference!$E$5:$E$12,MATCH(B165&amp;"|"&amp;IF(C165="Mixed","External",IF(C165="Unknown","UoB",C165))&amp;"|"&amp;IF(F165&lt;=32,"32","40"),Reference!$D$5:$D$12,0)),""))</f>
        <v/>
      </c>
      <c r="J165" s="11" t="str">
        <f t="shared" si="14"/>
        <v/>
      </c>
      <c r="K165" s="12"/>
      <c r="L165" s="11" t="str">
        <f t="shared" si="15"/>
        <v/>
      </c>
      <c r="M165" s="12"/>
      <c r="N165" s="12"/>
      <c r="O165" s="11" t="str">
        <f t="shared" si="16"/>
        <v/>
      </c>
      <c r="P165" s="10" t="str">
        <f t="shared" si="17"/>
        <v/>
      </c>
    </row>
    <row r="166" spans="1:16" ht="15" customHeight="1" x14ac:dyDescent="0.2">
      <c r="A166" s="8"/>
      <c r="B166" s="8"/>
      <c r="C166" s="8"/>
      <c r="D166" s="9"/>
      <c r="E166" s="9"/>
      <c r="F166" s="8"/>
      <c r="G166" s="10" t="str">
        <f t="shared" si="12"/>
        <v/>
      </c>
      <c r="H166" s="10" t="str">
        <f t="shared" si="13"/>
        <v/>
      </c>
      <c r="I166" s="11" t="str">
        <f>IF(B166="Recreation",IFERROR(INDEX(RecPricing!$E$5:$E$10,MATCH(IF(C166="Mixed","External",IF(C166="Unknown","UoB",C166))&amp;"|"&amp;IF(F166&lt;=24,"&lt;=24",IF(F166&lt;=32,"&lt;=32","Above32")),RecPricing!$F$5:$F$10,0)),""),IFERROR(INDEX(Reference!$E$5:$E$12,MATCH(B166&amp;"|"&amp;IF(C166="Mixed","External",IF(C166="Unknown","UoB",C166))&amp;"|"&amp;IF(F166&lt;=32,"32","40"),Reference!$D$5:$D$12,0)),""))</f>
        <v/>
      </c>
      <c r="J166" s="11" t="str">
        <f t="shared" si="14"/>
        <v/>
      </c>
      <c r="K166" s="12"/>
      <c r="L166" s="11" t="str">
        <f t="shared" si="15"/>
        <v/>
      </c>
      <c r="M166" s="12"/>
      <c r="N166" s="12"/>
      <c r="O166" s="11" t="str">
        <f t="shared" si="16"/>
        <v/>
      </c>
      <c r="P166" s="10" t="str">
        <f t="shared" si="17"/>
        <v/>
      </c>
    </row>
    <row r="167" spans="1:16" ht="15" customHeight="1" x14ac:dyDescent="0.2">
      <c r="A167" s="8"/>
      <c r="B167" s="8"/>
      <c r="C167" s="8"/>
      <c r="D167" s="9"/>
      <c r="E167" s="9"/>
      <c r="F167" s="8"/>
      <c r="G167" s="10" t="str">
        <f t="shared" si="12"/>
        <v/>
      </c>
      <c r="H167" s="10" t="str">
        <f t="shared" si="13"/>
        <v/>
      </c>
      <c r="I167" s="11" t="str">
        <f>IF(B167="Recreation",IFERROR(INDEX(RecPricing!$E$5:$E$10,MATCH(IF(C167="Mixed","External",IF(C167="Unknown","UoB",C167))&amp;"|"&amp;IF(F167&lt;=24,"&lt;=24",IF(F167&lt;=32,"&lt;=32","Above32")),RecPricing!$F$5:$F$10,0)),""),IFERROR(INDEX(Reference!$E$5:$E$12,MATCH(B167&amp;"|"&amp;IF(C167="Mixed","External",IF(C167="Unknown","UoB",C167))&amp;"|"&amp;IF(F167&lt;=32,"32","40"),Reference!$D$5:$D$12,0)),""))</f>
        <v/>
      </c>
      <c r="J167" s="11" t="str">
        <f t="shared" si="14"/>
        <v/>
      </c>
      <c r="K167" s="12"/>
      <c r="L167" s="11" t="str">
        <f t="shared" si="15"/>
        <v/>
      </c>
      <c r="M167" s="12"/>
      <c r="N167" s="12"/>
      <c r="O167" s="11" t="str">
        <f t="shared" si="16"/>
        <v/>
      </c>
      <c r="P167" s="10" t="str">
        <f t="shared" si="17"/>
        <v/>
      </c>
    </row>
    <row r="168" spans="1:16" ht="15" customHeight="1" x14ac:dyDescent="0.2">
      <c r="A168" s="8"/>
      <c r="B168" s="8"/>
      <c r="C168" s="8"/>
      <c r="D168" s="9"/>
      <c r="E168" s="9"/>
      <c r="F168" s="8"/>
      <c r="G168" s="10" t="str">
        <f t="shared" si="12"/>
        <v/>
      </c>
      <c r="H168" s="10" t="str">
        <f t="shared" si="13"/>
        <v/>
      </c>
      <c r="I168" s="11" t="str">
        <f>IF(B168="Recreation",IFERROR(INDEX(RecPricing!$E$5:$E$10,MATCH(IF(C168="Mixed","External",IF(C168="Unknown","UoB",C168))&amp;"|"&amp;IF(F168&lt;=24,"&lt;=24",IF(F168&lt;=32,"&lt;=32","Above32")),RecPricing!$F$5:$F$10,0)),""),IFERROR(INDEX(Reference!$E$5:$E$12,MATCH(B168&amp;"|"&amp;IF(C168="Mixed","External",IF(C168="Unknown","UoB",C168))&amp;"|"&amp;IF(F168&lt;=32,"32","40"),Reference!$D$5:$D$12,0)),""))</f>
        <v/>
      </c>
      <c r="J168" s="11" t="str">
        <f t="shared" si="14"/>
        <v/>
      </c>
      <c r="K168" s="12"/>
      <c r="L168" s="11" t="str">
        <f t="shared" si="15"/>
        <v/>
      </c>
      <c r="M168" s="12"/>
      <c r="N168" s="12"/>
      <c r="O168" s="11" t="str">
        <f t="shared" si="16"/>
        <v/>
      </c>
      <c r="P168" s="10" t="str">
        <f t="shared" si="17"/>
        <v/>
      </c>
    </row>
    <row r="169" spans="1:16" ht="15" customHeight="1" x14ac:dyDescent="0.2">
      <c r="A169" s="8"/>
      <c r="B169" s="8"/>
      <c r="C169" s="8"/>
      <c r="D169" s="9"/>
      <c r="E169" s="9"/>
      <c r="F169" s="8"/>
      <c r="G169" s="10" t="str">
        <f t="shared" si="12"/>
        <v/>
      </c>
      <c r="H169" s="10" t="str">
        <f t="shared" si="13"/>
        <v/>
      </c>
      <c r="I169" s="11" t="str">
        <f>IF(B169="Recreation",IFERROR(INDEX(RecPricing!$E$5:$E$10,MATCH(IF(C169="Mixed","External",IF(C169="Unknown","UoB",C169))&amp;"|"&amp;IF(F169&lt;=24,"&lt;=24",IF(F169&lt;=32,"&lt;=32","Above32")),RecPricing!$F$5:$F$10,0)),""),IFERROR(INDEX(Reference!$E$5:$E$12,MATCH(B169&amp;"|"&amp;IF(C169="Mixed","External",IF(C169="Unknown","UoB",C169))&amp;"|"&amp;IF(F169&lt;=32,"32","40"),Reference!$D$5:$D$12,0)),""))</f>
        <v/>
      </c>
      <c r="J169" s="11" t="str">
        <f t="shared" si="14"/>
        <v/>
      </c>
      <c r="K169" s="12"/>
      <c r="L169" s="11" t="str">
        <f t="shared" si="15"/>
        <v/>
      </c>
      <c r="M169" s="12"/>
      <c r="N169" s="12"/>
      <c r="O169" s="11" t="str">
        <f t="shared" si="16"/>
        <v/>
      </c>
      <c r="P169" s="10" t="str">
        <f t="shared" si="17"/>
        <v/>
      </c>
    </row>
    <row r="170" spans="1:16" ht="15" customHeight="1" x14ac:dyDescent="0.2">
      <c r="A170" s="8"/>
      <c r="B170" s="8"/>
      <c r="C170" s="8"/>
      <c r="D170" s="9"/>
      <c r="E170" s="9"/>
      <c r="F170" s="8"/>
      <c r="G170" s="10" t="str">
        <f t="shared" si="12"/>
        <v/>
      </c>
      <c r="H170" s="10" t="str">
        <f t="shared" si="13"/>
        <v/>
      </c>
      <c r="I170" s="11" t="str">
        <f>IF(B170="Recreation",IFERROR(INDEX(RecPricing!$E$5:$E$10,MATCH(IF(C170="Mixed","External",IF(C170="Unknown","UoB",C170))&amp;"|"&amp;IF(F170&lt;=24,"&lt;=24",IF(F170&lt;=32,"&lt;=32","Above32")),RecPricing!$F$5:$F$10,0)),""),IFERROR(INDEX(Reference!$E$5:$E$12,MATCH(B170&amp;"|"&amp;IF(C170="Mixed","External",IF(C170="Unknown","UoB",C170))&amp;"|"&amp;IF(F170&lt;=32,"32","40"),Reference!$D$5:$D$12,0)),""))</f>
        <v/>
      </c>
      <c r="J170" s="11" t="str">
        <f t="shared" si="14"/>
        <v/>
      </c>
      <c r="K170" s="12"/>
      <c r="L170" s="11" t="str">
        <f t="shared" si="15"/>
        <v/>
      </c>
      <c r="M170" s="12"/>
      <c r="N170" s="12"/>
      <c r="O170" s="11" t="str">
        <f t="shared" si="16"/>
        <v/>
      </c>
      <c r="P170" s="10" t="str">
        <f t="shared" si="17"/>
        <v/>
      </c>
    </row>
    <row r="171" spans="1:16" ht="15" customHeight="1" x14ac:dyDescent="0.2">
      <c r="A171" s="8"/>
      <c r="B171" s="8"/>
      <c r="C171" s="8"/>
      <c r="D171" s="9"/>
      <c r="E171" s="9"/>
      <c r="F171" s="8"/>
      <c r="G171" s="10" t="str">
        <f t="shared" si="12"/>
        <v/>
      </c>
      <c r="H171" s="10" t="str">
        <f t="shared" si="13"/>
        <v/>
      </c>
      <c r="I171" s="11" t="str">
        <f>IF(B171="Recreation",IFERROR(INDEX(RecPricing!$E$5:$E$10,MATCH(IF(C171="Mixed","External",IF(C171="Unknown","UoB",C171))&amp;"|"&amp;IF(F171&lt;=24,"&lt;=24",IF(F171&lt;=32,"&lt;=32","Above32")),RecPricing!$F$5:$F$10,0)),""),IFERROR(INDEX(Reference!$E$5:$E$12,MATCH(B171&amp;"|"&amp;IF(C171="Mixed","External",IF(C171="Unknown","UoB",C171))&amp;"|"&amp;IF(F171&lt;=32,"32","40"),Reference!$D$5:$D$12,0)),""))</f>
        <v/>
      </c>
      <c r="J171" s="11" t="str">
        <f t="shared" si="14"/>
        <v/>
      </c>
      <c r="K171" s="12"/>
      <c r="L171" s="11" t="str">
        <f t="shared" si="15"/>
        <v/>
      </c>
      <c r="M171" s="12"/>
      <c r="N171" s="12"/>
      <c r="O171" s="11" t="str">
        <f t="shared" si="16"/>
        <v/>
      </c>
      <c r="P171" s="10" t="str">
        <f t="shared" si="17"/>
        <v/>
      </c>
    </row>
    <row r="172" spans="1:16" ht="15" customHeight="1" x14ac:dyDescent="0.2">
      <c r="A172" s="8"/>
      <c r="B172" s="8"/>
      <c r="C172" s="8"/>
      <c r="D172" s="9"/>
      <c r="E172" s="9"/>
      <c r="F172" s="8"/>
      <c r="G172" s="10" t="str">
        <f t="shared" si="12"/>
        <v/>
      </c>
      <c r="H172" s="10" t="str">
        <f t="shared" si="13"/>
        <v/>
      </c>
      <c r="I172" s="11" t="str">
        <f>IF(B172="Recreation",IFERROR(INDEX(RecPricing!$E$5:$E$10,MATCH(IF(C172="Mixed","External",IF(C172="Unknown","UoB",C172))&amp;"|"&amp;IF(F172&lt;=24,"&lt;=24",IF(F172&lt;=32,"&lt;=32","Above32")),RecPricing!$F$5:$F$10,0)),""),IFERROR(INDEX(Reference!$E$5:$E$12,MATCH(B172&amp;"|"&amp;IF(C172="Mixed","External",IF(C172="Unknown","UoB",C172))&amp;"|"&amp;IF(F172&lt;=32,"32","40"),Reference!$D$5:$D$12,0)),""))</f>
        <v/>
      </c>
      <c r="J172" s="11" t="str">
        <f t="shared" si="14"/>
        <v/>
      </c>
      <c r="K172" s="12"/>
      <c r="L172" s="11" t="str">
        <f t="shared" si="15"/>
        <v/>
      </c>
      <c r="M172" s="12"/>
      <c r="N172" s="12"/>
      <c r="O172" s="11" t="str">
        <f t="shared" si="16"/>
        <v/>
      </c>
      <c r="P172" s="10" t="str">
        <f t="shared" si="17"/>
        <v/>
      </c>
    </row>
    <row r="173" spans="1:16" ht="15" customHeight="1" x14ac:dyDescent="0.2">
      <c r="A173" s="8"/>
      <c r="B173" s="8"/>
      <c r="C173" s="8"/>
      <c r="D173" s="9"/>
      <c r="E173" s="9"/>
      <c r="F173" s="8"/>
      <c r="G173" s="10" t="str">
        <f t="shared" si="12"/>
        <v/>
      </c>
      <c r="H173" s="10" t="str">
        <f t="shared" si="13"/>
        <v/>
      </c>
      <c r="I173" s="11" t="str">
        <f>IF(B173="Recreation",IFERROR(INDEX(RecPricing!$E$5:$E$10,MATCH(IF(C173="Mixed","External",IF(C173="Unknown","UoB",C173))&amp;"|"&amp;IF(F173&lt;=24,"&lt;=24",IF(F173&lt;=32,"&lt;=32","Above32")),RecPricing!$F$5:$F$10,0)),""),IFERROR(INDEX(Reference!$E$5:$E$12,MATCH(B173&amp;"|"&amp;IF(C173="Mixed","External",IF(C173="Unknown","UoB",C173))&amp;"|"&amp;IF(F173&lt;=32,"32","40"),Reference!$D$5:$D$12,0)),""))</f>
        <v/>
      </c>
      <c r="J173" s="11" t="str">
        <f t="shared" si="14"/>
        <v/>
      </c>
      <c r="K173" s="12"/>
      <c r="L173" s="11" t="str">
        <f t="shared" si="15"/>
        <v/>
      </c>
      <c r="M173" s="12"/>
      <c r="N173" s="12"/>
      <c r="O173" s="11" t="str">
        <f t="shared" si="16"/>
        <v/>
      </c>
      <c r="P173" s="10" t="str">
        <f t="shared" si="17"/>
        <v/>
      </c>
    </row>
    <row r="174" spans="1:16" ht="15" customHeight="1" x14ac:dyDescent="0.2">
      <c r="A174" s="8"/>
      <c r="B174" s="8"/>
      <c r="C174" s="8"/>
      <c r="D174" s="9"/>
      <c r="E174" s="9"/>
      <c r="F174" s="8"/>
      <c r="G174" s="10" t="str">
        <f t="shared" si="12"/>
        <v/>
      </c>
      <c r="H174" s="10" t="str">
        <f t="shared" si="13"/>
        <v/>
      </c>
      <c r="I174" s="11" t="str">
        <f>IF(B174="Recreation",IFERROR(INDEX(RecPricing!$E$5:$E$10,MATCH(IF(C174="Mixed","External",IF(C174="Unknown","UoB",C174))&amp;"|"&amp;IF(F174&lt;=24,"&lt;=24",IF(F174&lt;=32,"&lt;=32","Above32")),RecPricing!$F$5:$F$10,0)),""),IFERROR(INDEX(Reference!$E$5:$E$12,MATCH(B174&amp;"|"&amp;IF(C174="Mixed","External",IF(C174="Unknown","UoB",C174))&amp;"|"&amp;IF(F174&lt;=32,"32","40"),Reference!$D$5:$D$12,0)),""))</f>
        <v/>
      </c>
      <c r="J174" s="11" t="str">
        <f t="shared" si="14"/>
        <v/>
      </c>
      <c r="K174" s="12"/>
      <c r="L174" s="11" t="str">
        <f t="shared" si="15"/>
        <v/>
      </c>
      <c r="M174" s="12"/>
      <c r="N174" s="12"/>
      <c r="O174" s="11" t="str">
        <f t="shared" si="16"/>
        <v/>
      </c>
      <c r="P174" s="10" t="str">
        <f t="shared" si="17"/>
        <v/>
      </c>
    </row>
    <row r="175" spans="1:16" ht="15" customHeight="1" x14ac:dyDescent="0.2">
      <c r="A175" s="8"/>
      <c r="B175" s="8"/>
      <c r="C175" s="8"/>
      <c r="D175" s="9"/>
      <c r="E175" s="9"/>
      <c r="F175" s="8"/>
      <c r="G175" s="10" t="str">
        <f t="shared" si="12"/>
        <v/>
      </c>
      <c r="H175" s="10" t="str">
        <f t="shared" si="13"/>
        <v/>
      </c>
      <c r="I175" s="11" t="str">
        <f>IF(B175="Recreation",IFERROR(INDEX(RecPricing!$E$5:$E$10,MATCH(IF(C175="Mixed","External",IF(C175="Unknown","UoB",C175))&amp;"|"&amp;IF(F175&lt;=24,"&lt;=24",IF(F175&lt;=32,"&lt;=32","Above32")),RecPricing!$F$5:$F$10,0)),""),IFERROR(INDEX(Reference!$E$5:$E$12,MATCH(B175&amp;"|"&amp;IF(C175="Mixed","External",IF(C175="Unknown","UoB",C175))&amp;"|"&amp;IF(F175&lt;=32,"32","40"),Reference!$D$5:$D$12,0)),""))</f>
        <v/>
      </c>
      <c r="J175" s="11" t="str">
        <f t="shared" si="14"/>
        <v/>
      </c>
      <c r="K175" s="12"/>
      <c r="L175" s="11" t="str">
        <f t="shared" si="15"/>
        <v/>
      </c>
      <c r="M175" s="12"/>
      <c r="N175" s="12"/>
      <c r="O175" s="11" t="str">
        <f t="shared" si="16"/>
        <v/>
      </c>
      <c r="P175" s="10" t="str">
        <f t="shared" si="17"/>
        <v/>
      </c>
    </row>
    <row r="176" spans="1:16" ht="15" customHeight="1" x14ac:dyDescent="0.2">
      <c r="A176" s="8"/>
      <c r="B176" s="8"/>
      <c r="C176" s="8"/>
      <c r="D176" s="9"/>
      <c r="E176" s="9"/>
      <c r="F176" s="8"/>
      <c r="G176" s="10" t="str">
        <f t="shared" si="12"/>
        <v/>
      </c>
      <c r="H176" s="10" t="str">
        <f t="shared" si="13"/>
        <v/>
      </c>
      <c r="I176" s="11" t="str">
        <f>IF(B176="Recreation",IFERROR(INDEX(RecPricing!$E$5:$E$10,MATCH(IF(C176="Mixed","External",IF(C176="Unknown","UoB",C176))&amp;"|"&amp;IF(F176&lt;=24,"&lt;=24",IF(F176&lt;=32,"&lt;=32","Above32")),RecPricing!$F$5:$F$10,0)),""),IFERROR(INDEX(Reference!$E$5:$E$12,MATCH(B176&amp;"|"&amp;IF(C176="Mixed","External",IF(C176="Unknown","UoB",C176))&amp;"|"&amp;IF(F176&lt;=32,"32","40"),Reference!$D$5:$D$12,0)),""))</f>
        <v/>
      </c>
      <c r="J176" s="11" t="str">
        <f t="shared" si="14"/>
        <v/>
      </c>
      <c r="K176" s="12"/>
      <c r="L176" s="11" t="str">
        <f t="shared" si="15"/>
        <v/>
      </c>
      <c r="M176" s="12"/>
      <c r="N176" s="12"/>
      <c r="O176" s="11" t="str">
        <f t="shared" si="16"/>
        <v/>
      </c>
      <c r="P176" s="10" t="str">
        <f t="shared" si="17"/>
        <v/>
      </c>
    </row>
    <row r="177" spans="1:16" ht="15" customHeight="1" x14ac:dyDescent="0.2">
      <c r="A177" s="8"/>
      <c r="B177" s="8"/>
      <c r="C177" s="8"/>
      <c r="D177" s="9"/>
      <c r="E177" s="9"/>
      <c r="F177" s="8"/>
      <c r="G177" s="10" t="str">
        <f t="shared" si="12"/>
        <v/>
      </c>
      <c r="H177" s="10" t="str">
        <f t="shared" si="13"/>
        <v/>
      </c>
      <c r="I177" s="11" t="str">
        <f>IF(B177="Recreation",IFERROR(INDEX(RecPricing!$E$5:$E$10,MATCH(IF(C177="Mixed","External",IF(C177="Unknown","UoB",C177))&amp;"|"&amp;IF(F177&lt;=24,"&lt;=24",IF(F177&lt;=32,"&lt;=32","Above32")),RecPricing!$F$5:$F$10,0)),""),IFERROR(INDEX(Reference!$E$5:$E$12,MATCH(B177&amp;"|"&amp;IF(C177="Mixed","External",IF(C177="Unknown","UoB",C177))&amp;"|"&amp;IF(F177&lt;=32,"32","40"),Reference!$D$5:$D$12,0)),""))</f>
        <v/>
      </c>
      <c r="J177" s="11" t="str">
        <f t="shared" si="14"/>
        <v/>
      </c>
      <c r="K177" s="12"/>
      <c r="L177" s="11" t="str">
        <f t="shared" si="15"/>
        <v/>
      </c>
      <c r="M177" s="12"/>
      <c r="N177" s="12"/>
      <c r="O177" s="11" t="str">
        <f t="shared" si="16"/>
        <v/>
      </c>
      <c r="P177" s="10" t="str">
        <f t="shared" si="17"/>
        <v/>
      </c>
    </row>
    <row r="178" spans="1:16" ht="15" customHeight="1" x14ac:dyDescent="0.2">
      <c r="A178" s="8"/>
      <c r="B178" s="8"/>
      <c r="C178" s="8"/>
      <c r="D178" s="9"/>
      <c r="E178" s="9"/>
      <c r="F178" s="8"/>
      <c r="G178" s="10" t="str">
        <f t="shared" si="12"/>
        <v/>
      </c>
      <c r="H178" s="10" t="str">
        <f t="shared" si="13"/>
        <v/>
      </c>
      <c r="I178" s="11" t="str">
        <f>IF(B178="Recreation",IFERROR(INDEX(RecPricing!$E$5:$E$10,MATCH(IF(C178="Mixed","External",IF(C178="Unknown","UoB",C178))&amp;"|"&amp;IF(F178&lt;=24,"&lt;=24",IF(F178&lt;=32,"&lt;=32","Above32")),RecPricing!$F$5:$F$10,0)),""),IFERROR(INDEX(Reference!$E$5:$E$12,MATCH(B178&amp;"|"&amp;IF(C178="Mixed","External",IF(C178="Unknown","UoB",C178))&amp;"|"&amp;IF(F178&lt;=32,"32","40"),Reference!$D$5:$D$12,0)),""))</f>
        <v/>
      </c>
      <c r="J178" s="11" t="str">
        <f t="shared" si="14"/>
        <v/>
      </c>
      <c r="K178" s="12"/>
      <c r="L178" s="11" t="str">
        <f t="shared" si="15"/>
        <v/>
      </c>
      <c r="M178" s="12"/>
      <c r="N178" s="12"/>
      <c r="O178" s="11" t="str">
        <f t="shared" si="16"/>
        <v/>
      </c>
      <c r="P178" s="10" t="str">
        <f t="shared" si="17"/>
        <v/>
      </c>
    </row>
    <row r="179" spans="1:16" ht="15" customHeight="1" x14ac:dyDescent="0.2">
      <c r="A179" s="8"/>
      <c r="B179" s="8"/>
      <c r="C179" s="8"/>
      <c r="D179" s="9"/>
      <c r="E179" s="9"/>
      <c r="F179" s="8"/>
      <c r="G179" s="10" t="str">
        <f t="shared" si="12"/>
        <v/>
      </c>
      <c r="H179" s="10" t="str">
        <f t="shared" si="13"/>
        <v/>
      </c>
      <c r="I179" s="11" t="str">
        <f>IF(B179="Recreation",IFERROR(INDEX(RecPricing!$E$5:$E$10,MATCH(IF(C179="Mixed","External",IF(C179="Unknown","UoB",C179))&amp;"|"&amp;IF(F179&lt;=24,"&lt;=24",IF(F179&lt;=32,"&lt;=32","Above32")),RecPricing!$F$5:$F$10,0)),""),IFERROR(INDEX(Reference!$E$5:$E$12,MATCH(B179&amp;"|"&amp;IF(C179="Mixed","External",IF(C179="Unknown","UoB",C179))&amp;"|"&amp;IF(F179&lt;=32,"32","40"),Reference!$D$5:$D$12,0)),""))</f>
        <v/>
      </c>
      <c r="J179" s="11" t="str">
        <f t="shared" si="14"/>
        <v/>
      </c>
      <c r="K179" s="12"/>
      <c r="L179" s="11" t="str">
        <f t="shared" si="15"/>
        <v/>
      </c>
      <c r="M179" s="12"/>
      <c r="N179" s="12"/>
      <c r="O179" s="11" t="str">
        <f t="shared" si="16"/>
        <v/>
      </c>
      <c r="P179" s="10" t="str">
        <f t="shared" si="17"/>
        <v/>
      </c>
    </row>
    <row r="180" spans="1:16" ht="15" customHeight="1" x14ac:dyDescent="0.2">
      <c r="A180" s="8"/>
      <c r="B180" s="8"/>
      <c r="C180" s="8"/>
      <c r="D180" s="9"/>
      <c r="E180" s="9"/>
      <c r="F180" s="8"/>
      <c r="G180" s="10" t="str">
        <f t="shared" si="12"/>
        <v/>
      </c>
      <c r="H180" s="10" t="str">
        <f t="shared" si="13"/>
        <v/>
      </c>
      <c r="I180" s="11" t="str">
        <f>IF(B180="Recreation",IFERROR(INDEX(RecPricing!$E$5:$E$10,MATCH(IF(C180="Mixed","External",IF(C180="Unknown","UoB",C180))&amp;"|"&amp;IF(F180&lt;=24,"&lt;=24",IF(F180&lt;=32,"&lt;=32","Above32")),RecPricing!$F$5:$F$10,0)),""),IFERROR(INDEX(Reference!$E$5:$E$12,MATCH(B180&amp;"|"&amp;IF(C180="Mixed","External",IF(C180="Unknown","UoB",C180))&amp;"|"&amp;IF(F180&lt;=32,"32","40"),Reference!$D$5:$D$12,0)),""))</f>
        <v/>
      </c>
      <c r="J180" s="11" t="str">
        <f t="shared" si="14"/>
        <v/>
      </c>
      <c r="K180" s="12"/>
      <c r="L180" s="11" t="str">
        <f t="shared" si="15"/>
        <v/>
      </c>
      <c r="M180" s="12"/>
      <c r="N180" s="12"/>
      <c r="O180" s="11" t="str">
        <f t="shared" si="16"/>
        <v/>
      </c>
      <c r="P180" s="10" t="str">
        <f t="shared" si="17"/>
        <v/>
      </c>
    </row>
    <row r="181" spans="1:16" ht="15" customHeight="1" x14ac:dyDescent="0.2">
      <c r="A181" s="8"/>
      <c r="B181" s="8"/>
      <c r="C181" s="8"/>
      <c r="D181" s="9"/>
      <c r="E181" s="9"/>
      <c r="F181" s="8"/>
      <c r="G181" s="10" t="str">
        <f t="shared" si="12"/>
        <v/>
      </c>
      <c r="H181" s="10" t="str">
        <f t="shared" si="13"/>
        <v/>
      </c>
      <c r="I181" s="11" t="str">
        <f>IF(B181="Recreation",IFERROR(INDEX(RecPricing!$E$5:$E$10,MATCH(IF(C181="Mixed","External",IF(C181="Unknown","UoB",C181))&amp;"|"&amp;IF(F181&lt;=24,"&lt;=24",IF(F181&lt;=32,"&lt;=32","Above32")),RecPricing!$F$5:$F$10,0)),""),IFERROR(INDEX(Reference!$E$5:$E$12,MATCH(B181&amp;"|"&amp;IF(C181="Mixed","External",IF(C181="Unknown","UoB",C181))&amp;"|"&amp;IF(F181&lt;=32,"32","40"),Reference!$D$5:$D$12,0)),""))</f>
        <v/>
      </c>
      <c r="J181" s="11" t="str">
        <f t="shared" si="14"/>
        <v/>
      </c>
      <c r="K181" s="12"/>
      <c r="L181" s="11" t="str">
        <f t="shared" si="15"/>
        <v/>
      </c>
      <c r="M181" s="12"/>
      <c r="N181" s="12"/>
      <c r="O181" s="11" t="str">
        <f t="shared" si="16"/>
        <v/>
      </c>
      <c r="P181" s="10" t="str">
        <f t="shared" si="17"/>
        <v/>
      </c>
    </row>
    <row r="182" spans="1:16" ht="15" customHeight="1" x14ac:dyDescent="0.2">
      <c r="A182" s="8"/>
      <c r="B182" s="8"/>
      <c r="C182" s="8"/>
      <c r="D182" s="9"/>
      <c r="E182" s="9"/>
      <c r="F182" s="8"/>
      <c r="G182" s="10" t="str">
        <f t="shared" si="12"/>
        <v/>
      </c>
      <c r="H182" s="10" t="str">
        <f t="shared" si="13"/>
        <v/>
      </c>
      <c r="I182" s="11" t="str">
        <f>IF(B182="Recreation",IFERROR(INDEX(RecPricing!$E$5:$E$10,MATCH(IF(C182="Mixed","External",IF(C182="Unknown","UoB",C182))&amp;"|"&amp;IF(F182&lt;=24,"&lt;=24",IF(F182&lt;=32,"&lt;=32","Above32")),RecPricing!$F$5:$F$10,0)),""),IFERROR(INDEX(Reference!$E$5:$E$12,MATCH(B182&amp;"|"&amp;IF(C182="Mixed","External",IF(C182="Unknown","UoB",C182))&amp;"|"&amp;IF(F182&lt;=32,"32","40"),Reference!$D$5:$D$12,0)),""))</f>
        <v/>
      </c>
      <c r="J182" s="11" t="str">
        <f t="shared" si="14"/>
        <v/>
      </c>
      <c r="K182" s="12"/>
      <c r="L182" s="11" t="str">
        <f t="shared" si="15"/>
        <v/>
      </c>
      <c r="M182" s="12"/>
      <c r="N182" s="12"/>
      <c r="O182" s="11" t="str">
        <f t="shared" si="16"/>
        <v/>
      </c>
      <c r="P182" s="10" t="str">
        <f t="shared" si="17"/>
        <v/>
      </c>
    </row>
    <row r="183" spans="1:16" ht="15" customHeight="1" x14ac:dyDescent="0.2">
      <c r="A183" s="8"/>
      <c r="B183" s="8"/>
      <c r="C183" s="8"/>
      <c r="D183" s="9"/>
      <c r="E183" s="9"/>
      <c r="F183" s="8"/>
      <c r="G183" s="10" t="str">
        <f t="shared" si="12"/>
        <v/>
      </c>
      <c r="H183" s="10" t="str">
        <f t="shared" si="13"/>
        <v/>
      </c>
      <c r="I183" s="11" t="str">
        <f>IF(B183="Recreation",IFERROR(INDEX(RecPricing!$E$5:$E$10,MATCH(IF(C183="Mixed","External",IF(C183="Unknown","UoB",C183))&amp;"|"&amp;IF(F183&lt;=24,"&lt;=24",IF(F183&lt;=32,"&lt;=32","Above32")),RecPricing!$F$5:$F$10,0)),""),IFERROR(INDEX(Reference!$E$5:$E$12,MATCH(B183&amp;"|"&amp;IF(C183="Mixed","External",IF(C183="Unknown","UoB",C183))&amp;"|"&amp;IF(F183&lt;=32,"32","40"),Reference!$D$5:$D$12,0)),""))</f>
        <v/>
      </c>
      <c r="J183" s="11" t="str">
        <f t="shared" si="14"/>
        <v/>
      </c>
      <c r="K183" s="12"/>
      <c r="L183" s="11" t="str">
        <f t="shared" si="15"/>
        <v/>
      </c>
      <c r="M183" s="12"/>
      <c r="N183" s="12"/>
      <c r="O183" s="11" t="str">
        <f t="shared" si="16"/>
        <v/>
      </c>
      <c r="P183" s="10" t="str">
        <f t="shared" si="17"/>
        <v/>
      </c>
    </row>
    <row r="184" spans="1:16" ht="15" customHeight="1" x14ac:dyDescent="0.2">
      <c r="A184" s="8"/>
      <c r="B184" s="8"/>
      <c r="C184" s="8"/>
      <c r="D184" s="9"/>
      <c r="E184" s="9"/>
      <c r="F184" s="8"/>
      <c r="G184" s="10" t="str">
        <f t="shared" si="12"/>
        <v/>
      </c>
      <c r="H184" s="10" t="str">
        <f t="shared" si="13"/>
        <v/>
      </c>
      <c r="I184" s="11" t="str">
        <f>IF(B184="Recreation",IFERROR(INDEX(RecPricing!$E$5:$E$10,MATCH(IF(C184="Mixed","External",IF(C184="Unknown","UoB",C184))&amp;"|"&amp;IF(F184&lt;=24,"&lt;=24",IF(F184&lt;=32,"&lt;=32","Above32")),RecPricing!$F$5:$F$10,0)),""),IFERROR(INDEX(Reference!$E$5:$E$12,MATCH(B184&amp;"|"&amp;IF(C184="Mixed","External",IF(C184="Unknown","UoB",C184))&amp;"|"&amp;IF(F184&lt;=32,"32","40"),Reference!$D$5:$D$12,0)),""))</f>
        <v/>
      </c>
      <c r="J184" s="11" t="str">
        <f t="shared" si="14"/>
        <v/>
      </c>
      <c r="K184" s="12"/>
      <c r="L184" s="11" t="str">
        <f t="shared" si="15"/>
        <v/>
      </c>
      <c r="M184" s="12"/>
      <c r="N184" s="12"/>
      <c r="O184" s="11" t="str">
        <f t="shared" si="16"/>
        <v/>
      </c>
      <c r="P184" s="10" t="str">
        <f t="shared" si="17"/>
        <v/>
      </c>
    </row>
    <row r="185" spans="1:16" ht="15" customHeight="1" x14ac:dyDescent="0.2">
      <c r="A185" s="8"/>
      <c r="B185" s="8"/>
      <c r="C185" s="8"/>
      <c r="D185" s="9"/>
      <c r="E185" s="9"/>
      <c r="F185" s="8"/>
      <c r="G185" s="10" t="str">
        <f t="shared" si="12"/>
        <v/>
      </c>
      <c r="H185" s="10" t="str">
        <f t="shared" si="13"/>
        <v/>
      </c>
      <c r="I185" s="11" t="str">
        <f>IF(B185="Recreation",IFERROR(INDEX(RecPricing!$E$5:$E$10,MATCH(IF(C185="Mixed","External",IF(C185="Unknown","UoB",C185))&amp;"|"&amp;IF(F185&lt;=24,"&lt;=24",IF(F185&lt;=32,"&lt;=32","Above32")),RecPricing!$F$5:$F$10,0)),""),IFERROR(INDEX(Reference!$E$5:$E$12,MATCH(B185&amp;"|"&amp;IF(C185="Mixed","External",IF(C185="Unknown","UoB",C185))&amp;"|"&amp;IF(F185&lt;=32,"32","40"),Reference!$D$5:$D$12,0)),""))</f>
        <v/>
      </c>
      <c r="J185" s="11" t="str">
        <f t="shared" si="14"/>
        <v/>
      </c>
      <c r="K185" s="12"/>
      <c r="L185" s="11" t="str">
        <f t="shared" si="15"/>
        <v/>
      </c>
      <c r="M185" s="12"/>
      <c r="N185" s="12"/>
      <c r="O185" s="11" t="str">
        <f t="shared" si="16"/>
        <v/>
      </c>
      <c r="P185" s="10" t="str">
        <f t="shared" si="17"/>
        <v/>
      </c>
    </row>
    <row r="186" spans="1:16" ht="15" customHeight="1" x14ac:dyDescent="0.2">
      <c r="A186" s="8"/>
      <c r="B186" s="8"/>
      <c r="C186" s="8"/>
      <c r="D186" s="9"/>
      <c r="E186" s="9"/>
      <c r="F186" s="8"/>
      <c r="G186" s="10" t="str">
        <f t="shared" si="12"/>
        <v/>
      </c>
      <c r="H186" s="10" t="str">
        <f t="shared" si="13"/>
        <v/>
      </c>
      <c r="I186" s="11" t="str">
        <f>IF(B186="Recreation",IFERROR(INDEX(RecPricing!$E$5:$E$10,MATCH(IF(C186="Mixed","External",IF(C186="Unknown","UoB",C186))&amp;"|"&amp;IF(F186&lt;=24,"&lt;=24",IF(F186&lt;=32,"&lt;=32","Above32")),RecPricing!$F$5:$F$10,0)),""),IFERROR(INDEX(Reference!$E$5:$E$12,MATCH(B186&amp;"|"&amp;IF(C186="Mixed","External",IF(C186="Unknown","UoB",C186))&amp;"|"&amp;IF(F186&lt;=32,"32","40"),Reference!$D$5:$D$12,0)),""))</f>
        <v/>
      </c>
      <c r="J186" s="11" t="str">
        <f t="shared" si="14"/>
        <v/>
      </c>
      <c r="K186" s="12"/>
      <c r="L186" s="11" t="str">
        <f t="shared" si="15"/>
        <v/>
      </c>
      <c r="M186" s="12"/>
      <c r="N186" s="12"/>
      <c r="O186" s="11" t="str">
        <f t="shared" si="16"/>
        <v/>
      </c>
      <c r="P186" s="10" t="str">
        <f t="shared" si="17"/>
        <v/>
      </c>
    </row>
    <row r="187" spans="1:16" ht="15" customHeight="1" x14ac:dyDescent="0.2">
      <c r="A187" s="8"/>
      <c r="B187" s="8"/>
      <c r="C187" s="8"/>
      <c r="D187" s="9"/>
      <c r="E187" s="9"/>
      <c r="F187" s="8"/>
      <c r="G187" s="10" t="str">
        <f t="shared" si="12"/>
        <v/>
      </c>
      <c r="H187" s="10" t="str">
        <f t="shared" si="13"/>
        <v/>
      </c>
      <c r="I187" s="11" t="str">
        <f>IF(B187="Recreation",IFERROR(INDEX(RecPricing!$E$5:$E$10,MATCH(IF(C187="Mixed","External",IF(C187="Unknown","UoB",C187))&amp;"|"&amp;IF(F187&lt;=24,"&lt;=24",IF(F187&lt;=32,"&lt;=32","Above32")),RecPricing!$F$5:$F$10,0)),""),IFERROR(INDEX(Reference!$E$5:$E$12,MATCH(B187&amp;"|"&amp;IF(C187="Mixed","External",IF(C187="Unknown","UoB",C187))&amp;"|"&amp;IF(F187&lt;=32,"32","40"),Reference!$D$5:$D$12,0)),""))</f>
        <v/>
      </c>
      <c r="J187" s="11" t="str">
        <f t="shared" si="14"/>
        <v/>
      </c>
      <c r="K187" s="12"/>
      <c r="L187" s="11" t="str">
        <f t="shared" si="15"/>
        <v/>
      </c>
      <c r="M187" s="12"/>
      <c r="N187" s="12"/>
      <c r="O187" s="11" t="str">
        <f t="shared" si="16"/>
        <v/>
      </c>
      <c r="P187" s="10" t="str">
        <f t="shared" si="17"/>
        <v/>
      </c>
    </row>
    <row r="188" spans="1:16" ht="15" customHeight="1" x14ac:dyDescent="0.2">
      <c r="A188" s="8"/>
      <c r="B188" s="8"/>
      <c r="C188" s="8"/>
      <c r="D188" s="9"/>
      <c r="E188" s="9"/>
      <c r="F188" s="8"/>
      <c r="G188" s="10" t="str">
        <f t="shared" si="12"/>
        <v/>
      </c>
      <c r="H188" s="10" t="str">
        <f t="shared" si="13"/>
        <v/>
      </c>
      <c r="I188" s="11" t="str">
        <f>IF(B188="Recreation",IFERROR(INDEX(RecPricing!$E$5:$E$10,MATCH(IF(C188="Mixed","External",IF(C188="Unknown","UoB",C188))&amp;"|"&amp;IF(F188&lt;=24,"&lt;=24",IF(F188&lt;=32,"&lt;=32","Above32")),RecPricing!$F$5:$F$10,0)),""),IFERROR(INDEX(Reference!$E$5:$E$12,MATCH(B188&amp;"|"&amp;IF(C188="Mixed","External",IF(C188="Unknown","UoB",C188))&amp;"|"&amp;IF(F188&lt;=32,"32","40"),Reference!$D$5:$D$12,0)),""))</f>
        <v/>
      </c>
      <c r="J188" s="11" t="str">
        <f t="shared" si="14"/>
        <v/>
      </c>
      <c r="K188" s="12"/>
      <c r="L188" s="11" t="str">
        <f t="shared" si="15"/>
        <v/>
      </c>
      <c r="M188" s="12"/>
      <c r="N188" s="12"/>
      <c r="O188" s="11" t="str">
        <f t="shared" si="16"/>
        <v/>
      </c>
      <c r="P188" s="10" t="str">
        <f t="shared" si="17"/>
        <v/>
      </c>
    </row>
    <row r="189" spans="1:16" ht="15" customHeight="1" x14ac:dyDescent="0.2">
      <c r="A189" s="8"/>
      <c r="B189" s="8"/>
      <c r="C189" s="8"/>
      <c r="D189" s="9"/>
      <c r="E189" s="9"/>
      <c r="F189" s="8"/>
      <c r="G189" s="10" t="str">
        <f t="shared" si="12"/>
        <v/>
      </c>
      <c r="H189" s="10" t="str">
        <f t="shared" si="13"/>
        <v/>
      </c>
      <c r="I189" s="11" t="str">
        <f>IF(B189="Recreation",IFERROR(INDEX(RecPricing!$E$5:$E$10,MATCH(IF(C189="Mixed","External",IF(C189="Unknown","UoB",C189))&amp;"|"&amp;IF(F189&lt;=24,"&lt;=24",IF(F189&lt;=32,"&lt;=32","Above32")),RecPricing!$F$5:$F$10,0)),""),IFERROR(INDEX(Reference!$E$5:$E$12,MATCH(B189&amp;"|"&amp;IF(C189="Mixed","External",IF(C189="Unknown","UoB",C189))&amp;"|"&amp;IF(F189&lt;=32,"32","40"),Reference!$D$5:$D$12,0)),""))</f>
        <v/>
      </c>
      <c r="J189" s="11" t="str">
        <f t="shared" si="14"/>
        <v/>
      </c>
      <c r="K189" s="12"/>
      <c r="L189" s="11" t="str">
        <f t="shared" si="15"/>
        <v/>
      </c>
      <c r="M189" s="12"/>
      <c r="N189" s="12"/>
      <c r="O189" s="11" t="str">
        <f t="shared" si="16"/>
        <v/>
      </c>
      <c r="P189" s="10" t="str">
        <f t="shared" si="17"/>
        <v/>
      </c>
    </row>
    <row r="190" spans="1:16" ht="15" customHeight="1" x14ac:dyDescent="0.2">
      <c r="A190" s="8"/>
      <c r="B190" s="8"/>
      <c r="C190" s="8"/>
      <c r="D190" s="9"/>
      <c r="E190" s="9"/>
      <c r="F190" s="8"/>
      <c r="G190" s="10" t="str">
        <f t="shared" si="12"/>
        <v/>
      </c>
      <c r="H190" s="10" t="str">
        <f t="shared" si="13"/>
        <v/>
      </c>
      <c r="I190" s="11" t="str">
        <f>IF(B190="Recreation",IFERROR(INDEX(RecPricing!$E$5:$E$10,MATCH(IF(C190="Mixed","External",IF(C190="Unknown","UoB",C190))&amp;"|"&amp;IF(F190&lt;=24,"&lt;=24",IF(F190&lt;=32,"&lt;=32","Above32")),RecPricing!$F$5:$F$10,0)),""),IFERROR(INDEX(Reference!$E$5:$E$12,MATCH(B190&amp;"|"&amp;IF(C190="Mixed","External",IF(C190="Unknown","UoB",C190))&amp;"|"&amp;IF(F190&lt;=32,"32","40"),Reference!$D$5:$D$12,0)),""))</f>
        <v/>
      </c>
      <c r="J190" s="11" t="str">
        <f t="shared" si="14"/>
        <v/>
      </c>
      <c r="K190" s="12"/>
      <c r="L190" s="11" t="str">
        <f t="shared" si="15"/>
        <v/>
      </c>
      <c r="M190" s="12"/>
      <c r="N190" s="12"/>
      <c r="O190" s="11" t="str">
        <f t="shared" si="16"/>
        <v/>
      </c>
      <c r="P190" s="10" t="str">
        <f t="shared" si="17"/>
        <v/>
      </c>
    </row>
    <row r="191" spans="1:16" ht="15" customHeight="1" x14ac:dyDescent="0.2">
      <c r="A191" s="8"/>
      <c r="B191" s="8"/>
      <c r="C191" s="8"/>
      <c r="D191" s="9"/>
      <c r="E191" s="9"/>
      <c r="F191" s="8"/>
      <c r="G191" s="10" t="str">
        <f t="shared" ref="G191:G254" si="18">IF(OR(D191="",E191=""),"",E191-D191)</f>
        <v/>
      </c>
      <c r="H191" s="10" t="str">
        <f t="shared" ref="H191:H254" si="19">IF(OR(F191="",G191=""),"",F191*G191)</f>
        <v/>
      </c>
      <c r="I191" s="11" t="str">
        <f>IF(B191="Recreation",IFERROR(INDEX(RecPricing!$E$5:$E$10,MATCH(IF(C191="Mixed","External",IF(C191="Unknown","UoB",C191))&amp;"|"&amp;IF(F191&lt;=24,"&lt;=24",IF(F191&lt;=32,"&lt;=32","Above32")),RecPricing!$F$5:$F$10,0)),""),IFERROR(INDEX(Reference!$E$5:$E$12,MATCH(B191&amp;"|"&amp;IF(C191="Mixed","External",IF(C191="Unknown","UoB",C191))&amp;"|"&amp;IF(F191&lt;=32,"32","40"),Reference!$D$5:$D$12,0)),""))</f>
        <v/>
      </c>
      <c r="J191" s="11" t="str">
        <f t="shared" ref="J191:J254" si="20">IF(I191="","",IF(B191="Recreation",IF(F191&lt;=32,I191,I191*IF(F191="",0,F191)),IF(AND(I191&lt;&gt;"",G191&lt;&gt;""),I191*G191,"")))</f>
        <v/>
      </c>
      <c r="K191" s="12"/>
      <c r="L191" s="11" t="str">
        <f t="shared" ref="L191:L254" si="21">IF(J191="","",J191-IF(K191="",0,K191))</f>
        <v/>
      </c>
      <c r="M191" s="12"/>
      <c r="N191" s="12"/>
      <c r="O191" s="11" t="str">
        <f t="shared" ref="O191:O254" si="22">IF(L191="","",L191-IF(M191="",0,M191)-IF(N191="",0,N191))</f>
        <v/>
      </c>
      <c r="P191" s="10" t="str">
        <f t="shared" ref="P191:P254" si="23">IF(D191="","",IF(MONTH(D191)&gt;=8,YEAR(D191)&amp;"-"&amp;RIGHT(YEAR(D191)+1,2),YEAR(D191)-1&amp;"-"&amp;RIGHT(YEAR(D191),2)))</f>
        <v/>
      </c>
    </row>
    <row r="192" spans="1:16" ht="15" customHeight="1" x14ac:dyDescent="0.2">
      <c r="A192" s="8"/>
      <c r="B192" s="8"/>
      <c r="C192" s="8"/>
      <c r="D192" s="9"/>
      <c r="E192" s="9"/>
      <c r="F192" s="8"/>
      <c r="G192" s="10" t="str">
        <f t="shared" si="18"/>
        <v/>
      </c>
      <c r="H192" s="10" t="str">
        <f t="shared" si="19"/>
        <v/>
      </c>
      <c r="I192" s="11" t="str">
        <f>IF(B192="Recreation",IFERROR(INDEX(RecPricing!$E$5:$E$10,MATCH(IF(C192="Mixed","External",IF(C192="Unknown","UoB",C192))&amp;"|"&amp;IF(F192&lt;=24,"&lt;=24",IF(F192&lt;=32,"&lt;=32","Above32")),RecPricing!$F$5:$F$10,0)),""),IFERROR(INDEX(Reference!$E$5:$E$12,MATCH(B192&amp;"|"&amp;IF(C192="Mixed","External",IF(C192="Unknown","UoB",C192))&amp;"|"&amp;IF(F192&lt;=32,"32","40"),Reference!$D$5:$D$12,0)),""))</f>
        <v/>
      </c>
      <c r="J192" s="11" t="str">
        <f t="shared" si="20"/>
        <v/>
      </c>
      <c r="K192" s="12"/>
      <c r="L192" s="11" t="str">
        <f t="shared" si="21"/>
        <v/>
      </c>
      <c r="M192" s="12"/>
      <c r="N192" s="12"/>
      <c r="O192" s="11" t="str">
        <f t="shared" si="22"/>
        <v/>
      </c>
      <c r="P192" s="10" t="str">
        <f t="shared" si="23"/>
        <v/>
      </c>
    </row>
    <row r="193" spans="1:16" ht="15" customHeight="1" x14ac:dyDescent="0.2">
      <c r="A193" s="8"/>
      <c r="B193" s="8"/>
      <c r="C193" s="8"/>
      <c r="D193" s="9"/>
      <c r="E193" s="9"/>
      <c r="F193" s="8"/>
      <c r="G193" s="10" t="str">
        <f t="shared" si="18"/>
        <v/>
      </c>
      <c r="H193" s="10" t="str">
        <f t="shared" si="19"/>
        <v/>
      </c>
      <c r="I193" s="11" t="str">
        <f>IF(B193="Recreation",IFERROR(INDEX(RecPricing!$E$5:$E$10,MATCH(IF(C193="Mixed","External",IF(C193="Unknown","UoB",C193))&amp;"|"&amp;IF(F193&lt;=24,"&lt;=24",IF(F193&lt;=32,"&lt;=32","Above32")),RecPricing!$F$5:$F$10,0)),""),IFERROR(INDEX(Reference!$E$5:$E$12,MATCH(B193&amp;"|"&amp;IF(C193="Mixed","External",IF(C193="Unknown","UoB",C193))&amp;"|"&amp;IF(F193&lt;=32,"32","40"),Reference!$D$5:$D$12,0)),""))</f>
        <v/>
      </c>
      <c r="J193" s="11" t="str">
        <f t="shared" si="20"/>
        <v/>
      </c>
      <c r="K193" s="12"/>
      <c r="L193" s="11" t="str">
        <f t="shared" si="21"/>
        <v/>
      </c>
      <c r="M193" s="12"/>
      <c r="N193" s="12"/>
      <c r="O193" s="11" t="str">
        <f t="shared" si="22"/>
        <v/>
      </c>
      <c r="P193" s="10" t="str">
        <f t="shared" si="23"/>
        <v/>
      </c>
    </row>
    <row r="194" spans="1:16" ht="15" customHeight="1" x14ac:dyDescent="0.2">
      <c r="A194" s="8"/>
      <c r="B194" s="8"/>
      <c r="C194" s="8"/>
      <c r="D194" s="9"/>
      <c r="E194" s="9"/>
      <c r="F194" s="8"/>
      <c r="G194" s="10" t="str">
        <f t="shared" si="18"/>
        <v/>
      </c>
      <c r="H194" s="10" t="str">
        <f t="shared" si="19"/>
        <v/>
      </c>
      <c r="I194" s="11" t="str">
        <f>IF(B194="Recreation",IFERROR(INDEX(RecPricing!$E$5:$E$10,MATCH(IF(C194="Mixed","External",IF(C194="Unknown","UoB",C194))&amp;"|"&amp;IF(F194&lt;=24,"&lt;=24",IF(F194&lt;=32,"&lt;=32","Above32")),RecPricing!$F$5:$F$10,0)),""),IFERROR(INDEX(Reference!$E$5:$E$12,MATCH(B194&amp;"|"&amp;IF(C194="Mixed","External",IF(C194="Unknown","UoB",C194))&amp;"|"&amp;IF(F194&lt;=32,"32","40"),Reference!$D$5:$D$12,0)),""))</f>
        <v/>
      </c>
      <c r="J194" s="11" t="str">
        <f t="shared" si="20"/>
        <v/>
      </c>
      <c r="K194" s="12"/>
      <c r="L194" s="11" t="str">
        <f t="shared" si="21"/>
        <v/>
      </c>
      <c r="M194" s="12"/>
      <c r="N194" s="12"/>
      <c r="O194" s="11" t="str">
        <f t="shared" si="22"/>
        <v/>
      </c>
      <c r="P194" s="10" t="str">
        <f t="shared" si="23"/>
        <v/>
      </c>
    </row>
    <row r="195" spans="1:16" ht="15" customHeight="1" x14ac:dyDescent="0.2">
      <c r="A195" s="8"/>
      <c r="B195" s="8"/>
      <c r="C195" s="8"/>
      <c r="D195" s="9"/>
      <c r="E195" s="9"/>
      <c r="F195" s="8"/>
      <c r="G195" s="10" t="str">
        <f t="shared" si="18"/>
        <v/>
      </c>
      <c r="H195" s="10" t="str">
        <f t="shared" si="19"/>
        <v/>
      </c>
      <c r="I195" s="11" t="str">
        <f>IF(B195="Recreation",IFERROR(INDEX(RecPricing!$E$5:$E$10,MATCH(IF(C195="Mixed","External",IF(C195="Unknown","UoB",C195))&amp;"|"&amp;IF(F195&lt;=24,"&lt;=24",IF(F195&lt;=32,"&lt;=32","Above32")),RecPricing!$F$5:$F$10,0)),""),IFERROR(INDEX(Reference!$E$5:$E$12,MATCH(B195&amp;"|"&amp;IF(C195="Mixed","External",IF(C195="Unknown","UoB",C195))&amp;"|"&amp;IF(F195&lt;=32,"32","40"),Reference!$D$5:$D$12,0)),""))</f>
        <v/>
      </c>
      <c r="J195" s="11" t="str">
        <f t="shared" si="20"/>
        <v/>
      </c>
      <c r="K195" s="12"/>
      <c r="L195" s="11" t="str">
        <f t="shared" si="21"/>
        <v/>
      </c>
      <c r="M195" s="12"/>
      <c r="N195" s="12"/>
      <c r="O195" s="11" t="str">
        <f t="shared" si="22"/>
        <v/>
      </c>
      <c r="P195" s="10" t="str">
        <f t="shared" si="23"/>
        <v/>
      </c>
    </row>
    <row r="196" spans="1:16" ht="15" customHeight="1" x14ac:dyDescent="0.2">
      <c r="A196" s="8"/>
      <c r="B196" s="8"/>
      <c r="C196" s="8"/>
      <c r="D196" s="9"/>
      <c r="E196" s="9"/>
      <c r="F196" s="8"/>
      <c r="G196" s="10" t="str">
        <f t="shared" si="18"/>
        <v/>
      </c>
      <c r="H196" s="10" t="str">
        <f t="shared" si="19"/>
        <v/>
      </c>
      <c r="I196" s="11" t="str">
        <f>IF(B196="Recreation",IFERROR(INDEX(RecPricing!$E$5:$E$10,MATCH(IF(C196="Mixed","External",IF(C196="Unknown","UoB",C196))&amp;"|"&amp;IF(F196&lt;=24,"&lt;=24",IF(F196&lt;=32,"&lt;=32","Above32")),RecPricing!$F$5:$F$10,0)),""),IFERROR(INDEX(Reference!$E$5:$E$12,MATCH(B196&amp;"|"&amp;IF(C196="Mixed","External",IF(C196="Unknown","UoB",C196))&amp;"|"&amp;IF(F196&lt;=32,"32","40"),Reference!$D$5:$D$12,0)),""))</f>
        <v/>
      </c>
      <c r="J196" s="11" t="str">
        <f t="shared" si="20"/>
        <v/>
      </c>
      <c r="K196" s="12"/>
      <c r="L196" s="11" t="str">
        <f t="shared" si="21"/>
        <v/>
      </c>
      <c r="M196" s="12"/>
      <c r="N196" s="12"/>
      <c r="O196" s="11" t="str">
        <f t="shared" si="22"/>
        <v/>
      </c>
      <c r="P196" s="10" t="str">
        <f t="shared" si="23"/>
        <v/>
      </c>
    </row>
    <row r="197" spans="1:16" ht="15" customHeight="1" x14ac:dyDescent="0.2">
      <c r="A197" s="8"/>
      <c r="B197" s="8"/>
      <c r="C197" s="8"/>
      <c r="D197" s="9"/>
      <c r="E197" s="9"/>
      <c r="F197" s="8"/>
      <c r="G197" s="10" t="str">
        <f t="shared" si="18"/>
        <v/>
      </c>
      <c r="H197" s="10" t="str">
        <f t="shared" si="19"/>
        <v/>
      </c>
      <c r="I197" s="11" t="str">
        <f>IF(B197="Recreation",IFERROR(INDEX(RecPricing!$E$5:$E$10,MATCH(IF(C197="Mixed","External",IF(C197="Unknown","UoB",C197))&amp;"|"&amp;IF(F197&lt;=24,"&lt;=24",IF(F197&lt;=32,"&lt;=32","Above32")),RecPricing!$F$5:$F$10,0)),""),IFERROR(INDEX(Reference!$E$5:$E$12,MATCH(B197&amp;"|"&amp;IF(C197="Mixed","External",IF(C197="Unknown","UoB",C197))&amp;"|"&amp;IF(F197&lt;=32,"32","40"),Reference!$D$5:$D$12,0)),""))</f>
        <v/>
      </c>
      <c r="J197" s="11" t="str">
        <f t="shared" si="20"/>
        <v/>
      </c>
      <c r="K197" s="12"/>
      <c r="L197" s="11" t="str">
        <f t="shared" si="21"/>
        <v/>
      </c>
      <c r="M197" s="12"/>
      <c r="N197" s="12"/>
      <c r="O197" s="11" t="str">
        <f t="shared" si="22"/>
        <v/>
      </c>
      <c r="P197" s="10" t="str">
        <f t="shared" si="23"/>
        <v/>
      </c>
    </row>
    <row r="198" spans="1:16" ht="15" customHeight="1" x14ac:dyDescent="0.2">
      <c r="A198" s="8"/>
      <c r="B198" s="8"/>
      <c r="C198" s="8"/>
      <c r="D198" s="9"/>
      <c r="E198" s="9"/>
      <c r="F198" s="8"/>
      <c r="G198" s="10" t="str">
        <f t="shared" si="18"/>
        <v/>
      </c>
      <c r="H198" s="10" t="str">
        <f t="shared" si="19"/>
        <v/>
      </c>
      <c r="I198" s="11" t="str">
        <f>IF(B198="Recreation",IFERROR(INDEX(RecPricing!$E$5:$E$10,MATCH(IF(C198="Mixed","External",IF(C198="Unknown","UoB",C198))&amp;"|"&amp;IF(F198&lt;=24,"&lt;=24",IF(F198&lt;=32,"&lt;=32","Above32")),RecPricing!$F$5:$F$10,0)),""),IFERROR(INDEX(Reference!$E$5:$E$12,MATCH(B198&amp;"|"&amp;IF(C198="Mixed","External",IF(C198="Unknown","UoB",C198))&amp;"|"&amp;IF(F198&lt;=32,"32","40"),Reference!$D$5:$D$12,0)),""))</f>
        <v/>
      </c>
      <c r="J198" s="11" t="str">
        <f t="shared" si="20"/>
        <v/>
      </c>
      <c r="K198" s="12"/>
      <c r="L198" s="11" t="str">
        <f t="shared" si="21"/>
        <v/>
      </c>
      <c r="M198" s="12"/>
      <c r="N198" s="12"/>
      <c r="O198" s="11" t="str">
        <f t="shared" si="22"/>
        <v/>
      </c>
      <c r="P198" s="10" t="str">
        <f t="shared" si="23"/>
        <v/>
      </c>
    </row>
    <row r="199" spans="1:16" ht="15" customHeight="1" x14ac:dyDescent="0.2">
      <c r="A199" s="8"/>
      <c r="B199" s="8"/>
      <c r="C199" s="8"/>
      <c r="D199" s="9"/>
      <c r="E199" s="9"/>
      <c r="F199" s="8"/>
      <c r="G199" s="10" t="str">
        <f t="shared" si="18"/>
        <v/>
      </c>
      <c r="H199" s="10" t="str">
        <f t="shared" si="19"/>
        <v/>
      </c>
      <c r="I199" s="11" t="str">
        <f>IF(B199="Recreation",IFERROR(INDEX(RecPricing!$E$5:$E$10,MATCH(IF(C199="Mixed","External",IF(C199="Unknown","UoB",C199))&amp;"|"&amp;IF(F199&lt;=24,"&lt;=24",IF(F199&lt;=32,"&lt;=32","Above32")),RecPricing!$F$5:$F$10,0)),""),IFERROR(INDEX(Reference!$E$5:$E$12,MATCH(B199&amp;"|"&amp;IF(C199="Mixed","External",IF(C199="Unknown","UoB",C199))&amp;"|"&amp;IF(F199&lt;=32,"32","40"),Reference!$D$5:$D$12,0)),""))</f>
        <v/>
      </c>
      <c r="J199" s="11" t="str">
        <f t="shared" si="20"/>
        <v/>
      </c>
      <c r="K199" s="12"/>
      <c r="L199" s="11" t="str">
        <f t="shared" si="21"/>
        <v/>
      </c>
      <c r="M199" s="12"/>
      <c r="N199" s="12"/>
      <c r="O199" s="11" t="str">
        <f t="shared" si="22"/>
        <v/>
      </c>
      <c r="P199" s="10" t="str">
        <f t="shared" si="23"/>
        <v/>
      </c>
    </row>
    <row r="200" spans="1:16" ht="15" customHeight="1" x14ac:dyDescent="0.2">
      <c r="A200" s="8"/>
      <c r="B200" s="8"/>
      <c r="C200" s="8"/>
      <c r="D200" s="9"/>
      <c r="E200" s="9"/>
      <c r="F200" s="8"/>
      <c r="G200" s="10" t="str">
        <f t="shared" si="18"/>
        <v/>
      </c>
      <c r="H200" s="10" t="str">
        <f t="shared" si="19"/>
        <v/>
      </c>
      <c r="I200" s="11" t="str">
        <f>IF(B200="Recreation",IFERROR(INDEX(RecPricing!$E$5:$E$10,MATCH(IF(C200="Mixed","External",IF(C200="Unknown","UoB",C200))&amp;"|"&amp;IF(F200&lt;=24,"&lt;=24",IF(F200&lt;=32,"&lt;=32","Above32")),RecPricing!$F$5:$F$10,0)),""),IFERROR(INDEX(Reference!$E$5:$E$12,MATCH(B200&amp;"|"&amp;IF(C200="Mixed","External",IF(C200="Unknown","UoB",C200))&amp;"|"&amp;IF(F200&lt;=32,"32","40"),Reference!$D$5:$D$12,0)),""))</f>
        <v/>
      </c>
      <c r="J200" s="11" t="str">
        <f t="shared" si="20"/>
        <v/>
      </c>
      <c r="K200" s="12"/>
      <c r="L200" s="11" t="str">
        <f t="shared" si="21"/>
        <v/>
      </c>
      <c r="M200" s="12"/>
      <c r="N200" s="12"/>
      <c r="O200" s="11" t="str">
        <f t="shared" si="22"/>
        <v/>
      </c>
      <c r="P200" s="10" t="str">
        <f t="shared" si="23"/>
        <v/>
      </c>
    </row>
    <row r="201" spans="1:16" ht="15" customHeight="1" x14ac:dyDescent="0.2">
      <c r="A201" s="8"/>
      <c r="B201" s="8"/>
      <c r="C201" s="8"/>
      <c r="D201" s="9"/>
      <c r="E201" s="9"/>
      <c r="F201" s="8"/>
      <c r="G201" s="10" t="str">
        <f t="shared" si="18"/>
        <v/>
      </c>
      <c r="H201" s="10" t="str">
        <f t="shared" si="19"/>
        <v/>
      </c>
      <c r="I201" s="11" t="str">
        <f>IF(B201="Recreation",IFERROR(INDEX(RecPricing!$E$5:$E$10,MATCH(IF(C201="Mixed","External",IF(C201="Unknown","UoB",C201))&amp;"|"&amp;IF(F201&lt;=24,"&lt;=24",IF(F201&lt;=32,"&lt;=32","Above32")),RecPricing!$F$5:$F$10,0)),""),IFERROR(INDEX(Reference!$E$5:$E$12,MATCH(B201&amp;"|"&amp;IF(C201="Mixed","External",IF(C201="Unknown","UoB",C201))&amp;"|"&amp;IF(F201&lt;=32,"32","40"),Reference!$D$5:$D$12,0)),""))</f>
        <v/>
      </c>
      <c r="J201" s="11" t="str">
        <f t="shared" si="20"/>
        <v/>
      </c>
      <c r="K201" s="12"/>
      <c r="L201" s="11" t="str">
        <f t="shared" si="21"/>
        <v/>
      </c>
      <c r="M201" s="12"/>
      <c r="N201" s="12"/>
      <c r="O201" s="11" t="str">
        <f t="shared" si="22"/>
        <v/>
      </c>
      <c r="P201" s="10" t="str">
        <f t="shared" si="23"/>
        <v/>
      </c>
    </row>
    <row r="202" spans="1:16" ht="15" customHeight="1" x14ac:dyDescent="0.2">
      <c r="A202" s="8"/>
      <c r="B202" s="8"/>
      <c r="C202" s="8"/>
      <c r="D202" s="9"/>
      <c r="E202" s="9"/>
      <c r="F202" s="8"/>
      <c r="G202" s="10" t="str">
        <f t="shared" si="18"/>
        <v/>
      </c>
      <c r="H202" s="10" t="str">
        <f t="shared" si="19"/>
        <v/>
      </c>
      <c r="I202" s="11" t="str">
        <f>IF(B202="Recreation",IFERROR(INDEX(RecPricing!$E$5:$E$10,MATCH(IF(C202="Mixed","External",IF(C202="Unknown","UoB",C202))&amp;"|"&amp;IF(F202&lt;=24,"&lt;=24",IF(F202&lt;=32,"&lt;=32","Above32")),RecPricing!$F$5:$F$10,0)),""),IFERROR(INDEX(Reference!$E$5:$E$12,MATCH(B202&amp;"|"&amp;IF(C202="Mixed","External",IF(C202="Unknown","UoB",C202))&amp;"|"&amp;IF(F202&lt;=32,"32","40"),Reference!$D$5:$D$12,0)),""))</f>
        <v/>
      </c>
      <c r="J202" s="11" t="str">
        <f t="shared" si="20"/>
        <v/>
      </c>
      <c r="K202" s="12"/>
      <c r="L202" s="11" t="str">
        <f t="shared" si="21"/>
        <v/>
      </c>
      <c r="M202" s="12"/>
      <c r="N202" s="12"/>
      <c r="O202" s="11" t="str">
        <f t="shared" si="22"/>
        <v/>
      </c>
      <c r="P202" s="10" t="str">
        <f t="shared" si="23"/>
        <v/>
      </c>
    </row>
    <row r="203" spans="1:16" ht="15" customHeight="1" x14ac:dyDescent="0.2">
      <c r="A203" s="8"/>
      <c r="B203" s="8"/>
      <c r="C203" s="8"/>
      <c r="D203" s="9"/>
      <c r="E203" s="9"/>
      <c r="F203" s="8"/>
      <c r="G203" s="10" t="str">
        <f t="shared" si="18"/>
        <v/>
      </c>
      <c r="H203" s="10" t="str">
        <f t="shared" si="19"/>
        <v/>
      </c>
      <c r="I203" s="11" t="str">
        <f>IF(B203="Recreation",IFERROR(INDEX(RecPricing!$E$5:$E$10,MATCH(IF(C203="Mixed","External",IF(C203="Unknown","UoB",C203))&amp;"|"&amp;IF(F203&lt;=24,"&lt;=24",IF(F203&lt;=32,"&lt;=32","Above32")),RecPricing!$F$5:$F$10,0)),""),IFERROR(INDEX(Reference!$E$5:$E$12,MATCH(B203&amp;"|"&amp;IF(C203="Mixed","External",IF(C203="Unknown","UoB",C203))&amp;"|"&amp;IF(F203&lt;=32,"32","40"),Reference!$D$5:$D$12,0)),""))</f>
        <v/>
      </c>
      <c r="J203" s="11" t="str">
        <f t="shared" si="20"/>
        <v/>
      </c>
      <c r="K203" s="12"/>
      <c r="L203" s="11" t="str">
        <f t="shared" si="21"/>
        <v/>
      </c>
      <c r="M203" s="12"/>
      <c r="N203" s="12"/>
      <c r="O203" s="11" t="str">
        <f t="shared" si="22"/>
        <v/>
      </c>
      <c r="P203" s="10" t="str">
        <f t="shared" si="23"/>
        <v/>
      </c>
    </row>
    <row r="204" spans="1:16" ht="15" customHeight="1" x14ac:dyDescent="0.2">
      <c r="A204" s="8"/>
      <c r="B204" s="8"/>
      <c r="C204" s="8"/>
      <c r="D204" s="9"/>
      <c r="E204" s="9"/>
      <c r="F204" s="8"/>
      <c r="G204" s="10" t="str">
        <f t="shared" si="18"/>
        <v/>
      </c>
      <c r="H204" s="10" t="str">
        <f t="shared" si="19"/>
        <v/>
      </c>
      <c r="I204" s="11" t="str">
        <f>IF(B204="Recreation",IFERROR(INDEX(RecPricing!$E$5:$E$10,MATCH(IF(C204="Mixed","External",IF(C204="Unknown","UoB",C204))&amp;"|"&amp;IF(F204&lt;=24,"&lt;=24",IF(F204&lt;=32,"&lt;=32","Above32")),RecPricing!$F$5:$F$10,0)),""),IFERROR(INDEX(Reference!$E$5:$E$12,MATCH(B204&amp;"|"&amp;IF(C204="Mixed","External",IF(C204="Unknown","UoB",C204))&amp;"|"&amp;IF(F204&lt;=32,"32","40"),Reference!$D$5:$D$12,0)),""))</f>
        <v/>
      </c>
      <c r="J204" s="11" t="str">
        <f t="shared" si="20"/>
        <v/>
      </c>
      <c r="K204" s="12"/>
      <c r="L204" s="11" t="str">
        <f t="shared" si="21"/>
        <v/>
      </c>
      <c r="M204" s="12"/>
      <c r="N204" s="12"/>
      <c r="O204" s="11" t="str">
        <f t="shared" si="22"/>
        <v/>
      </c>
      <c r="P204" s="10" t="str">
        <f t="shared" si="23"/>
        <v/>
      </c>
    </row>
    <row r="205" spans="1:16" ht="15" customHeight="1" x14ac:dyDescent="0.2">
      <c r="A205" s="8"/>
      <c r="B205" s="8"/>
      <c r="C205" s="8"/>
      <c r="D205" s="9"/>
      <c r="E205" s="9"/>
      <c r="F205" s="8"/>
      <c r="G205" s="10" t="str">
        <f t="shared" si="18"/>
        <v/>
      </c>
      <c r="H205" s="10" t="str">
        <f t="shared" si="19"/>
        <v/>
      </c>
      <c r="I205" s="11" t="str">
        <f>IF(B205="Recreation",IFERROR(INDEX(RecPricing!$E$5:$E$10,MATCH(IF(C205="Mixed","External",IF(C205="Unknown","UoB",C205))&amp;"|"&amp;IF(F205&lt;=24,"&lt;=24",IF(F205&lt;=32,"&lt;=32","Above32")),RecPricing!$F$5:$F$10,0)),""),IFERROR(INDEX(Reference!$E$5:$E$12,MATCH(B205&amp;"|"&amp;IF(C205="Mixed","External",IF(C205="Unknown","UoB",C205))&amp;"|"&amp;IF(F205&lt;=32,"32","40"),Reference!$D$5:$D$12,0)),""))</f>
        <v/>
      </c>
      <c r="J205" s="11" t="str">
        <f t="shared" si="20"/>
        <v/>
      </c>
      <c r="K205" s="12"/>
      <c r="L205" s="11" t="str">
        <f t="shared" si="21"/>
        <v/>
      </c>
      <c r="M205" s="12"/>
      <c r="N205" s="12"/>
      <c r="O205" s="11" t="str">
        <f t="shared" si="22"/>
        <v/>
      </c>
      <c r="P205" s="10" t="str">
        <f t="shared" si="23"/>
        <v/>
      </c>
    </row>
    <row r="206" spans="1:16" ht="15" customHeight="1" x14ac:dyDescent="0.2">
      <c r="A206" s="8"/>
      <c r="B206" s="8"/>
      <c r="C206" s="8"/>
      <c r="D206" s="9"/>
      <c r="E206" s="9"/>
      <c r="F206" s="8"/>
      <c r="G206" s="10" t="str">
        <f t="shared" si="18"/>
        <v/>
      </c>
      <c r="H206" s="10" t="str">
        <f t="shared" si="19"/>
        <v/>
      </c>
      <c r="I206" s="11" t="str">
        <f>IF(B206="Recreation",IFERROR(INDEX(RecPricing!$E$5:$E$10,MATCH(IF(C206="Mixed","External",IF(C206="Unknown","UoB",C206))&amp;"|"&amp;IF(F206&lt;=24,"&lt;=24",IF(F206&lt;=32,"&lt;=32","Above32")),RecPricing!$F$5:$F$10,0)),""),IFERROR(INDEX(Reference!$E$5:$E$12,MATCH(B206&amp;"|"&amp;IF(C206="Mixed","External",IF(C206="Unknown","UoB",C206))&amp;"|"&amp;IF(F206&lt;=32,"32","40"),Reference!$D$5:$D$12,0)),""))</f>
        <v/>
      </c>
      <c r="J206" s="11" t="str">
        <f t="shared" si="20"/>
        <v/>
      </c>
      <c r="K206" s="12"/>
      <c r="L206" s="11" t="str">
        <f t="shared" si="21"/>
        <v/>
      </c>
      <c r="M206" s="12"/>
      <c r="N206" s="12"/>
      <c r="O206" s="11" t="str">
        <f t="shared" si="22"/>
        <v/>
      </c>
      <c r="P206" s="10" t="str">
        <f t="shared" si="23"/>
        <v/>
      </c>
    </row>
    <row r="207" spans="1:16" ht="15" customHeight="1" x14ac:dyDescent="0.2">
      <c r="A207" s="8"/>
      <c r="B207" s="8"/>
      <c r="C207" s="8"/>
      <c r="D207" s="9"/>
      <c r="E207" s="9"/>
      <c r="F207" s="8"/>
      <c r="G207" s="10" t="str">
        <f t="shared" si="18"/>
        <v/>
      </c>
      <c r="H207" s="10" t="str">
        <f t="shared" si="19"/>
        <v/>
      </c>
      <c r="I207" s="11" t="str">
        <f>IF(B207="Recreation",IFERROR(INDEX(RecPricing!$E$5:$E$10,MATCH(IF(C207="Mixed","External",IF(C207="Unknown","UoB",C207))&amp;"|"&amp;IF(F207&lt;=24,"&lt;=24",IF(F207&lt;=32,"&lt;=32","Above32")),RecPricing!$F$5:$F$10,0)),""),IFERROR(INDEX(Reference!$E$5:$E$12,MATCH(B207&amp;"|"&amp;IF(C207="Mixed","External",IF(C207="Unknown","UoB",C207))&amp;"|"&amp;IF(F207&lt;=32,"32","40"),Reference!$D$5:$D$12,0)),""))</f>
        <v/>
      </c>
      <c r="J207" s="11" t="str">
        <f t="shared" si="20"/>
        <v/>
      </c>
      <c r="K207" s="12"/>
      <c r="L207" s="11" t="str">
        <f t="shared" si="21"/>
        <v/>
      </c>
      <c r="M207" s="12"/>
      <c r="N207" s="12"/>
      <c r="O207" s="11" t="str">
        <f t="shared" si="22"/>
        <v/>
      </c>
      <c r="P207" s="10" t="str">
        <f t="shared" si="23"/>
        <v/>
      </c>
    </row>
    <row r="208" spans="1:16" ht="15" customHeight="1" x14ac:dyDescent="0.2">
      <c r="A208" s="8"/>
      <c r="B208" s="8"/>
      <c r="C208" s="8"/>
      <c r="D208" s="9"/>
      <c r="E208" s="9"/>
      <c r="F208" s="8"/>
      <c r="G208" s="10" t="str">
        <f t="shared" si="18"/>
        <v/>
      </c>
      <c r="H208" s="10" t="str">
        <f t="shared" si="19"/>
        <v/>
      </c>
      <c r="I208" s="11" t="str">
        <f>IF(B208="Recreation",IFERROR(INDEX(RecPricing!$E$5:$E$10,MATCH(IF(C208="Mixed","External",IF(C208="Unknown","UoB",C208))&amp;"|"&amp;IF(F208&lt;=24,"&lt;=24",IF(F208&lt;=32,"&lt;=32","Above32")),RecPricing!$F$5:$F$10,0)),""),IFERROR(INDEX(Reference!$E$5:$E$12,MATCH(B208&amp;"|"&amp;IF(C208="Mixed","External",IF(C208="Unknown","UoB",C208))&amp;"|"&amp;IF(F208&lt;=32,"32","40"),Reference!$D$5:$D$12,0)),""))</f>
        <v/>
      </c>
      <c r="J208" s="11" t="str">
        <f t="shared" si="20"/>
        <v/>
      </c>
      <c r="K208" s="12"/>
      <c r="L208" s="11" t="str">
        <f t="shared" si="21"/>
        <v/>
      </c>
      <c r="M208" s="12"/>
      <c r="N208" s="12"/>
      <c r="O208" s="11" t="str">
        <f t="shared" si="22"/>
        <v/>
      </c>
      <c r="P208" s="10" t="str">
        <f t="shared" si="23"/>
        <v/>
      </c>
    </row>
    <row r="209" spans="1:16" ht="15" customHeight="1" x14ac:dyDescent="0.2">
      <c r="A209" s="8"/>
      <c r="B209" s="8"/>
      <c r="C209" s="8"/>
      <c r="D209" s="9"/>
      <c r="E209" s="9"/>
      <c r="F209" s="8"/>
      <c r="G209" s="10" t="str">
        <f t="shared" si="18"/>
        <v/>
      </c>
      <c r="H209" s="10" t="str">
        <f t="shared" si="19"/>
        <v/>
      </c>
      <c r="I209" s="11" t="str">
        <f>IF(B209="Recreation",IFERROR(INDEX(RecPricing!$E$5:$E$10,MATCH(IF(C209="Mixed","External",IF(C209="Unknown","UoB",C209))&amp;"|"&amp;IF(F209&lt;=24,"&lt;=24",IF(F209&lt;=32,"&lt;=32","Above32")),RecPricing!$F$5:$F$10,0)),""),IFERROR(INDEX(Reference!$E$5:$E$12,MATCH(B209&amp;"|"&amp;IF(C209="Mixed","External",IF(C209="Unknown","UoB",C209))&amp;"|"&amp;IF(F209&lt;=32,"32","40"),Reference!$D$5:$D$12,0)),""))</f>
        <v/>
      </c>
      <c r="J209" s="11" t="str">
        <f t="shared" si="20"/>
        <v/>
      </c>
      <c r="K209" s="12"/>
      <c r="L209" s="11" t="str">
        <f t="shared" si="21"/>
        <v/>
      </c>
      <c r="M209" s="12"/>
      <c r="N209" s="12"/>
      <c r="O209" s="11" t="str">
        <f t="shared" si="22"/>
        <v/>
      </c>
      <c r="P209" s="10" t="str">
        <f t="shared" si="23"/>
        <v/>
      </c>
    </row>
    <row r="210" spans="1:16" ht="15" customHeight="1" x14ac:dyDescent="0.2">
      <c r="A210" s="8"/>
      <c r="B210" s="8"/>
      <c r="C210" s="8"/>
      <c r="D210" s="9"/>
      <c r="E210" s="9"/>
      <c r="F210" s="8"/>
      <c r="G210" s="10" t="str">
        <f t="shared" si="18"/>
        <v/>
      </c>
      <c r="H210" s="10" t="str">
        <f t="shared" si="19"/>
        <v/>
      </c>
      <c r="I210" s="11" t="str">
        <f>IF(B210="Recreation",IFERROR(INDEX(RecPricing!$E$5:$E$10,MATCH(IF(C210="Mixed","External",IF(C210="Unknown","UoB",C210))&amp;"|"&amp;IF(F210&lt;=24,"&lt;=24",IF(F210&lt;=32,"&lt;=32","Above32")),RecPricing!$F$5:$F$10,0)),""),IFERROR(INDEX(Reference!$E$5:$E$12,MATCH(B210&amp;"|"&amp;IF(C210="Mixed","External",IF(C210="Unknown","UoB",C210))&amp;"|"&amp;IF(F210&lt;=32,"32","40"),Reference!$D$5:$D$12,0)),""))</f>
        <v/>
      </c>
      <c r="J210" s="11" t="str">
        <f t="shared" si="20"/>
        <v/>
      </c>
      <c r="K210" s="12"/>
      <c r="L210" s="11" t="str">
        <f t="shared" si="21"/>
        <v/>
      </c>
      <c r="M210" s="12"/>
      <c r="N210" s="12"/>
      <c r="O210" s="11" t="str">
        <f t="shared" si="22"/>
        <v/>
      </c>
      <c r="P210" s="10" t="str">
        <f t="shared" si="23"/>
        <v/>
      </c>
    </row>
    <row r="211" spans="1:16" ht="15" customHeight="1" x14ac:dyDescent="0.2">
      <c r="A211" s="8"/>
      <c r="B211" s="8"/>
      <c r="C211" s="8"/>
      <c r="D211" s="9"/>
      <c r="E211" s="9"/>
      <c r="F211" s="8"/>
      <c r="G211" s="10" t="str">
        <f t="shared" si="18"/>
        <v/>
      </c>
      <c r="H211" s="10" t="str">
        <f t="shared" si="19"/>
        <v/>
      </c>
      <c r="I211" s="11" t="str">
        <f>IF(B211="Recreation",IFERROR(INDEX(RecPricing!$E$5:$E$10,MATCH(IF(C211="Mixed","External",IF(C211="Unknown","UoB",C211))&amp;"|"&amp;IF(F211&lt;=24,"&lt;=24",IF(F211&lt;=32,"&lt;=32","Above32")),RecPricing!$F$5:$F$10,0)),""),IFERROR(INDEX(Reference!$E$5:$E$12,MATCH(B211&amp;"|"&amp;IF(C211="Mixed","External",IF(C211="Unknown","UoB",C211))&amp;"|"&amp;IF(F211&lt;=32,"32","40"),Reference!$D$5:$D$12,0)),""))</f>
        <v/>
      </c>
      <c r="J211" s="11" t="str">
        <f t="shared" si="20"/>
        <v/>
      </c>
      <c r="K211" s="12"/>
      <c r="L211" s="11" t="str">
        <f t="shared" si="21"/>
        <v/>
      </c>
      <c r="M211" s="12"/>
      <c r="N211" s="12"/>
      <c r="O211" s="11" t="str">
        <f t="shared" si="22"/>
        <v/>
      </c>
      <c r="P211" s="10" t="str">
        <f t="shared" si="23"/>
        <v/>
      </c>
    </row>
    <row r="212" spans="1:16" ht="15" customHeight="1" x14ac:dyDescent="0.2">
      <c r="A212" s="8"/>
      <c r="B212" s="8"/>
      <c r="C212" s="8"/>
      <c r="D212" s="9"/>
      <c r="E212" s="9"/>
      <c r="F212" s="8"/>
      <c r="G212" s="10" t="str">
        <f t="shared" si="18"/>
        <v/>
      </c>
      <c r="H212" s="10" t="str">
        <f t="shared" si="19"/>
        <v/>
      </c>
      <c r="I212" s="11" t="str">
        <f>IF(B212="Recreation",IFERROR(INDEX(RecPricing!$E$5:$E$10,MATCH(IF(C212="Mixed","External",IF(C212="Unknown","UoB",C212))&amp;"|"&amp;IF(F212&lt;=24,"&lt;=24",IF(F212&lt;=32,"&lt;=32","Above32")),RecPricing!$F$5:$F$10,0)),""),IFERROR(INDEX(Reference!$E$5:$E$12,MATCH(B212&amp;"|"&amp;IF(C212="Mixed","External",IF(C212="Unknown","UoB",C212))&amp;"|"&amp;IF(F212&lt;=32,"32","40"),Reference!$D$5:$D$12,0)),""))</f>
        <v/>
      </c>
      <c r="J212" s="11" t="str">
        <f t="shared" si="20"/>
        <v/>
      </c>
      <c r="K212" s="12"/>
      <c r="L212" s="11" t="str">
        <f t="shared" si="21"/>
        <v/>
      </c>
      <c r="M212" s="12"/>
      <c r="N212" s="12"/>
      <c r="O212" s="11" t="str">
        <f t="shared" si="22"/>
        <v/>
      </c>
      <c r="P212" s="10" t="str">
        <f t="shared" si="23"/>
        <v/>
      </c>
    </row>
    <row r="213" spans="1:16" ht="15" customHeight="1" x14ac:dyDescent="0.2">
      <c r="A213" s="8"/>
      <c r="B213" s="8"/>
      <c r="C213" s="8"/>
      <c r="D213" s="9"/>
      <c r="E213" s="9"/>
      <c r="F213" s="8"/>
      <c r="G213" s="10" t="str">
        <f t="shared" si="18"/>
        <v/>
      </c>
      <c r="H213" s="10" t="str">
        <f t="shared" si="19"/>
        <v/>
      </c>
      <c r="I213" s="11" t="str">
        <f>IF(B213="Recreation",IFERROR(INDEX(RecPricing!$E$5:$E$10,MATCH(IF(C213="Mixed","External",IF(C213="Unknown","UoB",C213))&amp;"|"&amp;IF(F213&lt;=24,"&lt;=24",IF(F213&lt;=32,"&lt;=32","Above32")),RecPricing!$F$5:$F$10,0)),""),IFERROR(INDEX(Reference!$E$5:$E$12,MATCH(B213&amp;"|"&amp;IF(C213="Mixed","External",IF(C213="Unknown","UoB",C213))&amp;"|"&amp;IF(F213&lt;=32,"32","40"),Reference!$D$5:$D$12,0)),""))</f>
        <v/>
      </c>
      <c r="J213" s="11" t="str">
        <f t="shared" si="20"/>
        <v/>
      </c>
      <c r="K213" s="12"/>
      <c r="L213" s="11" t="str">
        <f t="shared" si="21"/>
        <v/>
      </c>
      <c r="M213" s="12"/>
      <c r="N213" s="12"/>
      <c r="O213" s="11" t="str">
        <f t="shared" si="22"/>
        <v/>
      </c>
      <c r="P213" s="10" t="str">
        <f t="shared" si="23"/>
        <v/>
      </c>
    </row>
    <row r="214" spans="1:16" ht="15" customHeight="1" x14ac:dyDescent="0.2">
      <c r="A214" s="8"/>
      <c r="B214" s="8"/>
      <c r="C214" s="8"/>
      <c r="D214" s="9"/>
      <c r="E214" s="9"/>
      <c r="F214" s="8"/>
      <c r="G214" s="10" t="str">
        <f t="shared" si="18"/>
        <v/>
      </c>
      <c r="H214" s="10" t="str">
        <f t="shared" si="19"/>
        <v/>
      </c>
      <c r="I214" s="11" t="str">
        <f>IF(B214="Recreation",IFERROR(INDEX(RecPricing!$E$5:$E$10,MATCH(IF(C214="Mixed","External",IF(C214="Unknown","UoB",C214))&amp;"|"&amp;IF(F214&lt;=24,"&lt;=24",IF(F214&lt;=32,"&lt;=32","Above32")),RecPricing!$F$5:$F$10,0)),""),IFERROR(INDEX(Reference!$E$5:$E$12,MATCH(B214&amp;"|"&amp;IF(C214="Mixed","External",IF(C214="Unknown","UoB",C214))&amp;"|"&amp;IF(F214&lt;=32,"32","40"),Reference!$D$5:$D$12,0)),""))</f>
        <v/>
      </c>
      <c r="J214" s="11" t="str">
        <f t="shared" si="20"/>
        <v/>
      </c>
      <c r="K214" s="12"/>
      <c r="L214" s="11" t="str">
        <f t="shared" si="21"/>
        <v/>
      </c>
      <c r="M214" s="12"/>
      <c r="N214" s="12"/>
      <c r="O214" s="11" t="str">
        <f t="shared" si="22"/>
        <v/>
      </c>
      <c r="P214" s="10" t="str">
        <f t="shared" si="23"/>
        <v/>
      </c>
    </row>
    <row r="215" spans="1:16" ht="15" customHeight="1" x14ac:dyDescent="0.2">
      <c r="A215" s="8"/>
      <c r="B215" s="8"/>
      <c r="C215" s="8"/>
      <c r="D215" s="9"/>
      <c r="E215" s="9"/>
      <c r="F215" s="8"/>
      <c r="G215" s="10" t="str">
        <f t="shared" si="18"/>
        <v/>
      </c>
      <c r="H215" s="10" t="str">
        <f t="shared" si="19"/>
        <v/>
      </c>
      <c r="I215" s="11" t="str">
        <f>IF(B215="Recreation",IFERROR(INDEX(RecPricing!$E$5:$E$10,MATCH(IF(C215="Mixed","External",IF(C215="Unknown","UoB",C215))&amp;"|"&amp;IF(F215&lt;=24,"&lt;=24",IF(F215&lt;=32,"&lt;=32","Above32")),RecPricing!$F$5:$F$10,0)),""),IFERROR(INDEX(Reference!$E$5:$E$12,MATCH(B215&amp;"|"&amp;IF(C215="Mixed","External",IF(C215="Unknown","UoB",C215))&amp;"|"&amp;IF(F215&lt;=32,"32","40"),Reference!$D$5:$D$12,0)),""))</f>
        <v/>
      </c>
      <c r="J215" s="11" t="str">
        <f t="shared" si="20"/>
        <v/>
      </c>
      <c r="K215" s="12"/>
      <c r="L215" s="11" t="str">
        <f t="shared" si="21"/>
        <v/>
      </c>
      <c r="M215" s="12"/>
      <c r="N215" s="12"/>
      <c r="O215" s="11" t="str">
        <f t="shared" si="22"/>
        <v/>
      </c>
      <c r="P215" s="10" t="str">
        <f t="shared" si="23"/>
        <v/>
      </c>
    </row>
    <row r="216" spans="1:16" ht="15" customHeight="1" x14ac:dyDescent="0.2">
      <c r="A216" s="8"/>
      <c r="B216" s="8"/>
      <c r="C216" s="8"/>
      <c r="D216" s="9"/>
      <c r="E216" s="9"/>
      <c r="F216" s="8"/>
      <c r="G216" s="10" t="str">
        <f t="shared" si="18"/>
        <v/>
      </c>
      <c r="H216" s="10" t="str">
        <f t="shared" si="19"/>
        <v/>
      </c>
      <c r="I216" s="11" t="str">
        <f>IF(B216="Recreation",IFERROR(INDEX(RecPricing!$E$5:$E$10,MATCH(IF(C216="Mixed","External",IF(C216="Unknown","UoB",C216))&amp;"|"&amp;IF(F216&lt;=24,"&lt;=24",IF(F216&lt;=32,"&lt;=32","Above32")),RecPricing!$F$5:$F$10,0)),""),IFERROR(INDEX(Reference!$E$5:$E$12,MATCH(B216&amp;"|"&amp;IF(C216="Mixed","External",IF(C216="Unknown","UoB",C216))&amp;"|"&amp;IF(F216&lt;=32,"32","40"),Reference!$D$5:$D$12,0)),""))</f>
        <v/>
      </c>
      <c r="J216" s="11" t="str">
        <f t="shared" si="20"/>
        <v/>
      </c>
      <c r="K216" s="12"/>
      <c r="L216" s="11" t="str">
        <f t="shared" si="21"/>
        <v/>
      </c>
      <c r="M216" s="12"/>
      <c r="N216" s="12"/>
      <c r="O216" s="11" t="str">
        <f t="shared" si="22"/>
        <v/>
      </c>
      <c r="P216" s="10" t="str">
        <f t="shared" si="23"/>
        <v/>
      </c>
    </row>
    <row r="217" spans="1:16" ht="15" customHeight="1" x14ac:dyDescent="0.2">
      <c r="A217" s="8"/>
      <c r="B217" s="8"/>
      <c r="C217" s="8"/>
      <c r="D217" s="9"/>
      <c r="E217" s="9"/>
      <c r="F217" s="8"/>
      <c r="G217" s="10" t="str">
        <f t="shared" si="18"/>
        <v/>
      </c>
      <c r="H217" s="10" t="str">
        <f t="shared" si="19"/>
        <v/>
      </c>
      <c r="I217" s="11" t="str">
        <f>IF(B217="Recreation",IFERROR(INDEX(RecPricing!$E$5:$E$10,MATCH(IF(C217="Mixed","External",IF(C217="Unknown","UoB",C217))&amp;"|"&amp;IF(F217&lt;=24,"&lt;=24",IF(F217&lt;=32,"&lt;=32","Above32")),RecPricing!$F$5:$F$10,0)),""),IFERROR(INDEX(Reference!$E$5:$E$12,MATCH(B217&amp;"|"&amp;IF(C217="Mixed","External",IF(C217="Unknown","UoB",C217))&amp;"|"&amp;IF(F217&lt;=32,"32","40"),Reference!$D$5:$D$12,0)),""))</f>
        <v/>
      </c>
      <c r="J217" s="11" t="str">
        <f t="shared" si="20"/>
        <v/>
      </c>
      <c r="K217" s="12"/>
      <c r="L217" s="11" t="str">
        <f t="shared" si="21"/>
        <v/>
      </c>
      <c r="M217" s="12"/>
      <c r="N217" s="12"/>
      <c r="O217" s="11" t="str">
        <f t="shared" si="22"/>
        <v/>
      </c>
      <c r="P217" s="10" t="str">
        <f t="shared" si="23"/>
        <v/>
      </c>
    </row>
    <row r="218" spans="1:16" ht="15" customHeight="1" x14ac:dyDescent="0.2">
      <c r="A218" s="8"/>
      <c r="B218" s="8"/>
      <c r="C218" s="8"/>
      <c r="D218" s="9"/>
      <c r="E218" s="9"/>
      <c r="F218" s="8"/>
      <c r="G218" s="10" t="str">
        <f t="shared" si="18"/>
        <v/>
      </c>
      <c r="H218" s="10" t="str">
        <f t="shared" si="19"/>
        <v/>
      </c>
      <c r="I218" s="11" t="str">
        <f>IF(B218="Recreation",IFERROR(INDEX(RecPricing!$E$5:$E$10,MATCH(IF(C218="Mixed","External",IF(C218="Unknown","UoB",C218))&amp;"|"&amp;IF(F218&lt;=24,"&lt;=24",IF(F218&lt;=32,"&lt;=32","Above32")),RecPricing!$F$5:$F$10,0)),""),IFERROR(INDEX(Reference!$E$5:$E$12,MATCH(B218&amp;"|"&amp;IF(C218="Mixed","External",IF(C218="Unknown","UoB",C218))&amp;"|"&amp;IF(F218&lt;=32,"32","40"),Reference!$D$5:$D$12,0)),""))</f>
        <v/>
      </c>
      <c r="J218" s="11" t="str">
        <f t="shared" si="20"/>
        <v/>
      </c>
      <c r="K218" s="12"/>
      <c r="L218" s="11" t="str">
        <f t="shared" si="21"/>
        <v/>
      </c>
      <c r="M218" s="12"/>
      <c r="N218" s="12"/>
      <c r="O218" s="11" t="str">
        <f t="shared" si="22"/>
        <v/>
      </c>
      <c r="P218" s="10" t="str">
        <f t="shared" si="23"/>
        <v/>
      </c>
    </row>
    <row r="219" spans="1:16" ht="15" customHeight="1" x14ac:dyDescent="0.2">
      <c r="A219" s="8"/>
      <c r="B219" s="8"/>
      <c r="C219" s="8"/>
      <c r="D219" s="9"/>
      <c r="E219" s="9"/>
      <c r="F219" s="8"/>
      <c r="G219" s="10" t="str">
        <f t="shared" si="18"/>
        <v/>
      </c>
      <c r="H219" s="10" t="str">
        <f t="shared" si="19"/>
        <v/>
      </c>
      <c r="I219" s="11" t="str">
        <f>IF(B219="Recreation",IFERROR(INDEX(RecPricing!$E$5:$E$10,MATCH(IF(C219="Mixed","External",IF(C219="Unknown","UoB",C219))&amp;"|"&amp;IF(F219&lt;=24,"&lt;=24",IF(F219&lt;=32,"&lt;=32","Above32")),RecPricing!$F$5:$F$10,0)),""),IFERROR(INDEX(Reference!$E$5:$E$12,MATCH(B219&amp;"|"&amp;IF(C219="Mixed","External",IF(C219="Unknown","UoB",C219))&amp;"|"&amp;IF(F219&lt;=32,"32","40"),Reference!$D$5:$D$12,0)),""))</f>
        <v/>
      </c>
      <c r="J219" s="11" t="str">
        <f t="shared" si="20"/>
        <v/>
      </c>
      <c r="K219" s="12"/>
      <c r="L219" s="11" t="str">
        <f t="shared" si="21"/>
        <v/>
      </c>
      <c r="M219" s="12"/>
      <c r="N219" s="12"/>
      <c r="O219" s="11" t="str">
        <f t="shared" si="22"/>
        <v/>
      </c>
      <c r="P219" s="10" t="str">
        <f t="shared" si="23"/>
        <v/>
      </c>
    </row>
    <row r="220" spans="1:16" ht="15" customHeight="1" x14ac:dyDescent="0.2">
      <c r="A220" s="8"/>
      <c r="B220" s="8"/>
      <c r="C220" s="8"/>
      <c r="D220" s="9"/>
      <c r="E220" s="9"/>
      <c r="F220" s="8"/>
      <c r="G220" s="10" t="str">
        <f t="shared" si="18"/>
        <v/>
      </c>
      <c r="H220" s="10" t="str">
        <f t="shared" si="19"/>
        <v/>
      </c>
      <c r="I220" s="11" t="str">
        <f>IF(B220="Recreation",IFERROR(INDEX(RecPricing!$E$5:$E$10,MATCH(IF(C220="Mixed","External",IF(C220="Unknown","UoB",C220))&amp;"|"&amp;IF(F220&lt;=24,"&lt;=24",IF(F220&lt;=32,"&lt;=32","Above32")),RecPricing!$F$5:$F$10,0)),""),IFERROR(INDEX(Reference!$E$5:$E$12,MATCH(B220&amp;"|"&amp;IF(C220="Mixed","External",IF(C220="Unknown","UoB",C220))&amp;"|"&amp;IF(F220&lt;=32,"32","40"),Reference!$D$5:$D$12,0)),""))</f>
        <v/>
      </c>
      <c r="J220" s="11" t="str">
        <f t="shared" si="20"/>
        <v/>
      </c>
      <c r="K220" s="12"/>
      <c r="L220" s="11" t="str">
        <f t="shared" si="21"/>
        <v/>
      </c>
      <c r="M220" s="12"/>
      <c r="N220" s="12"/>
      <c r="O220" s="11" t="str">
        <f t="shared" si="22"/>
        <v/>
      </c>
      <c r="P220" s="10" t="str">
        <f t="shared" si="23"/>
        <v/>
      </c>
    </row>
    <row r="221" spans="1:16" ht="15" customHeight="1" x14ac:dyDescent="0.2">
      <c r="A221" s="8"/>
      <c r="B221" s="8"/>
      <c r="C221" s="8"/>
      <c r="D221" s="9"/>
      <c r="E221" s="9"/>
      <c r="F221" s="8"/>
      <c r="G221" s="10" t="str">
        <f t="shared" si="18"/>
        <v/>
      </c>
      <c r="H221" s="10" t="str">
        <f t="shared" si="19"/>
        <v/>
      </c>
      <c r="I221" s="11" t="str">
        <f>IF(B221="Recreation",IFERROR(INDEX(RecPricing!$E$5:$E$10,MATCH(IF(C221="Mixed","External",IF(C221="Unknown","UoB",C221))&amp;"|"&amp;IF(F221&lt;=24,"&lt;=24",IF(F221&lt;=32,"&lt;=32","Above32")),RecPricing!$F$5:$F$10,0)),""),IFERROR(INDEX(Reference!$E$5:$E$12,MATCH(B221&amp;"|"&amp;IF(C221="Mixed","External",IF(C221="Unknown","UoB",C221))&amp;"|"&amp;IF(F221&lt;=32,"32","40"),Reference!$D$5:$D$12,0)),""))</f>
        <v/>
      </c>
      <c r="J221" s="11" t="str">
        <f t="shared" si="20"/>
        <v/>
      </c>
      <c r="K221" s="12"/>
      <c r="L221" s="11" t="str">
        <f t="shared" si="21"/>
        <v/>
      </c>
      <c r="M221" s="12"/>
      <c r="N221" s="12"/>
      <c r="O221" s="11" t="str">
        <f t="shared" si="22"/>
        <v/>
      </c>
      <c r="P221" s="10" t="str">
        <f t="shared" si="23"/>
        <v/>
      </c>
    </row>
    <row r="222" spans="1:16" ht="15" customHeight="1" x14ac:dyDescent="0.2">
      <c r="A222" s="8"/>
      <c r="B222" s="8"/>
      <c r="C222" s="8"/>
      <c r="D222" s="9"/>
      <c r="E222" s="9"/>
      <c r="F222" s="8"/>
      <c r="G222" s="10" t="str">
        <f t="shared" si="18"/>
        <v/>
      </c>
      <c r="H222" s="10" t="str">
        <f t="shared" si="19"/>
        <v/>
      </c>
      <c r="I222" s="11" t="str">
        <f>IF(B222="Recreation",IFERROR(INDEX(RecPricing!$E$5:$E$10,MATCH(IF(C222="Mixed","External",IF(C222="Unknown","UoB",C222))&amp;"|"&amp;IF(F222&lt;=24,"&lt;=24",IF(F222&lt;=32,"&lt;=32","Above32")),RecPricing!$F$5:$F$10,0)),""),IFERROR(INDEX(Reference!$E$5:$E$12,MATCH(B222&amp;"|"&amp;IF(C222="Mixed","External",IF(C222="Unknown","UoB",C222))&amp;"|"&amp;IF(F222&lt;=32,"32","40"),Reference!$D$5:$D$12,0)),""))</f>
        <v/>
      </c>
      <c r="J222" s="11" t="str">
        <f t="shared" si="20"/>
        <v/>
      </c>
      <c r="K222" s="12"/>
      <c r="L222" s="11" t="str">
        <f t="shared" si="21"/>
        <v/>
      </c>
      <c r="M222" s="12"/>
      <c r="N222" s="12"/>
      <c r="O222" s="11" t="str">
        <f t="shared" si="22"/>
        <v/>
      </c>
      <c r="P222" s="10" t="str">
        <f t="shared" si="23"/>
        <v/>
      </c>
    </row>
    <row r="223" spans="1:16" ht="15" customHeight="1" x14ac:dyDescent="0.2">
      <c r="A223" s="8"/>
      <c r="B223" s="8"/>
      <c r="C223" s="8"/>
      <c r="D223" s="9"/>
      <c r="E223" s="9"/>
      <c r="F223" s="8"/>
      <c r="G223" s="10" t="str">
        <f t="shared" si="18"/>
        <v/>
      </c>
      <c r="H223" s="10" t="str">
        <f t="shared" si="19"/>
        <v/>
      </c>
      <c r="I223" s="11" t="str">
        <f>IF(B223="Recreation",IFERROR(INDEX(RecPricing!$E$5:$E$10,MATCH(IF(C223="Mixed","External",IF(C223="Unknown","UoB",C223))&amp;"|"&amp;IF(F223&lt;=24,"&lt;=24",IF(F223&lt;=32,"&lt;=32","Above32")),RecPricing!$F$5:$F$10,0)),""),IFERROR(INDEX(Reference!$E$5:$E$12,MATCH(B223&amp;"|"&amp;IF(C223="Mixed","External",IF(C223="Unknown","UoB",C223))&amp;"|"&amp;IF(F223&lt;=32,"32","40"),Reference!$D$5:$D$12,0)),""))</f>
        <v/>
      </c>
      <c r="J223" s="11" t="str">
        <f t="shared" si="20"/>
        <v/>
      </c>
      <c r="K223" s="12"/>
      <c r="L223" s="11" t="str">
        <f t="shared" si="21"/>
        <v/>
      </c>
      <c r="M223" s="12"/>
      <c r="N223" s="12"/>
      <c r="O223" s="11" t="str">
        <f t="shared" si="22"/>
        <v/>
      </c>
      <c r="P223" s="10" t="str">
        <f t="shared" si="23"/>
        <v/>
      </c>
    </row>
    <row r="224" spans="1:16" ht="15" customHeight="1" x14ac:dyDescent="0.2">
      <c r="A224" s="8"/>
      <c r="B224" s="8"/>
      <c r="C224" s="8"/>
      <c r="D224" s="9"/>
      <c r="E224" s="9"/>
      <c r="F224" s="8"/>
      <c r="G224" s="10" t="str">
        <f t="shared" si="18"/>
        <v/>
      </c>
      <c r="H224" s="10" t="str">
        <f t="shared" si="19"/>
        <v/>
      </c>
      <c r="I224" s="11" t="str">
        <f>IF(B224="Recreation",IFERROR(INDEX(RecPricing!$E$5:$E$10,MATCH(IF(C224="Mixed","External",IF(C224="Unknown","UoB",C224))&amp;"|"&amp;IF(F224&lt;=24,"&lt;=24",IF(F224&lt;=32,"&lt;=32","Above32")),RecPricing!$F$5:$F$10,0)),""),IFERROR(INDEX(Reference!$E$5:$E$12,MATCH(B224&amp;"|"&amp;IF(C224="Mixed","External",IF(C224="Unknown","UoB",C224))&amp;"|"&amp;IF(F224&lt;=32,"32","40"),Reference!$D$5:$D$12,0)),""))</f>
        <v/>
      </c>
      <c r="J224" s="11" t="str">
        <f t="shared" si="20"/>
        <v/>
      </c>
      <c r="K224" s="12"/>
      <c r="L224" s="11" t="str">
        <f t="shared" si="21"/>
        <v/>
      </c>
      <c r="M224" s="12"/>
      <c r="N224" s="12"/>
      <c r="O224" s="11" t="str">
        <f t="shared" si="22"/>
        <v/>
      </c>
      <c r="P224" s="10" t="str">
        <f t="shared" si="23"/>
        <v/>
      </c>
    </row>
    <row r="225" spans="1:16" ht="15" customHeight="1" x14ac:dyDescent="0.2">
      <c r="A225" s="8"/>
      <c r="B225" s="8"/>
      <c r="C225" s="8"/>
      <c r="D225" s="9"/>
      <c r="E225" s="9"/>
      <c r="F225" s="8"/>
      <c r="G225" s="10" t="str">
        <f t="shared" si="18"/>
        <v/>
      </c>
      <c r="H225" s="10" t="str">
        <f t="shared" si="19"/>
        <v/>
      </c>
      <c r="I225" s="11" t="str">
        <f>IF(B225="Recreation",IFERROR(INDEX(RecPricing!$E$5:$E$10,MATCH(IF(C225="Mixed","External",IF(C225="Unknown","UoB",C225))&amp;"|"&amp;IF(F225&lt;=24,"&lt;=24",IF(F225&lt;=32,"&lt;=32","Above32")),RecPricing!$F$5:$F$10,0)),""),IFERROR(INDEX(Reference!$E$5:$E$12,MATCH(B225&amp;"|"&amp;IF(C225="Mixed","External",IF(C225="Unknown","UoB",C225))&amp;"|"&amp;IF(F225&lt;=32,"32","40"),Reference!$D$5:$D$12,0)),""))</f>
        <v/>
      </c>
      <c r="J225" s="11" t="str">
        <f t="shared" si="20"/>
        <v/>
      </c>
      <c r="K225" s="12"/>
      <c r="L225" s="11" t="str">
        <f t="shared" si="21"/>
        <v/>
      </c>
      <c r="M225" s="12"/>
      <c r="N225" s="12"/>
      <c r="O225" s="11" t="str">
        <f t="shared" si="22"/>
        <v/>
      </c>
      <c r="P225" s="10" t="str">
        <f t="shared" si="23"/>
        <v/>
      </c>
    </row>
    <row r="226" spans="1:16" ht="15" customHeight="1" x14ac:dyDescent="0.2">
      <c r="A226" s="8"/>
      <c r="B226" s="8"/>
      <c r="C226" s="8"/>
      <c r="D226" s="9"/>
      <c r="E226" s="9"/>
      <c r="F226" s="8"/>
      <c r="G226" s="10" t="str">
        <f t="shared" si="18"/>
        <v/>
      </c>
      <c r="H226" s="10" t="str">
        <f t="shared" si="19"/>
        <v/>
      </c>
      <c r="I226" s="11" t="str">
        <f>IF(B226="Recreation",IFERROR(INDEX(RecPricing!$E$5:$E$10,MATCH(IF(C226="Mixed","External",IF(C226="Unknown","UoB",C226))&amp;"|"&amp;IF(F226&lt;=24,"&lt;=24",IF(F226&lt;=32,"&lt;=32","Above32")),RecPricing!$F$5:$F$10,0)),""),IFERROR(INDEX(Reference!$E$5:$E$12,MATCH(B226&amp;"|"&amp;IF(C226="Mixed","External",IF(C226="Unknown","UoB",C226))&amp;"|"&amp;IF(F226&lt;=32,"32","40"),Reference!$D$5:$D$12,0)),""))</f>
        <v/>
      </c>
      <c r="J226" s="11" t="str">
        <f t="shared" si="20"/>
        <v/>
      </c>
      <c r="K226" s="12"/>
      <c r="L226" s="11" t="str">
        <f t="shared" si="21"/>
        <v/>
      </c>
      <c r="M226" s="12"/>
      <c r="N226" s="12"/>
      <c r="O226" s="11" t="str">
        <f t="shared" si="22"/>
        <v/>
      </c>
      <c r="P226" s="10" t="str">
        <f t="shared" si="23"/>
        <v/>
      </c>
    </row>
    <row r="227" spans="1:16" ht="15" customHeight="1" x14ac:dyDescent="0.2">
      <c r="A227" s="8"/>
      <c r="B227" s="8"/>
      <c r="C227" s="8"/>
      <c r="D227" s="9"/>
      <c r="E227" s="9"/>
      <c r="F227" s="8"/>
      <c r="G227" s="10" t="str">
        <f t="shared" si="18"/>
        <v/>
      </c>
      <c r="H227" s="10" t="str">
        <f t="shared" si="19"/>
        <v/>
      </c>
      <c r="I227" s="11" t="str">
        <f>IF(B227="Recreation",IFERROR(INDEX(RecPricing!$E$5:$E$10,MATCH(IF(C227="Mixed","External",IF(C227="Unknown","UoB",C227))&amp;"|"&amp;IF(F227&lt;=24,"&lt;=24",IF(F227&lt;=32,"&lt;=32","Above32")),RecPricing!$F$5:$F$10,0)),""),IFERROR(INDEX(Reference!$E$5:$E$12,MATCH(B227&amp;"|"&amp;IF(C227="Mixed","External",IF(C227="Unknown","UoB",C227))&amp;"|"&amp;IF(F227&lt;=32,"32","40"),Reference!$D$5:$D$12,0)),""))</f>
        <v/>
      </c>
      <c r="J227" s="11" t="str">
        <f t="shared" si="20"/>
        <v/>
      </c>
      <c r="K227" s="12"/>
      <c r="L227" s="11" t="str">
        <f t="shared" si="21"/>
        <v/>
      </c>
      <c r="M227" s="12"/>
      <c r="N227" s="12"/>
      <c r="O227" s="11" t="str">
        <f t="shared" si="22"/>
        <v/>
      </c>
      <c r="P227" s="10" t="str">
        <f t="shared" si="23"/>
        <v/>
      </c>
    </row>
    <row r="228" spans="1:16" ht="15" customHeight="1" x14ac:dyDescent="0.2">
      <c r="A228" s="8"/>
      <c r="B228" s="8"/>
      <c r="C228" s="8"/>
      <c r="D228" s="9"/>
      <c r="E228" s="9"/>
      <c r="F228" s="8"/>
      <c r="G228" s="10" t="str">
        <f t="shared" si="18"/>
        <v/>
      </c>
      <c r="H228" s="10" t="str">
        <f t="shared" si="19"/>
        <v/>
      </c>
      <c r="I228" s="11" t="str">
        <f>IF(B228="Recreation",IFERROR(INDEX(RecPricing!$E$5:$E$10,MATCH(IF(C228="Mixed","External",IF(C228="Unknown","UoB",C228))&amp;"|"&amp;IF(F228&lt;=24,"&lt;=24",IF(F228&lt;=32,"&lt;=32","Above32")),RecPricing!$F$5:$F$10,0)),""),IFERROR(INDEX(Reference!$E$5:$E$12,MATCH(B228&amp;"|"&amp;IF(C228="Mixed","External",IF(C228="Unknown","UoB",C228))&amp;"|"&amp;IF(F228&lt;=32,"32","40"),Reference!$D$5:$D$12,0)),""))</f>
        <v/>
      </c>
      <c r="J228" s="11" t="str">
        <f t="shared" si="20"/>
        <v/>
      </c>
      <c r="K228" s="12"/>
      <c r="L228" s="11" t="str">
        <f t="shared" si="21"/>
        <v/>
      </c>
      <c r="M228" s="12"/>
      <c r="N228" s="12"/>
      <c r="O228" s="11" t="str">
        <f t="shared" si="22"/>
        <v/>
      </c>
      <c r="P228" s="10" t="str">
        <f t="shared" si="23"/>
        <v/>
      </c>
    </row>
    <row r="229" spans="1:16" ht="15" customHeight="1" x14ac:dyDescent="0.2">
      <c r="A229" s="8"/>
      <c r="B229" s="8"/>
      <c r="C229" s="8"/>
      <c r="D229" s="9"/>
      <c r="E229" s="9"/>
      <c r="F229" s="8"/>
      <c r="G229" s="10" t="str">
        <f t="shared" si="18"/>
        <v/>
      </c>
      <c r="H229" s="10" t="str">
        <f t="shared" si="19"/>
        <v/>
      </c>
      <c r="I229" s="11" t="str">
        <f>IF(B229="Recreation",IFERROR(INDEX(RecPricing!$E$5:$E$10,MATCH(IF(C229="Mixed","External",IF(C229="Unknown","UoB",C229))&amp;"|"&amp;IF(F229&lt;=24,"&lt;=24",IF(F229&lt;=32,"&lt;=32","Above32")),RecPricing!$F$5:$F$10,0)),""),IFERROR(INDEX(Reference!$E$5:$E$12,MATCH(B229&amp;"|"&amp;IF(C229="Mixed","External",IF(C229="Unknown","UoB",C229))&amp;"|"&amp;IF(F229&lt;=32,"32","40"),Reference!$D$5:$D$12,0)),""))</f>
        <v/>
      </c>
      <c r="J229" s="11" t="str">
        <f t="shared" si="20"/>
        <v/>
      </c>
      <c r="K229" s="12"/>
      <c r="L229" s="11" t="str">
        <f t="shared" si="21"/>
        <v/>
      </c>
      <c r="M229" s="12"/>
      <c r="N229" s="12"/>
      <c r="O229" s="11" t="str">
        <f t="shared" si="22"/>
        <v/>
      </c>
      <c r="P229" s="10" t="str">
        <f t="shared" si="23"/>
        <v/>
      </c>
    </row>
    <row r="230" spans="1:16" ht="15" customHeight="1" x14ac:dyDescent="0.2">
      <c r="A230" s="8"/>
      <c r="B230" s="8"/>
      <c r="C230" s="8"/>
      <c r="D230" s="9"/>
      <c r="E230" s="9"/>
      <c r="F230" s="8"/>
      <c r="G230" s="10" t="str">
        <f t="shared" si="18"/>
        <v/>
      </c>
      <c r="H230" s="10" t="str">
        <f t="shared" si="19"/>
        <v/>
      </c>
      <c r="I230" s="11" t="str">
        <f>IF(B230="Recreation",IFERROR(INDEX(RecPricing!$E$5:$E$10,MATCH(IF(C230="Mixed","External",IF(C230="Unknown","UoB",C230))&amp;"|"&amp;IF(F230&lt;=24,"&lt;=24",IF(F230&lt;=32,"&lt;=32","Above32")),RecPricing!$F$5:$F$10,0)),""),IFERROR(INDEX(Reference!$E$5:$E$12,MATCH(B230&amp;"|"&amp;IF(C230="Mixed","External",IF(C230="Unknown","UoB",C230))&amp;"|"&amp;IF(F230&lt;=32,"32","40"),Reference!$D$5:$D$12,0)),""))</f>
        <v/>
      </c>
      <c r="J230" s="11" t="str">
        <f t="shared" si="20"/>
        <v/>
      </c>
      <c r="K230" s="12"/>
      <c r="L230" s="11" t="str">
        <f t="shared" si="21"/>
        <v/>
      </c>
      <c r="M230" s="12"/>
      <c r="N230" s="12"/>
      <c r="O230" s="11" t="str">
        <f t="shared" si="22"/>
        <v/>
      </c>
      <c r="P230" s="10" t="str">
        <f t="shared" si="23"/>
        <v/>
      </c>
    </row>
    <row r="231" spans="1:16" ht="15" customHeight="1" x14ac:dyDescent="0.2">
      <c r="A231" s="8"/>
      <c r="B231" s="8"/>
      <c r="C231" s="8"/>
      <c r="D231" s="9"/>
      <c r="E231" s="9"/>
      <c r="F231" s="8"/>
      <c r="G231" s="10" t="str">
        <f t="shared" si="18"/>
        <v/>
      </c>
      <c r="H231" s="10" t="str">
        <f t="shared" si="19"/>
        <v/>
      </c>
      <c r="I231" s="11" t="str">
        <f>IF(B231="Recreation",IFERROR(INDEX(RecPricing!$E$5:$E$10,MATCH(IF(C231="Mixed","External",IF(C231="Unknown","UoB",C231))&amp;"|"&amp;IF(F231&lt;=24,"&lt;=24",IF(F231&lt;=32,"&lt;=32","Above32")),RecPricing!$F$5:$F$10,0)),""),IFERROR(INDEX(Reference!$E$5:$E$12,MATCH(B231&amp;"|"&amp;IF(C231="Mixed","External",IF(C231="Unknown","UoB",C231))&amp;"|"&amp;IF(F231&lt;=32,"32","40"),Reference!$D$5:$D$12,0)),""))</f>
        <v/>
      </c>
      <c r="J231" s="11" t="str">
        <f t="shared" si="20"/>
        <v/>
      </c>
      <c r="K231" s="12"/>
      <c r="L231" s="11" t="str">
        <f t="shared" si="21"/>
        <v/>
      </c>
      <c r="M231" s="12"/>
      <c r="N231" s="12"/>
      <c r="O231" s="11" t="str">
        <f t="shared" si="22"/>
        <v/>
      </c>
      <c r="P231" s="10" t="str">
        <f t="shared" si="23"/>
        <v/>
      </c>
    </row>
    <row r="232" spans="1:16" ht="15" customHeight="1" x14ac:dyDescent="0.2">
      <c r="A232" s="8"/>
      <c r="B232" s="8"/>
      <c r="C232" s="8"/>
      <c r="D232" s="9"/>
      <c r="E232" s="9"/>
      <c r="F232" s="8"/>
      <c r="G232" s="10" t="str">
        <f t="shared" si="18"/>
        <v/>
      </c>
      <c r="H232" s="10" t="str">
        <f t="shared" si="19"/>
        <v/>
      </c>
      <c r="I232" s="11" t="str">
        <f>IF(B232="Recreation",IFERROR(INDEX(RecPricing!$E$5:$E$10,MATCH(IF(C232="Mixed","External",IF(C232="Unknown","UoB",C232))&amp;"|"&amp;IF(F232&lt;=24,"&lt;=24",IF(F232&lt;=32,"&lt;=32","Above32")),RecPricing!$F$5:$F$10,0)),""),IFERROR(INDEX(Reference!$E$5:$E$12,MATCH(B232&amp;"|"&amp;IF(C232="Mixed","External",IF(C232="Unknown","UoB",C232))&amp;"|"&amp;IF(F232&lt;=32,"32","40"),Reference!$D$5:$D$12,0)),""))</f>
        <v/>
      </c>
      <c r="J232" s="11" t="str">
        <f t="shared" si="20"/>
        <v/>
      </c>
      <c r="K232" s="12"/>
      <c r="L232" s="11" t="str">
        <f t="shared" si="21"/>
        <v/>
      </c>
      <c r="M232" s="12"/>
      <c r="N232" s="12"/>
      <c r="O232" s="11" t="str">
        <f t="shared" si="22"/>
        <v/>
      </c>
      <c r="P232" s="10" t="str">
        <f t="shared" si="23"/>
        <v/>
      </c>
    </row>
    <row r="233" spans="1:16" ht="15" customHeight="1" x14ac:dyDescent="0.2">
      <c r="A233" s="8"/>
      <c r="B233" s="8"/>
      <c r="C233" s="8"/>
      <c r="D233" s="9"/>
      <c r="E233" s="9"/>
      <c r="F233" s="8"/>
      <c r="G233" s="10" t="str">
        <f t="shared" si="18"/>
        <v/>
      </c>
      <c r="H233" s="10" t="str">
        <f t="shared" si="19"/>
        <v/>
      </c>
      <c r="I233" s="11" t="str">
        <f>IF(B233="Recreation",IFERROR(INDEX(RecPricing!$E$5:$E$10,MATCH(IF(C233="Mixed","External",IF(C233="Unknown","UoB",C233))&amp;"|"&amp;IF(F233&lt;=24,"&lt;=24",IF(F233&lt;=32,"&lt;=32","Above32")),RecPricing!$F$5:$F$10,0)),""),IFERROR(INDEX(Reference!$E$5:$E$12,MATCH(B233&amp;"|"&amp;IF(C233="Mixed","External",IF(C233="Unknown","UoB",C233))&amp;"|"&amp;IF(F233&lt;=32,"32","40"),Reference!$D$5:$D$12,0)),""))</f>
        <v/>
      </c>
      <c r="J233" s="11" t="str">
        <f t="shared" si="20"/>
        <v/>
      </c>
      <c r="K233" s="12"/>
      <c r="L233" s="11" t="str">
        <f t="shared" si="21"/>
        <v/>
      </c>
      <c r="M233" s="12"/>
      <c r="N233" s="12"/>
      <c r="O233" s="11" t="str">
        <f t="shared" si="22"/>
        <v/>
      </c>
      <c r="P233" s="10" t="str">
        <f t="shared" si="23"/>
        <v/>
      </c>
    </row>
    <row r="234" spans="1:16" ht="15" customHeight="1" x14ac:dyDescent="0.2">
      <c r="A234" s="8"/>
      <c r="B234" s="8"/>
      <c r="C234" s="8"/>
      <c r="D234" s="9"/>
      <c r="E234" s="9"/>
      <c r="F234" s="8"/>
      <c r="G234" s="10" t="str">
        <f t="shared" si="18"/>
        <v/>
      </c>
      <c r="H234" s="10" t="str">
        <f t="shared" si="19"/>
        <v/>
      </c>
      <c r="I234" s="11" t="str">
        <f>IF(B234="Recreation",IFERROR(INDEX(RecPricing!$E$5:$E$10,MATCH(IF(C234="Mixed","External",IF(C234="Unknown","UoB",C234))&amp;"|"&amp;IF(F234&lt;=24,"&lt;=24",IF(F234&lt;=32,"&lt;=32","Above32")),RecPricing!$F$5:$F$10,0)),""),IFERROR(INDEX(Reference!$E$5:$E$12,MATCH(B234&amp;"|"&amp;IF(C234="Mixed","External",IF(C234="Unknown","UoB",C234))&amp;"|"&amp;IF(F234&lt;=32,"32","40"),Reference!$D$5:$D$12,0)),""))</f>
        <v/>
      </c>
      <c r="J234" s="11" t="str">
        <f t="shared" si="20"/>
        <v/>
      </c>
      <c r="K234" s="12"/>
      <c r="L234" s="11" t="str">
        <f t="shared" si="21"/>
        <v/>
      </c>
      <c r="M234" s="12"/>
      <c r="N234" s="12"/>
      <c r="O234" s="11" t="str">
        <f t="shared" si="22"/>
        <v/>
      </c>
      <c r="P234" s="10" t="str">
        <f t="shared" si="23"/>
        <v/>
      </c>
    </row>
    <row r="235" spans="1:16" ht="15" customHeight="1" x14ac:dyDescent="0.2">
      <c r="A235" s="8"/>
      <c r="B235" s="8"/>
      <c r="C235" s="8"/>
      <c r="D235" s="9"/>
      <c r="E235" s="9"/>
      <c r="F235" s="8"/>
      <c r="G235" s="10" t="str">
        <f t="shared" si="18"/>
        <v/>
      </c>
      <c r="H235" s="10" t="str">
        <f t="shared" si="19"/>
        <v/>
      </c>
      <c r="I235" s="11" t="str">
        <f>IF(B235="Recreation",IFERROR(INDEX(RecPricing!$E$5:$E$10,MATCH(IF(C235="Mixed","External",IF(C235="Unknown","UoB",C235))&amp;"|"&amp;IF(F235&lt;=24,"&lt;=24",IF(F235&lt;=32,"&lt;=32","Above32")),RecPricing!$F$5:$F$10,0)),""),IFERROR(INDEX(Reference!$E$5:$E$12,MATCH(B235&amp;"|"&amp;IF(C235="Mixed","External",IF(C235="Unknown","UoB",C235))&amp;"|"&amp;IF(F235&lt;=32,"32","40"),Reference!$D$5:$D$12,0)),""))</f>
        <v/>
      </c>
      <c r="J235" s="11" t="str">
        <f t="shared" si="20"/>
        <v/>
      </c>
      <c r="K235" s="12"/>
      <c r="L235" s="11" t="str">
        <f t="shared" si="21"/>
        <v/>
      </c>
      <c r="M235" s="12"/>
      <c r="N235" s="12"/>
      <c r="O235" s="11" t="str">
        <f t="shared" si="22"/>
        <v/>
      </c>
      <c r="P235" s="10" t="str">
        <f t="shared" si="23"/>
        <v/>
      </c>
    </row>
    <row r="236" spans="1:16" ht="15" customHeight="1" x14ac:dyDescent="0.2">
      <c r="A236" s="8"/>
      <c r="B236" s="8"/>
      <c r="C236" s="8"/>
      <c r="D236" s="9"/>
      <c r="E236" s="9"/>
      <c r="F236" s="8"/>
      <c r="G236" s="10" t="str">
        <f t="shared" si="18"/>
        <v/>
      </c>
      <c r="H236" s="10" t="str">
        <f t="shared" si="19"/>
        <v/>
      </c>
      <c r="I236" s="11" t="str">
        <f>IF(B236="Recreation",IFERROR(INDEX(RecPricing!$E$5:$E$10,MATCH(IF(C236="Mixed","External",IF(C236="Unknown","UoB",C236))&amp;"|"&amp;IF(F236&lt;=24,"&lt;=24",IF(F236&lt;=32,"&lt;=32","Above32")),RecPricing!$F$5:$F$10,0)),""),IFERROR(INDEX(Reference!$E$5:$E$12,MATCH(B236&amp;"|"&amp;IF(C236="Mixed","External",IF(C236="Unknown","UoB",C236))&amp;"|"&amp;IF(F236&lt;=32,"32","40"),Reference!$D$5:$D$12,0)),""))</f>
        <v/>
      </c>
      <c r="J236" s="11" t="str">
        <f t="shared" si="20"/>
        <v/>
      </c>
      <c r="K236" s="12"/>
      <c r="L236" s="11" t="str">
        <f t="shared" si="21"/>
        <v/>
      </c>
      <c r="M236" s="12"/>
      <c r="N236" s="12"/>
      <c r="O236" s="11" t="str">
        <f t="shared" si="22"/>
        <v/>
      </c>
      <c r="P236" s="10" t="str">
        <f t="shared" si="23"/>
        <v/>
      </c>
    </row>
    <row r="237" spans="1:16" ht="15" customHeight="1" x14ac:dyDescent="0.2">
      <c r="A237" s="8"/>
      <c r="B237" s="8"/>
      <c r="C237" s="8"/>
      <c r="D237" s="9"/>
      <c r="E237" s="9"/>
      <c r="F237" s="8"/>
      <c r="G237" s="10" t="str">
        <f t="shared" si="18"/>
        <v/>
      </c>
      <c r="H237" s="10" t="str">
        <f t="shared" si="19"/>
        <v/>
      </c>
      <c r="I237" s="11" t="str">
        <f>IF(B237="Recreation",IFERROR(INDEX(RecPricing!$E$5:$E$10,MATCH(IF(C237="Mixed","External",IF(C237="Unknown","UoB",C237))&amp;"|"&amp;IF(F237&lt;=24,"&lt;=24",IF(F237&lt;=32,"&lt;=32","Above32")),RecPricing!$F$5:$F$10,0)),""),IFERROR(INDEX(Reference!$E$5:$E$12,MATCH(B237&amp;"|"&amp;IF(C237="Mixed","External",IF(C237="Unknown","UoB",C237))&amp;"|"&amp;IF(F237&lt;=32,"32","40"),Reference!$D$5:$D$12,0)),""))</f>
        <v/>
      </c>
      <c r="J237" s="11" t="str">
        <f t="shared" si="20"/>
        <v/>
      </c>
      <c r="K237" s="12"/>
      <c r="L237" s="11" t="str">
        <f t="shared" si="21"/>
        <v/>
      </c>
      <c r="M237" s="12"/>
      <c r="N237" s="12"/>
      <c r="O237" s="11" t="str">
        <f t="shared" si="22"/>
        <v/>
      </c>
      <c r="P237" s="10" t="str">
        <f t="shared" si="23"/>
        <v/>
      </c>
    </row>
    <row r="238" spans="1:16" ht="15" customHeight="1" x14ac:dyDescent="0.2">
      <c r="A238" s="8"/>
      <c r="B238" s="8"/>
      <c r="C238" s="8"/>
      <c r="D238" s="9"/>
      <c r="E238" s="9"/>
      <c r="F238" s="8"/>
      <c r="G238" s="10" t="str">
        <f t="shared" si="18"/>
        <v/>
      </c>
      <c r="H238" s="10" t="str">
        <f t="shared" si="19"/>
        <v/>
      </c>
      <c r="I238" s="11" t="str">
        <f>IF(B238="Recreation",IFERROR(INDEX(RecPricing!$E$5:$E$10,MATCH(IF(C238="Mixed","External",IF(C238="Unknown","UoB",C238))&amp;"|"&amp;IF(F238&lt;=24,"&lt;=24",IF(F238&lt;=32,"&lt;=32","Above32")),RecPricing!$F$5:$F$10,0)),""),IFERROR(INDEX(Reference!$E$5:$E$12,MATCH(B238&amp;"|"&amp;IF(C238="Mixed","External",IF(C238="Unknown","UoB",C238))&amp;"|"&amp;IF(F238&lt;=32,"32","40"),Reference!$D$5:$D$12,0)),""))</f>
        <v/>
      </c>
      <c r="J238" s="11" t="str">
        <f t="shared" si="20"/>
        <v/>
      </c>
      <c r="K238" s="12"/>
      <c r="L238" s="11" t="str">
        <f t="shared" si="21"/>
        <v/>
      </c>
      <c r="M238" s="12"/>
      <c r="N238" s="12"/>
      <c r="O238" s="11" t="str">
        <f t="shared" si="22"/>
        <v/>
      </c>
      <c r="P238" s="10" t="str">
        <f t="shared" si="23"/>
        <v/>
      </c>
    </row>
    <row r="239" spans="1:16" ht="15" customHeight="1" x14ac:dyDescent="0.2">
      <c r="A239" s="8"/>
      <c r="B239" s="8"/>
      <c r="C239" s="8"/>
      <c r="D239" s="9"/>
      <c r="E239" s="9"/>
      <c r="F239" s="8"/>
      <c r="G239" s="10" t="str">
        <f t="shared" si="18"/>
        <v/>
      </c>
      <c r="H239" s="10" t="str">
        <f t="shared" si="19"/>
        <v/>
      </c>
      <c r="I239" s="11" t="str">
        <f>IF(B239="Recreation",IFERROR(INDEX(RecPricing!$E$5:$E$10,MATCH(IF(C239="Mixed","External",IF(C239="Unknown","UoB",C239))&amp;"|"&amp;IF(F239&lt;=24,"&lt;=24",IF(F239&lt;=32,"&lt;=32","Above32")),RecPricing!$F$5:$F$10,0)),""),IFERROR(INDEX(Reference!$E$5:$E$12,MATCH(B239&amp;"|"&amp;IF(C239="Mixed","External",IF(C239="Unknown","UoB",C239))&amp;"|"&amp;IF(F239&lt;=32,"32","40"),Reference!$D$5:$D$12,0)),""))</f>
        <v/>
      </c>
      <c r="J239" s="11" t="str">
        <f t="shared" si="20"/>
        <v/>
      </c>
      <c r="K239" s="12"/>
      <c r="L239" s="11" t="str">
        <f t="shared" si="21"/>
        <v/>
      </c>
      <c r="M239" s="12"/>
      <c r="N239" s="12"/>
      <c r="O239" s="11" t="str">
        <f t="shared" si="22"/>
        <v/>
      </c>
      <c r="P239" s="10" t="str">
        <f t="shared" si="23"/>
        <v/>
      </c>
    </row>
    <row r="240" spans="1:16" ht="15" customHeight="1" x14ac:dyDescent="0.2">
      <c r="A240" s="8"/>
      <c r="B240" s="8"/>
      <c r="C240" s="8"/>
      <c r="D240" s="9"/>
      <c r="E240" s="9"/>
      <c r="F240" s="8"/>
      <c r="G240" s="10" t="str">
        <f t="shared" si="18"/>
        <v/>
      </c>
      <c r="H240" s="10" t="str">
        <f t="shared" si="19"/>
        <v/>
      </c>
      <c r="I240" s="11" t="str">
        <f>IF(B240="Recreation",IFERROR(INDEX(RecPricing!$E$5:$E$10,MATCH(IF(C240="Mixed","External",IF(C240="Unknown","UoB",C240))&amp;"|"&amp;IF(F240&lt;=24,"&lt;=24",IF(F240&lt;=32,"&lt;=32","Above32")),RecPricing!$F$5:$F$10,0)),""),IFERROR(INDEX(Reference!$E$5:$E$12,MATCH(B240&amp;"|"&amp;IF(C240="Mixed","External",IF(C240="Unknown","UoB",C240))&amp;"|"&amp;IF(F240&lt;=32,"32","40"),Reference!$D$5:$D$12,0)),""))</f>
        <v/>
      </c>
      <c r="J240" s="11" t="str">
        <f t="shared" si="20"/>
        <v/>
      </c>
      <c r="K240" s="12"/>
      <c r="L240" s="11" t="str">
        <f t="shared" si="21"/>
        <v/>
      </c>
      <c r="M240" s="12"/>
      <c r="N240" s="12"/>
      <c r="O240" s="11" t="str">
        <f t="shared" si="22"/>
        <v/>
      </c>
      <c r="P240" s="10" t="str">
        <f t="shared" si="23"/>
        <v/>
      </c>
    </row>
    <row r="241" spans="1:16" ht="15" customHeight="1" x14ac:dyDescent="0.2">
      <c r="A241" s="8"/>
      <c r="B241" s="8"/>
      <c r="C241" s="8"/>
      <c r="D241" s="9"/>
      <c r="E241" s="9"/>
      <c r="F241" s="8"/>
      <c r="G241" s="10" t="str">
        <f t="shared" si="18"/>
        <v/>
      </c>
      <c r="H241" s="10" t="str">
        <f t="shared" si="19"/>
        <v/>
      </c>
      <c r="I241" s="11" t="str">
        <f>IF(B241="Recreation",IFERROR(INDEX(RecPricing!$E$5:$E$10,MATCH(IF(C241="Mixed","External",IF(C241="Unknown","UoB",C241))&amp;"|"&amp;IF(F241&lt;=24,"&lt;=24",IF(F241&lt;=32,"&lt;=32","Above32")),RecPricing!$F$5:$F$10,0)),""),IFERROR(INDEX(Reference!$E$5:$E$12,MATCH(B241&amp;"|"&amp;IF(C241="Mixed","External",IF(C241="Unknown","UoB",C241))&amp;"|"&amp;IF(F241&lt;=32,"32","40"),Reference!$D$5:$D$12,0)),""))</f>
        <v/>
      </c>
      <c r="J241" s="11" t="str">
        <f t="shared" si="20"/>
        <v/>
      </c>
      <c r="K241" s="12"/>
      <c r="L241" s="11" t="str">
        <f t="shared" si="21"/>
        <v/>
      </c>
      <c r="M241" s="12"/>
      <c r="N241" s="12"/>
      <c r="O241" s="11" t="str">
        <f t="shared" si="22"/>
        <v/>
      </c>
      <c r="P241" s="10" t="str">
        <f t="shared" si="23"/>
        <v/>
      </c>
    </row>
    <row r="242" spans="1:16" ht="15" customHeight="1" x14ac:dyDescent="0.2">
      <c r="A242" s="8"/>
      <c r="B242" s="8"/>
      <c r="C242" s="8"/>
      <c r="D242" s="9"/>
      <c r="E242" s="9"/>
      <c r="F242" s="8"/>
      <c r="G242" s="10" t="str">
        <f t="shared" si="18"/>
        <v/>
      </c>
      <c r="H242" s="10" t="str">
        <f t="shared" si="19"/>
        <v/>
      </c>
      <c r="I242" s="11" t="str">
        <f>IF(B242="Recreation",IFERROR(INDEX(RecPricing!$E$5:$E$10,MATCH(IF(C242="Mixed","External",IF(C242="Unknown","UoB",C242))&amp;"|"&amp;IF(F242&lt;=24,"&lt;=24",IF(F242&lt;=32,"&lt;=32","Above32")),RecPricing!$F$5:$F$10,0)),""),IFERROR(INDEX(Reference!$E$5:$E$12,MATCH(B242&amp;"|"&amp;IF(C242="Mixed","External",IF(C242="Unknown","UoB",C242))&amp;"|"&amp;IF(F242&lt;=32,"32","40"),Reference!$D$5:$D$12,0)),""))</f>
        <v/>
      </c>
      <c r="J242" s="11" t="str">
        <f t="shared" si="20"/>
        <v/>
      </c>
      <c r="K242" s="12"/>
      <c r="L242" s="11" t="str">
        <f t="shared" si="21"/>
        <v/>
      </c>
      <c r="M242" s="12"/>
      <c r="N242" s="12"/>
      <c r="O242" s="11" t="str">
        <f t="shared" si="22"/>
        <v/>
      </c>
      <c r="P242" s="10" t="str">
        <f t="shared" si="23"/>
        <v/>
      </c>
    </row>
    <row r="243" spans="1:16" ht="15" customHeight="1" x14ac:dyDescent="0.2">
      <c r="A243" s="8"/>
      <c r="B243" s="8"/>
      <c r="C243" s="8"/>
      <c r="D243" s="9"/>
      <c r="E243" s="9"/>
      <c r="F243" s="8"/>
      <c r="G243" s="10" t="str">
        <f t="shared" si="18"/>
        <v/>
      </c>
      <c r="H243" s="10" t="str">
        <f t="shared" si="19"/>
        <v/>
      </c>
      <c r="I243" s="11" t="str">
        <f>IF(B243="Recreation",IFERROR(INDEX(RecPricing!$E$5:$E$10,MATCH(IF(C243="Mixed","External",IF(C243="Unknown","UoB",C243))&amp;"|"&amp;IF(F243&lt;=24,"&lt;=24",IF(F243&lt;=32,"&lt;=32","Above32")),RecPricing!$F$5:$F$10,0)),""),IFERROR(INDEX(Reference!$E$5:$E$12,MATCH(B243&amp;"|"&amp;IF(C243="Mixed","External",IF(C243="Unknown","UoB",C243))&amp;"|"&amp;IF(F243&lt;=32,"32","40"),Reference!$D$5:$D$12,0)),""))</f>
        <v/>
      </c>
      <c r="J243" s="11" t="str">
        <f t="shared" si="20"/>
        <v/>
      </c>
      <c r="K243" s="12"/>
      <c r="L243" s="11" t="str">
        <f t="shared" si="21"/>
        <v/>
      </c>
      <c r="M243" s="12"/>
      <c r="N243" s="12"/>
      <c r="O243" s="11" t="str">
        <f t="shared" si="22"/>
        <v/>
      </c>
      <c r="P243" s="10" t="str">
        <f t="shared" si="23"/>
        <v/>
      </c>
    </row>
    <row r="244" spans="1:16" ht="15" customHeight="1" x14ac:dyDescent="0.2">
      <c r="A244" s="8"/>
      <c r="B244" s="8"/>
      <c r="C244" s="8"/>
      <c r="D244" s="9"/>
      <c r="E244" s="9"/>
      <c r="F244" s="8"/>
      <c r="G244" s="10" t="str">
        <f t="shared" si="18"/>
        <v/>
      </c>
      <c r="H244" s="10" t="str">
        <f t="shared" si="19"/>
        <v/>
      </c>
      <c r="I244" s="11" t="str">
        <f>IF(B244="Recreation",IFERROR(INDEX(RecPricing!$E$5:$E$10,MATCH(IF(C244="Mixed","External",IF(C244="Unknown","UoB",C244))&amp;"|"&amp;IF(F244&lt;=24,"&lt;=24",IF(F244&lt;=32,"&lt;=32","Above32")),RecPricing!$F$5:$F$10,0)),""),IFERROR(INDEX(Reference!$E$5:$E$12,MATCH(B244&amp;"|"&amp;IF(C244="Mixed","External",IF(C244="Unknown","UoB",C244))&amp;"|"&amp;IF(F244&lt;=32,"32","40"),Reference!$D$5:$D$12,0)),""))</f>
        <v/>
      </c>
      <c r="J244" s="11" t="str">
        <f t="shared" si="20"/>
        <v/>
      </c>
      <c r="K244" s="12"/>
      <c r="L244" s="11" t="str">
        <f t="shared" si="21"/>
        <v/>
      </c>
      <c r="M244" s="12"/>
      <c r="N244" s="12"/>
      <c r="O244" s="11" t="str">
        <f t="shared" si="22"/>
        <v/>
      </c>
      <c r="P244" s="10" t="str">
        <f t="shared" si="23"/>
        <v/>
      </c>
    </row>
    <row r="245" spans="1:16" ht="15" customHeight="1" x14ac:dyDescent="0.2">
      <c r="A245" s="8"/>
      <c r="B245" s="8"/>
      <c r="C245" s="8"/>
      <c r="D245" s="9"/>
      <c r="E245" s="9"/>
      <c r="F245" s="8"/>
      <c r="G245" s="10" t="str">
        <f t="shared" si="18"/>
        <v/>
      </c>
      <c r="H245" s="10" t="str">
        <f t="shared" si="19"/>
        <v/>
      </c>
      <c r="I245" s="11" t="str">
        <f>IF(B245="Recreation",IFERROR(INDEX(RecPricing!$E$5:$E$10,MATCH(IF(C245="Mixed","External",IF(C245="Unknown","UoB",C245))&amp;"|"&amp;IF(F245&lt;=24,"&lt;=24",IF(F245&lt;=32,"&lt;=32","Above32")),RecPricing!$F$5:$F$10,0)),""),IFERROR(INDEX(Reference!$E$5:$E$12,MATCH(B245&amp;"|"&amp;IF(C245="Mixed","External",IF(C245="Unknown","UoB",C245))&amp;"|"&amp;IF(F245&lt;=32,"32","40"),Reference!$D$5:$D$12,0)),""))</f>
        <v/>
      </c>
      <c r="J245" s="11" t="str">
        <f t="shared" si="20"/>
        <v/>
      </c>
      <c r="K245" s="12"/>
      <c r="L245" s="11" t="str">
        <f t="shared" si="21"/>
        <v/>
      </c>
      <c r="M245" s="12"/>
      <c r="N245" s="12"/>
      <c r="O245" s="11" t="str">
        <f t="shared" si="22"/>
        <v/>
      </c>
      <c r="P245" s="10" t="str">
        <f t="shared" si="23"/>
        <v/>
      </c>
    </row>
    <row r="246" spans="1:16" ht="15" customHeight="1" x14ac:dyDescent="0.2">
      <c r="A246" s="8"/>
      <c r="B246" s="8"/>
      <c r="C246" s="8"/>
      <c r="D246" s="9"/>
      <c r="E246" s="9"/>
      <c r="F246" s="8"/>
      <c r="G246" s="10" t="str">
        <f t="shared" si="18"/>
        <v/>
      </c>
      <c r="H246" s="10" t="str">
        <f t="shared" si="19"/>
        <v/>
      </c>
      <c r="I246" s="11" t="str">
        <f>IF(B246="Recreation",IFERROR(INDEX(RecPricing!$E$5:$E$10,MATCH(IF(C246="Mixed","External",IF(C246="Unknown","UoB",C246))&amp;"|"&amp;IF(F246&lt;=24,"&lt;=24",IF(F246&lt;=32,"&lt;=32","Above32")),RecPricing!$F$5:$F$10,0)),""),IFERROR(INDEX(Reference!$E$5:$E$12,MATCH(B246&amp;"|"&amp;IF(C246="Mixed","External",IF(C246="Unknown","UoB",C246))&amp;"|"&amp;IF(F246&lt;=32,"32","40"),Reference!$D$5:$D$12,0)),""))</f>
        <v/>
      </c>
      <c r="J246" s="11" t="str">
        <f t="shared" si="20"/>
        <v/>
      </c>
      <c r="K246" s="12"/>
      <c r="L246" s="11" t="str">
        <f t="shared" si="21"/>
        <v/>
      </c>
      <c r="M246" s="12"/>
      <c r="N246" s="12"/>
      <c r="O246" s="11" t="str">
        <f t="shared" si="22"/>
        <v/>
      </c>
      <c r="P246" s="10" t="str">
        <f t="shared" si="23"/>
        <v/>
      </c>
    </row>
    <row r="247" spans="1:16" ht="15" customHeight="1" x14ac:dyDescent="0.2">
      <c r="A247" s="8"/>
      <c r="B247" s="8"/>
      <c r="C247" s="8"/>
      <c r="D247" s="9"/>
      <c r="E247" s="9"/>
      <c r="F247" s="8"/>
      <c r="G247" s="10" t="str">
        <f t="shared" si="18"/>
        <v/>
      </c>
      <c r="H247" s="10" t="str">
        <f t="shared" si="19"/>
        <v/>
      </c>
      <c r="I247" s="11" t="str">
        <f>IF(B247="Recreation",IFERROR(INDEX(RecPricing!$E$5:$E$10,MATCH(IF(C247="Mixed","External",IF(C247="Unknown","UoB",C247))&amp;"|"&amp;IF(F247&lt;=24,"&lt;=24",IF(F247&lt;=32,"&lt;=32","Above32")),RecPricing!$F$5:$F$10,0)),""),IFERROR(INDEX(Reference!$E$5:$E$12,MATCH(B247&amp;"|"&amp;IF(C247="Mixed","External",IF(C247="Unknown","UoB",C247))&amp;"|"&amp;IF(F247&lt;=32,"32","40"),Reference!$D$5:$D$12,0)),""))</f>
        <v/>
      </c>
      <c r="J247" s="11" t="str">
        <f t="shared" si="20"/>
        <v/>
      </c>
      <c r="K247" s="12"/>
      <c r="L247" s="11" t="str">
        <f t="shared" si="21"/>
        <v/>
      </c>
      <c r="M247" s="12"/>
      <c r="N247" s="12"/>
      <c r="O247" s="11" t="str">
        <f t="shared" si="22"/>
        <v/>
      </c>
      <c r="P247" s="10" t="str">
        <f t="shared" si="23"/>
        <v/>
      </c>
    </row>
    <row r="248" spans="1:16" ht="15" customHeight="1" x14ac:dyDescent="0.2">
      <c r="A248" s="8"/>
      <c r="B248" s="8"/>
      <c r="C248" s="8"/>
      <c r="D248" s="9"/>
      <c r="E248" s="9"/>
      <c r="F248" s="8"/>
      <c r="G248" s="10" t="str">
        <f t="shared" si="18"/>
        <v/>
      </c>
      <c r="H248" s="10" t="str">
        <f t="shared" si="19"/>
        <v/>
      </c>
      <c r="I248" s="11" t="str">
        <f>IF(B248="Recreation",IFERROR(INDEX(RecPricing!$E$5:$E$10,MATCH(IF(C248="Mixed","External",IF(C248="Unknown","UoB",C248))&amp;"|"&amp;IF(F248&lt;=24,"&lt;=24",IF(F248&lt;=32,"&lt;=32","Above32")),RecPricing!$F$5:$F$10,0)),""),IFERROR(INDEX(Reference!$E$5:$E$12,MATCH(B248&amp;"|"&amp;IF(C248="Mixed","External",IF(C248="Unknown","UoB",C248))&amp;"|"&amp;IF(F248&lt;=32,"32","40"),Reference!$D$5:$D$12,0)),""))</f>
        <v/>
      </c>
      <c r="J248" s="11" t="str">
        <f t="shared" si="20"/>
        <v/>
      </c>
      <c r="K248" s="12"/>
      <c r="L248" s="11" t="str">
        <f t="shared" si="21"/>
        <v/>
      </c>
      <c r="M248" s="12"/>
      <c r="N248" s="12"/>
      <c r="O248" s="11" t="str">
        <f t="shared" si="22"/>
        <v/>
      </c>
      <c r="P248" s="10" t="str">
        <f t="shared" si="23"/>
        <v/>
      </c>
    </row>
    <row r="249" spans="1:16" ht="15" customHeight="1" x14ac:dyDescent="0.2">
      <c r="A249" s="8"/>
      <c r="B249" s="8"/>
      <c r="C249" s="8"/>
      <c r="D249" s="9"/>
      <c r="E249" s="9"/>
      <c r="F249" s="8"/>
      <c r="G249" s="10" t="str">
        <f t="shared" si="18"/>
        <v/>
      </c>
      <c r="H249" s="10" t="str">
        <f t="shared" si="19"/>
        <v/>
      </c>
      <c r="I249" s="11" t="str">
        <f>IF(B249="Recreation",IFERROR(INDEX(RecPricing!$E$5:$E$10,MATCH(IF(C249="Mixed","External",IF(C249="Unknown","UoB",C249))&amp;"|"&amp;IF(F249&lt;=24,"&lt;=24",IF(F249&lt;=32,"&lt;=32","Above32")),RecPricing!$F$5:$F$10,0)),""),IFERROR(INDEX(Reference!$E$5:$E$12,MATCH(B249&amp;"|"&amp;IF(C249="Mixed","External",IF(C249="Unknown","UoB",C249))&amp;"|"&amp;IF(F249&lt;=32,"32","40"),Reference!$D$5:$D$12,0)),""))</f>
        <v/>
      </c>
      <c r="J249" s="11" t="str">
        <f t="shared" si="20"/>
        <v/>
      </c>
      <c r="K249" s="12"/>
      <c r="L249" s="11" t="str">
        <f t="shared" si="21"/>
        <v/>
      </c>
      <c r="M249" s="12"/>
      <c r="N249" s="12"/>
      <c r="O249" s="11" t="str">
        <f t="shared" si="22"/>
        <v/>
      </c>
      <c r="P249" s="10" t="str">
        <f t="shared" si="23"/>
        <v/>
      </c>
    </row>
    <row r="250" spans="1:16" ht="15" customHeight="1" x14ac:dyDescent="0.2">
      <c r="A250" s="8"/>
      <c r="B250" s="8"/>
      <c r="C250" s="8"/>
      <c r="D250" s="9"/>
      <c r="E250" s="9"/>
      <c r="F250" s="8"/>
      <c r="G250" s="10" t="str">
        <f t="shared" si="18"/>
        <v/>
      </c>
      <c r="H250" s="10" t="str">
        <f t="shared" si="19"/>
        <v/>
      </c>
      <c r="I250" s="11" t="str">
        <f>IF(B250="Recreation",IFERROR(INDEX(RecPricing!$E$5:$E$10,MATCH(IF(C250="Mixed","External",IF(C250="Unknown","UoB",C250))&amp;"|"&amp;IF(F250&lt;=24,"&lt;=24",IF(F250&lt;=32,"&lt;=32","Above32")),RecPricing!$F$5:$F$10,0)),""),IFERROR(INDEX(Reference!$E$5:$E$12,MATCH(B250&amp;"|"&amp;IF(C250="Mixed","External",IF(C250="Unknown","UoB",C250))&amp;"|"&amp;IF(F250&lt;=32,"32","40"),Reference!$D$5:$D$12,0)),""))</f>
        <v/>
      </c>
      <c r="J250" s="11" t="str">
        <f t="shared" si="20"/>
        <v/>
      </c>
      <c r="K250" s="12"/>
      <c r="L250" s="11" t="str">
        <f t="shared" si="21"/>
        <v/>
      </c>
      <c r="M250" s="12"/>
      <c r="N250" s="12"/>
      <c r="O250" s="11" t="str">
        <f t="shared" si="22"/>
        <v/>
      </c>
      <c r="P250" s="10" t="str">
        <f t="shared" si="23"/>
        <v/>
      </c>
    </row>
    <row r="251" spans="1:16" ht="15" customHeight="1" x14ac:dyDescent="0.2">
      <c r="A251" s="8"/>
      <c r="B251" s="8"/>
      <c r="C251" s="8"/>
      <c r="D251" s="9"/>
      <c r="E251" s="9"/>
      <c r="F251" s="8"/>
      <c r="G251" s="10" t="str">
        <f t="shared" si="18"/>
        <v/>
      </c>
      <c r="H251" s="10" t="str">
        <f t="shared" si="19"/>
        <v/>
      </c>
      <c r="I251" s="11" t="str">
        <f>IF(B251="Recreation",IFERROR(INDEX(RecPricing!$E$5:$E$10,MATCH(IF(C251="Mixed","External",IF(C251="Unknown","UoB",C251))&amp;"|"&amp;IF(F251&lt;=24,"&lt;=24",IF(F251&lt;=32,"&lt;=32","Above32")),RecPricing!$F$5:$F$10,0)),""),IFERROR(INDEX(Reference!$E$5:$E$12,MATCH(B251&amp;"|"&amp;IF(C251="Mixed","External",IF(C251="Unknown","UoB",C251))&amp;"|"&amp;IF(F251&lt;=32,"32","40"),Reference!$D$5:$D$12,0)),""))</f>
        <v/>
      </c>
      <c r="J251" s="11" t="str">
        <f t="shared" si="20"/>
        <v/>
      </c>
      <c r="K251" s="12"/>
      <c r="L251" s="11" t="str">
        <f t="shared" si="21"/>
        <v/>
      </c>
      <c r="M251" s="12"/>
      <c r="N251" s="12"/>
      <c r="O251" s="11" t="str">
        <f t="shared" si="22"/>
        <v/>
      </c>
      <c r="P251" s="10" t="str">
        <f t="shared" si="23"/>
        <v/>
      </c>
    </row>
    <row r="252" spans="1:16" ht="15" customHeight="1" x14ac:dyDescent="0.2">
      <c r="A252" s="8"/>
      <c r="B252" s="8"/>
      <c r="C252" s="8"/>
      <c r="D252" s="9"/>
      <c r="E252" s="9"/>
      <c r="F252" s="8"/>
      <c r="G252" s="10" t="str">
        <f t="shared" si="18"/>
        <v/>
      </c>
      <c r="H252" s="10" t="str">
        <f t="shared" si="19"/>
        <v/>
      </c>
      <c r="I252" s="11" t="str">
        <f>IF(B252="Recreation",IFERROR(INDEX(RecPricing!$E$5:$E$10,MATCH(IF(C252="Mixed","External",IF(C252="Unknown","UoB",C252))&amp;"|"&amp;IF(F252&lt;=24,"&lt;=24",IF(F252&lt;=32,"&lt;=32","Above32")),RecPricing!$F$5:$F$10,0)),""),IFERROR(INDEX(Reference!$E$5:$E$12,MATCH(B252&amp;"|"&amp;IF(C252="Mixed","External",IF(C252="Unknown","UoB",C252))&amp;"|"&amp;IF(F252&lt;=32,"32","40"),Reference!$D$5:$D$12,0)),""))</f>
        <v/>
      </c>
      <c r="J252" s="11" t="str">
        <f t="shared" si="20"/>
        <v/>
      </c>
      <c r="K252" s="12"/>
      <c r="L252" s="11" t="str">
        <f t="shared" si="21"/>
        <v/>
      </c>
      <c r="M252" s="12"/>
      <c r="N252" s="12"/>
      <c r="O252" s="11" t="str">
        <f t="shared" si="22"/>
        <v/>
      </c>
      <c r="P252" s="10" t="str">
        <f t="shared" si="23"/>
        <v/>
      </c>
    </row>
    <row r="253" spans="1:16" ht="15" customHeight="1" x14ac:dyDescent="0.2">
      <c r="A253" s="8"/>
      <c r="B253" s="8"/>
      <c r="C253" s="8"/>
      <c r="D253" s="9"/>
      <c r="E253" s="9"/>
      <c r="F253" s="8"/>
      <c r="G253" s="10" t="str">
        <f t="shared" si="18"/>
        <v/>
      </c>
      <c r="H253" s="10" t="str">
        <f t="shared" si="19"/>
        <v/>
      </c>
      <c r="I253" s="11" t="str">
        <f>IF(B253="Recreation",IFERROR(INDEX(RecPricing!$E$5:$E$10,MATCH(IF(C253="Mixed","External",IF(C253="Unknown","UoB",C253))&amp;"|"&amp;IF(F253&lt;=24,"&lt;=24",IF(F253&lt;=32,"&lt;=32","Above32")),RecPricing!$F$5:$F$10,0)),""),IFERROR(INDEX(Reference!$E$5:$E$12,MATCH(B253&amp;"|"&amp;IF(C253="Mixed","External",IF(C253="Unknown","UoB",C253))&amp;"|"&amp;IF(F253&lt;=32,"32","40"),Reference!$D$5:$D$12,0)),""))</f>
        <v/>
      </c>
      <c r="J253" s="11" t="str">
        <f t="shared" si="20"/>
        <v/>
      </c>
      <c r="K253" s="12"/>
      <c r="L253" s="11" t="str">
        <f t="shared" si="21"/>
        <v/>
      </c>
      <c r="M253" s="12"/>
      <c r="N253" s="12"/>
      <c r="O253" s="11" t="str">
        <f t="shared" si="22"/>
        <v/>
      </c>
      <c r="P253" s="10" t="str">
        <f t="shared" si="23"/>
        <v/>
      </c>
    </row>
    <row r="254" spans="1:16" ht="15" customHeight="1" x14ac:dyDescent="0.2">
      <c r="A254" s="8"/>
      <c r="B254" s="8"/>
      <c r="C254" s="8"/>
      <c r="D254" s="9"/>
      <c r="E254" s="9"/>
      <c r="F254" s="8"/>
      <c r="G254" s="10" t="str">
        <f t="shared" si="18"/>
        <v/>
      </c>
      <c r="H254" s="10" t="str">
        <f t="shared" si="19"/>
        <v/>
      </c>
      <c r="I254" s="11" t="str">
        <f>IF(B254="Recreation",IFERROR(INDEX(RecPricing!$E$5:$E$10,MATCH(IF(C254="Mixed","External",IF(C254="Unknown","UoB",C254))&amp;"|"&amp;IF(F254&lt;=24,"&lt;=24",IF(F254&lt;=32,"&lt;=32","Above32")),RecPricing!$F$5:$F$10,0)),""),IFERROR(INDEX(Reference!$E$5:$E$12,MATCH(B254&amp;"|"&amp;IF(C254="Mixed","External",IF(C254="Unknown","UoB",C254))&amp;"|"&amp;IF(F254&lt;=32,"32","40"),Reference!$D$5:$D$12,0)),""))</f>
        <v/>
      </c>
      <c r="J254" s="11" t="str">
        <f t="shared" si="20"/>
        <v/>
      </c>
      <c r="K254" s="12"/>
      <c r="L254" s="11" t="str">
        <f t="shared" si="21"/>
        <v/>
      </c>
      <c r="M254" s="12"/>
      <c r="N254" s="12"/>
      <c r="O254" s="11" t="str">
        <f t="shared" si="22"/>
        <v/>
      </c>
      <c r="P254" s="10" t="str">
        <f t="shared" si="23"/>
        <v/>
      </c>
    </row>
    <row r="255" spans="1:16" ht="15" customHeight="1" x14ac:dyDescent="0.2">
      <c r="A255" s="8"/>
      <c r="B255" s="8"/>
      <c r="C255" s="8"/>
      <c r="D255" s="9"/>
      <c r="E255" s="9"/>
      <c r="F255" s="8"/>
      <c r="G255" s="10" t="str">
        <f t="shared" ref="G255:G318" si="24">IF(OR(D255="",E255=""),"",E255-D255)</f>
        <v/>
      </c>
      <c r="H255" s="10" t="str">
        <f t="shared" ref="H255:H318" si="25">IF(OR(F255="",G255=""),"",F255*G255)</f>
        <v/>
      </c>
      <c r="I255" s="11" t="str">
        <f>IF(B255="Recreation",IFERROR(INDEX(RecPricing!$E$5:$E$10,MATCH(IF(C255="Mixed","External",IF(C255="Unknown","UoB",C255))&amp;"|"&amp;IF(F255&lt;=24,"&lt;=24",IF(F255&lt;=32,"&lt;=32","Above32")),RecPricing!$F$5:$F$10,0)),""),IFERROR(INDEX(Reference!$E$5:$E$12,MATCH(B255&amp;"|"&amp;IF(C255="Mixed","External",IF(C255="Unknown","UoB",C255))&amp;"|"&amp;IF(F255&lt;=32,"32","40"),Reference!$D$5:$D$12,0)),""))</f>
        <v/>
      </c>
      <c r="J255" s="11" t="str">
        <f t="shared" ref="J255:J318" si="26">IF(I255="","",IF(B255="Recreation",IF(F255&lt;=32,I255,I255*IF(F255="",0,F255)),IF(AND(I255&lt;&gt;"",G255&lt;&gt;""),I255*G255,"")))</f>
        <v/>
      </c>
      <c r="K255" s="12"/>
      <c r="L255" s="11" t="str">
        <f t="shared" ref="L255:L318" si="27">IF(J255="","",J255-IF(K255="",0,K255))</f>
        <v/>
      </c>
      <c r="M255" s="12"/>
      <c r="N255" s="12"/>
      <c r="O255" s="11" t="str">
        <f t="shared" ref="O255:O318" si="28">IF(L255="","",L255-IF(M255="",0,M255)-IF(N255="",0,N255))</f>
        <v/>
      </c>
      <c r="P255" s="10" t="str">
        <f t="shared" ref="P255:P318" si="29">IF(D255="","",IF(MONTH(D255)&gt;=8,YEAR(D255)&amp;"-"&amp;RIGHT(YEAR(D255)+1,2),YEAR(D255)-1&amp;"-"&amp;RIGHT(YEAR(D255),2)))</f>
        <v/>
      </c>
    </row>
    <row r="256" spans="1:16" ht="15" customHeight="1" x14ac:dyDescent="0.2">
      <c r="A256" s="8"/>
      <c r="B256" s="8"/>
      <c r="C256" s="8"/>
      <c r="D256" s="9"/>
      <c r="E256" s="9"/>
      <c r="F256" s="8"/>
      <c r="G256" s="10" t="str">
        <f t="shared" si="24"/>
        <v/>
      </c>
      <c r="H256" s="10" t="str">
        <f t="shared" si="25"/>
        <v/>
      </c>
      <c r="I256" s="11" t="str">
        <f>IF(B256="Recreation",IFERROR(INDEX(RecPricing!$E$5:$E$10,MATCH(IF(C256="Mixed","External",IF(C256="Unknown","UoB",C256))&amp;"|"&amp;IF(F256&lt;=24,"&lt;=24",IF(F256&lt;=32,"&lt;=32","Above32")),RecPricing!$F$5:$F$10,0)),""),IFERROR(INDEX(Reference!$E$5:$E$12,MATCH(B256&amp;"|"&amp;IF(C256="Mixed","External",IF(C256="Unknown","UoB",C256))&amp;"|"&amp;IF(F256&lt;=32,"32","40"),Reference!$D$5:$D$12,0)),""))</f>
        <v/>
      </c>
      <c r="J256" s="11" t="str">
        <f t="shared" si="26"/>
        <v/>
      </c>
      <c r="K256" s="12"/>
      <c r="L256" s="11" t="str">
        <f t="shared" si="27"/>
        <v/>
      </c>
      <c r="M256" s="12"/>
      <c r="N256" s="12"/>
      <c r="O256" s="11" t="str">
        <f t="shared" si="28"/>
        <v/>
      </c>
      <c r="P256" s="10" t="str">
        <f t="shared" si="29"/>
        <v/>
      </c>
    </row>
    <row r="257" spans="1:16" ht="15" customHeight="1" x14ac:dyDescent="0.2">
      <c r="A257" s="8"/>
      <c r="B257" s="8"/>
      <c r="C257" s="8"/>
      <c r="D257" s="9"/>
      <c r="E257" s="9"/>
      <c r="F257" s="8"/>
      <c r="G257" s="10" t="str">
        <f t="shared" si="24"/>
        <v/>
      </c>
      <c r="H257" s="10" t="str">
        <f t="shared" si="25"/>
        <v/>
      </c>
      <c r="I257" s="11" t="str">
        <f>IF(B257="Recreation",IFERROR(INDEX(RecPricing!$E$5:$E$10,MATCH(IF(C257="Mixed","External",IF(C257="Unknown","UoB",C257))&amp;"|"&amp;IF(F257&lt;=24,"&lt;=24",IF(F257&lt;=32,"&lt;=32","Above32")),RecPricing!$F$5:$F$10,0)),""),IFERROR(INDEX(Reference!$E$5:$E$12,MATCH(B257&amp;"|"&amp;IF(C257="Mixed","External",IF(C257="Unknown","UoB",C257))&amp;"|"&amp;IF(F257&lt;=32,"32","40"),Reference!$D$5:$D$12,0)),""))</f>
        <v/>
      </c>
      <c r="J257" s="11" t="str">
        <f t="shared" si="26"/>
        <v/>
      </c>
      <c r="K257" s="12"/>
      <c r="L257" s="11" t="str">
        <f t="shared" si="27"/>
        <v/>
      </c>
      <c r="M257" s="12"/>
      <c r="N257" s="12"/>
      <c r="O257" s="11" t="str">
        <f t="shared" si="28"/>
        <v/>
      </c>
      <c r="P257" s="10" t="str">
        <f t="shared" si="29"/>
        <v/>
      </c>
    </row>
    <row r="258" spans="1:16" ht="15" customHeight="1" x14ac:dyDescent="0.2">
      <c r="A258" s="8"/>
      <c r="B258" s="8"/>
      <c r="C258" s="8"/>
      <c r="D258" s="9"/>
      <c r="E258" s="9"/>
      <c r="F258" s="8"/>
      <c r="G258" s="10" t="str">
        <f t="shared" si="24"/>
        <v/>
      </c>
      <c r="H258" s="10" t="str">
        <f t="shared" si="25"/>
        <v/>
      </c>
      <c r="I258" s="11" t="str">
        <f>IF(B258="Recreation",IFERROR(INDEX(RecPricing!$E$5:$E$10,MATCH(IF(C258="Mixed","External",IF(C258="Unknown","UoB",C258))&amp;"|"&amp;IF(F258&lt;=24,"&lt;=24",IF(F258&lt;=32,"&lt;=32","Above32")),RecPricing!$F$5:$F$10,0)),""),IFERROR(INDEX(Reference!$E$5:$E$12,MATCH(B258&amp;"|"&amp;IF(C258="Mixed","External",IF(C258="Unknown","UoB",C258))&amp;"|"&amp;IF(F258&lt;=32,"32","40"),Reference!$D$5:$D$12,0)),""))</f>
        <v/>
      </c>
      <c r="J258" s="11" t="str">
        <f t="shared" si="26"/>
        <v/>
      </c>
      <c r="K258" s="12"/>
      <c r="L258" s="11" t="str">
        <f t="shared" si="27"/>
        <v/>
      </c>
      <c r="M258" s="12"/>
      <c r="N258" s="12"/>
      <c r="O258" s="11" t="str">
        <f t="shared" si="28"/>
        <v/>
      </c>
      <c r="P258" s="10" t="str">
        <f t="shared" si="29"/>
        <v/>
      </c>
    </row>
    <row r="259" spans="1:16" ht="15" customHeight="1" x14ac:dyDescent="0.2">
      <c r="A259" s="8"/>
      <c r="B259" s="8"/>
      <c r="C259" s="8"/>
      <c r="D259" s="9"/>
      <c r="E259" s="9"/>
      <c r="F259" s="8"/>
      <c r="G259" s="10" t="str">
        <f t="shared" si="24"/>
        <v/>
      </c>
      <c r="H259" s="10" t="str">
        <f t="shared" si="25"/>
        <v/>
      </c>
      <c r="I259" s="11" t="str">
        <f>IF(B259="Recreation",IFERROR(INDEX(RecPricing!$E$5:$E$10,MATCH(IF(C259="Mixed","External",IF(C259="Unknown","UoB",C259))&amp;"|"&amp;IF(F259&lt;=24,"&lt;=24",IF(F259&lt;=32,"&lt;=32","Above32")),RecPricing!$F$5:$F$10,0)),""),IFERROR(INDEX(Reference!$E$5:$E$12,MATCH(B259&amp;"|"&amp;IF(C259="Mixed","External",IF(C259="Unknown","UoB",C259))&amp;"|"&amp;IF(F259&lt;=32,"32","40"),Reference!$D$5:$D$12,0)),""))</f>
        <v/>
      </c>
      <c r="J259" s="11" t="str">
        <f t="shared" si="26"/>
        <v/>
      </c>
      <c r="K259" s="12"/>
      <c r="L259" s="11" t="str">
        <f t="shared" si="27"/>
        <v/>
      </c>
      <c r="M259" s="12"/>
      <c r="N259" s="12"/>
      <c r="O259" s="11" t="str">
        <f t="shared" si="28"/>
        <v/>
      </c>
      <c r="P259" s="10" t="str">
        <f t="shared" si="29"/>
        <v/>
      </c>
    </row>
    <row r="260" spans="1:16" ht="15" customHeight="1" x14ac:dyDescent="0.2">
      <c r="A260" s="8"/>
      <c r="B260" s="8"/>
      <c r="C260" s="8"/>
      <c r="D260" s="9"/>
      <c r="E260" s="9"/>
      <c r="F260" s="8"/>
      <c r="G260" s="10" t="str">
        <f t="shared" si="24"/>
        <v/>
      </c>
      <c r="H260" s="10" t="str">
        <f t="shared" si="25"/>
        <v/>
      </c>
      <c r="I260" s="11" t="str">
        <f>IF(B260="Recreation",IFERROR(INDEX(RecPricing!$E$5:$E$10,MATCH(IF(C260="Mixed","External",IF(C260="Unknown","UoB",C260))&amp;"|"&amp;IF(F260&lt;=24,"&lt;=24",IF(F260&lt;=32,"&lt;=32","Above32")),RecPricing!$F$5:$F$10,0)),""),IFERROR(INDEX(Reference!$E$5:$E$12,MATCH(B260&amp;"|"&amp;IF(C260="Mixed","External",IF(C260="Unknown","UoB",C260))&amp;"|"&amp;IF(F260&lt;=32,"32","40"),Reference!$D$5:$D$12,0)),""))</f>
        <v/>
      </c>
      <c r="J260" s="11" t="str">
        <f t="shared" si="26"/>
        <v/>
      </c>
      <c r="K260" s="12"/>
      <c r="L260" s="11" t="str">
        <f t="shared" si="27"/>
        <v/>
      </c>
      <c r="M260" s="12"/>
      <c r="N260" s="12"/>
      <c r="O260" s="11" t="str">
        <f t="shared" si="28"/>
        <v/>
      </c>
      <c r="P260" s="10" t="str">
        <f t="shared" si="29"/>
        <v/>
      </c>
    </row>
    <row r="261" spans="1:16" ht="15" customHeight="1" x14ac:dyDescent="0.2">
      <c r="A261" s="8"/>
      <c r="B261" s="8"/>
      <c r="C261" s="8"/>
      <c r="D261" s="9"/>
      <c r="E261" s="9"/>
      <c r="F261" s="8"/>
      <c r="G261" s="10" t="str">
        <f t="shared" si="24"/>
        <v/>
      </c>
      <c r="H261" s="10" t="str">
        <f t="shared" si="25"/>
        <v/>
      </c>
      <c r="I261" s="11" t="str">
        <f>IF(B261="Recreation",IFERROR(INDEX(RecPricing!$E$5:$E$10,MATCH(IF(C261="Mixed","External",IF(C261="Unknown","UoB",C261))&amp;"|"&amp;IF(F261&lt;=24,"&lt;=24",IF(F261&lt;=32,"&lt;=32","Above32")),RecPricing!$F$5:$F$10,0)),""),IFERROR(INDEX(Reference!$E$5:$E$12,MATCH(B261&amp;"|"&amp;IF(C261="Mixed","External",IF(C261="Unknown","UoB",C261))&amp;"|"&amp;IF(F261&lt;=32,"32","40"),Reference!$D$5:$D$12,0)),""))</f>
        <v/>
      </c>
      <c r="J261" s="11" t="str">
        <f t="shared" si="26"/>
        <v/>
      </c>
      <c r="K261" s="12"/>
      <c r="L261" s="11" t="str">
        <f t="shared" si="27"/>
        <v/>
      </c>
      <c r="M261" s="12"/>
      <c r="N261" s="12"/>
      <c r="O261" s="11" t="str">
        <f t="shared" si="28"/>
        <v/>
      </c>
      <c r="P261" s="10" t="str">
        <f t="shared" si="29"/>
        <v/>
      </c>
    </row>
    <row r="262" spans="1:16" ht="15" customHeight="1" x14ac:dyDescent="0.2">
      <c r="A262" s="8"/>
      <c r="B262" s="8"/>
      <c r="C262" s="8"/>
      <c r="D262" s="9"/>
      <c r="E262" s="9"/>
      <c r="F262" s="8"/>
      <c r="G262" s="10" t="str">
        <f t="shared" si="24"/>
        <v/>
      </c>
      <c r="H262" s="10" t="str">
        <f t="shared" si="25"/>
        <v/>
      </c>
      <c r="I262" s="11" t="str">
        <f>IF(B262="Recreation",IFERROR(INDEX(RecPricing!$E$5:$E$10,MATCH(IF(C262="Mixed","External",IF(C262="Unknown","UoB",C262))&amp;"|"&amp;IF(F262&lt;=24,"&lt;=24",IF(F262&lt;=32,"&lt;=32","Above32")),RecPricing!$F$5:$F$10,0)),""),IFERROR(INDEX(Reference!$E$5:$E$12,MATCH(B262&amp;"|"&amp;IF(C262="Mixed","External",IF(C262="Unknown","UoB",C262))&amp;"|"&amp;IF(F262&lt;=32,"32","40"),Reference!$D$5:$D$12,0)),""))</f>
        <v/>
      </c>
      <c r="J262" s="11" t="str">
        <f t="shared" si="26"/>
        <v/>
      </c>
      <c r="K262" s="12"/>
      <c r="L262" s="11" t="str">
        <f t="shared" si="27"/>
        <v/>
      </c>
      <c r="M262" s="12"/>
      <c r="N262" s="12"/>
      <c r="O262" s="11" t="str">
        <f t="shared" si="28"/>
        <v/>
      </c>
      <c r="P262" s="10" t="str">
        <f t="shared" si="29"/>
        <v/>
      </c>
    </row>
    <row r="263" spans="1:16" ht="15" customHeight="1" x14ac:dyDescent="0.2">
      <c r="A263" s="8"/>
      <c r="B263" s="8"/>
      <c r="C263" s="8"/>
      <c r="D263" s="9"/>
      <c r="E263" s="9"/>
      <c r="F263" s="8"/>
      <c r="G263" s="10" t="str">
        <f t="shared" si="24"/>
        <v/>
      </c>
      <c r="H263" s="10" t="str">
        <f t="shared" si="25"/>
        <v/>
      </c>
      <c r="I263" s="11" t="str">
        <f>IF(B263="Recreation",IFERROR(INDEX(RecPricing!$E$5:$E$10,MATCH(IF(C263="Mixed","External",IF(C263="Unknown","UoB",C263))&amp;"|"&amp;IF(F263&lt;=24,"&lt;=24",IF(F263&lt;=32,"&lt;=32","Above32")),RecPricing!$F$5:$F$10,0)),""),IFERROR(INDEX(Reference!$E$5:$E$12,MATCH(B263&amp;"|"&amp;IF(C263="Mixed","External",IF(C263="Unknown","UoB",C263))&amp;"|"&amp;IF(F263&lt;=32,"32","40"),Reference!$D$5:$D$12,0)),""))</f>
        <v/>
      </c>
      <c r="J263" s="11" t="str">
        <f t="shared" si="26"/>
        <v/>
      </c>
      <c r="K263" s="12"/>
      <c r="L263" s="11" t="str">
        <f t="shared" si="27"/>
        <v/>
      </c>
      <c r="M263" s="12"/>
      <c r="N263" s="12"/>
      <c r="O263" s="11" t="str">
        <f t="shared" si="28"/>
        <v/>
      </c>
      <c r="P263" s="10" t="str">
        <f t="shared" si="29"/>
        <v/>
      </c>
    </row>
    <row r="264" spans="1:16" ht="15" customHeight="1" x14ac:dyDescent="0.2">
      <c r="A264" s="8"/>
      <c r="B264" s="8"/>
      <c r="C264" s="8"/>
      <c r="D264" s="9"/>
      <c r="E264" s="9"/>
      <c r="F264" s="8"/>
      <c r="G264" s="10" t="str">
        <f t="shared" si="24"/>
        <v/>
      </c>
      <c r="H264" s="10" t="str">
        <f t="shared" si="25"/>
        <v/>
      </c>
      <c r="I264" s="11" t="str">
        <f>IF(B264="Recreation",IFERROR(INDEX(RecPricing!$E$5:$E$10,MATCH(IF(C264="Mixed","External",IF(C264="Unknown","UoB",C264))&amp;"|"&amp;IF(F264&lt;=24,"&lt;=24",IF(F264&lt;=32,"&lt;=32","Above32")),RecPricing!$F$5:$F$10,0)),""),IFERROR(INDEX(Reference!$E$5:$E$12,MATCH(B264&amp;"|"&amp;IF(C264="Mixed","External",IF(C264="Unknown","UoB",C264))&amp;"|"&amp;IF(F264&lt;=32,"32","40"),Reference!$D$5:$D$12,0)),""))</f>
        <v/>
      </c>
      <c r="J264" s="11" t="str">
        <f t="shared" si="26"/>
        <v/>
      </c>
      <c r="K264" s="12"/>
      <c r="L264" s="11" t="str">
        <f t="shared" si="27"/>
        <v/>
      </c>
      <c r="M264" s="12"/>
      <c r="N264" s="12"/>
      <c r="O264" s="11" t="str">
        <f t="shared" si="28"/>
        <v/>
      </c>
      <c r="P264" s="10" t="str">
        <f t="shared" si="29"/>
        <v/>
      </c>
    </row>
    <row r="265" spans="1:16" ht="15" customHeight="1" x14ac:dyDescent="0.2">
      <c r="A265" s="8"/>
      <c r="B265" s="8"/>
      <c r="C265" s="8"/>
      <c r="D265" s="9"/>
      <c r="E265" s="9"/>
      <c r="F265" s="8"/>
      <c r="G265" s="10" t="str">
        <f t="shared" si="24"/>
        <v/>
      </c>
      <c r="H265" s="10" t="str">
        <f t="shared" si="25"/>
        <v/>
      </c>
      <c r="I265" s="11" t="str">
        <f>IF(B265="Recreation",IFERROR(INDEX(RecPricing!$E$5:$E$10,MATCH(IF(C265="Mixed","External",IF(C265="Unknown","UoB",C265))&amp;"|"&amp;IF(F265&lt;=24,"&lt;=24",IF(F265&lt;=32,"&lt;=32","Above32")),RecPricing!$F$5:$F$10,0)),""),IFERROR(INDEX(Reference!$E$5:$E$12,MATCH(B265&amp;"|"&amp;IF(C265="Mixed","External",IF(C265="Unknown","UoB",C265))&amp;"|"&amp;IF(F265&lt;=32,"32","40"),Reference!$D$5:$D$12,0)),""))</f>
        <v/>
      </c>
      <c r="J265" s="11" t="str">
        <f t="shared" si="26"/>
        <v/>
      </c>
      <c r="K265" s="12"/>
      <c r="L265" s="11" t="str">
        <f t="shared" si="27"/>
        <v/>
      </c>
      <c r="M265" s="12"/>
      <c r="N265" s="12"/>
      <c r="O265" s="11" t="str">
        <f t="shared" si="28"/>
        <v/>
      </c>
      <c r="P265" s="10" t="str">
        <f t="shared" si="29"/>
        <v/>
      </c>
    </row>
    <row r="266" spans="1:16" ht="15" customHeight="1" x14ac:dyDescent="0.2">
      <c r="A266" s="8"/>
      <c r="B266" s="8"/>
      <c r="C266" s="8"/>
      <c r="D266" s="9"/>
      <c r="E266" s="9"/>
      <c r="F266" s="8"/>
      <c r="G266" s="10" t="str">
        <f t="shared" si="24"/>
        <v/>
      </c>
      <c r="H266" s="10" t="str">
        <f t="shared" si="25"/>
        <v/>
      </c>
      <c r="I266" s="11" t="str">
        <f>IF(B266="Recreation",IFERROR(INDEX(RecPricing!$E$5:$E$10,MATCH(IF(C266="Mixed","External",IF(C266="Unknown","UoB",C266))&amp;"|"&amp;IF(F266&lt;=24,"&lt;=24",IF(F266&lt;=32,"&lt;=32","Above32")),RecPricing!$F$5:$F$10,0)),""),IFERROR(INDEX(Reference!$E$5:$E$12,MATCH(B266&amp;"|"&amp;IF(C266="Mixed","External",IF(C266="Unknown","UoB",C266))&amp;"|"&amp;IF(F266&lt;=32,"32","40"),Reference!$D$5:$D$12,0)),""))</f>
        <v/>
      </c>
      <c r="J266" s="11" t="str">
        <f t="shared" si="26"/>
        <v/>
      </c>
      <c r="K266" s="12"/>
      <c r="L266" s="11" t="str">
        <f t="shared" si="27"/>
        <v/>
      </c>
      <c r="M266" s="12"/>
      <c r="N266" s="12"/>
      <c r="O266" s="11" t="str">
        <f t="shared" si="28"/>
        <v/>
      </c>
      <c r="P266" s="10" t="str">
        <f t="shared" si="29"/>
        <v/>
      </c>
    </row>
    <row r="267" spans="1:16" ht="15" customHeight="1" x14ac:dyDescent="0.2">
      <c r="A267" s="8"/>
      <c r="B267" s="8"/>
      <c r="C267" s="8"/>
      <c r="D267" s="9"/>
      <c r="E267" s="9"/>
      <c r="F267" s="8"/>
      <c r="G267" s="10" t="str">
        <f t="shared" si="24"/>
        <v/>
      </c>
      <c r="H267" s="10" t="str">
        <f t="shared" si="25"/>
        <v/>
      </c>
      <c r="I267" s="11" t="str">
        <f>IF(B267="Recreation",IFERROR(INDEX(RecPricing!$E$5:$E$10,MATCH(IF(C267="Mixed","External",IF(C267="Unknown","UoB",C267))&amp;"|"&amp;IF(F267&lt;=24,"&lt;=24",IF(F267&lt;=32,"&lt;=32","Above32")),RecPricing!$F$5:$F$10,0)),""),IFERROR(INDEX(Reference!$E$5:$E$12,MATCH(B267&amp;"|"&amp;IF(C267="Mixed","External",IF(C267="Unknown","UoB",C267))&amp;"|"&amp;IF(F267&lt;=32,"32","40"),Reference!$D$5:$D$12,0)),""))</f>
        <v/>
      </c>
      <c r="J267" s="11" t="str">
        <f t="shared" si="26"/>
        <v/>
      </c>
      <c r="K267" s="12"/>
      <c r="L267" s="11" t="str">
        <f t="shared" si="27"/>
        <v/>
      </c>
      <c r="M267" s="12"/>
      <c r="N267" s="12"/>
      <c r="O267" s="11" t="str">
        <f t="shared" si="28"/>
        <v/>
      </c>
      <c r="P267" s="10" t="str">
        <f t="shared" si="29"/>
        <v/>
      </c>
    </row>
    <row r="268" spans="1:16" ht="15" customHeight="1" x14ac:dyDescent="0.2">
      <c r="A268" s="8"/>
      <c r="B268" s="8"/>
      <c r="C268" s="8"/>
      <c r="D268" s="9"/>
      <c r="E268" s="9"/>
      <c r="F268" s="8"/>
      <c r="G268" s="10" t="str">
        <f t="shared" si="24"/>
        <v/>
      </c>
      <c r="H268" s="10" t="str">
        <f t="shared" si="25"/>
        <v/>
      </c>
      <c r="I268" s="11" t="str">
        <f>IF(B268="Recreation",IFERROR(INDEX(RecPricing!$E$5:$E$10,MATCH(IF(C268="Mixed","External",IF(C268="Unknown","UoB",C268))&amp;"|"&amp;IF(F268&lt;=24,"&lt;=24",IF(F268&lt;=32,"&lt;=32","Above32")),RecPricing!$F$5:$F$10,0)),""),IFERROR(INDEX(Reference!$E$5:$E$12,MATCH(B268&amp;"|"&amp;IF(C268="Mixed","External",IF(C268="Unknown","UoB",C268))&amp;"|"&amp;IF(F268&lt;=32,"32","40"),Reference!$D$5:$D$12,0)),""))</f>
        <v/>
      </c>
      <c r="J268" s="11" t="str">
        <f t="shared" si="26"/>
        <v/>
      </c>
      <c r="K268" s="12"/>
      <c r="L268" s="11" t="str">
        <f t="shared" si="27"/>
        <v/>
      </c>
      <c r="M268" s="12"/>
      <c r="N268" s="12"/>
      <c r="O268" s="11" t="str">
        <f t="shared" si="28"/>
        <v/>
      </c>
      <c r="P268" s="10" t="str">
        <f t="shared" si="29"/>
        <v/>
      </c>
    </row>
    <row r="269" spans="1:16" ht="15" customHeight="1" x14ac:dyDescent="0.2">
      <c r="A269" s="8"/>
      <c r="B269" s="8"/>
      <c r="C269" s="8"/>
      <c r="D269" s="9"/>
      <c r="E269" s="9"/>
      <c r="F269" s="8"/>
      <c r="G269" s="10" t="str">
        <f t="shared" si="24"/>
        <v/>
      </c>
      <c r="H269" s="10" t="str">
        <f t="shared" si="25"/>
        <v/>
      </c>
      <c r="I269" s="11" t="str">
        <f>IF(B269="Recreation",IFERROR(INDEX(RecPricing!$E$5:$E$10,MATCH(IF(C269="Mixed","External",IF(C269="Unknown","UoB",C269))&amp;"|"&amp;IF(F269&lt;=24,"&lt;=24",IF(F269&lt;=32,"&lt;=32","Above32")),RecPricing!$F$5:$F$10,0)),""),IFERROR(INDEX(Reference!$E$5:$E$12,MATCH(B269&amp;"|"&amp;IF(C269="Mixed","External",IF(C269="Unknown","UoB",C269))&amp;"|"&amp;IF(F269&lt;=32,"32","40"),Reference!$D$5:$D$12,0)),""))</f>
        <v/>
      </c>
      <c r="J269" s="11" t="str">
        <f t="shared" si="26"/>
        <v/>
      </c>
      <c r="K269" s="12"/>
      <c r="L269" s="11" t="str">
        <f t="shared" si="27"/>
        <v/>
      </c>
      <c r="M269" s="12"/>
      <c r="N269" s="12"/>
      <c r="O269" s="11" t="str">
        <f t="shared" si="28"/>
        <v/>
      </c>
      <c r="P269" s="10" t="str">
        <f t="shared" si="29"/>
        <v/>
      </c>
    </row>
    <row r="270" spans="1:16" ht="15" customHeight="1" x14ac:dyDescent="0.2">
      <c r="A270" s="8"/>
      <c r="B270" s="8"/>
      <c r="C270" s="8"/>
      <c r="D270" s="9"/>
      <c r="E270" s="9"/>
      <c r="F270" s="8"/>
      <c r="G270" s="10" t="str">
        <f t="shared" si="24"/>
        <v/>
      </c>
      <c r="H270" s="10" t="str">
        <f t="shared" si="25"/>
        <v/>
      </c>
      <c r="I270" s="11" t="str">
        <f>IF(B270="Recreation",IFERROR(INDEX(RecPricing!$E$5:$E$10,MATCH(IF(C270="Mixed","External",IF(C270="Unknown","UoB",C270))&amp;"|"&amp;IF(F270&lt;=24,"&lt;=24",IF(F270&lt;=32,"&lt;=32","Above32")),RecPricing!$F$5:$F$10,0)),""),IFERROR(INDEX(Reference!$E$5:$E$12,MATCH(B270&amp;"|"&amp;IF(C270="Mixed","External",IF(C270="Unknown","UoB",C270))&amp;"|"&amp;IF(F270&lt;=32,"32","40"),Reference!$D$5:$D$12,0)),""))</f>
        <v/>
      </c>
      <c r="J270" s="11" t="str">
        <f t="shared" si="26"/>
        <v/>
      </c>
      <c r="K270" s="12"/>
      <c r="L270" s="11" t="str">
        <f t="shared" si="27"/>
        <v/>
      </c>
      <c r="M270" s="12"/>
      <c r="N270" s="12"/>
      <c r="O270" s="11" t="str">
        <f t="shared" si="28"/>
        <v/>
      </c>
      <c r="P270" s="10" t="str">
        <f t="shared" si="29"/>
        <v/>
      </c>
    </row>
    <row r="271" spans="1:16" ht="15" customHeight="1" x14ac:dyDescent="0.2">
      <c r="A271" s="8"/>
      <c r="B271" s="8"/>
      <c r="C271" s="8"/>
      <c r="D271" s="9"/>
      <c r="E271" s="9"/>
      <c r="F271" s="8"/>
      <c r="G271" s="10" t="str">
        <f t="shared" si="24"/>
        <v/>
      </c>
      <c r="H271" s="10" t="str">
        <f t="shared" si="25"/>
        <v/>
      </c>
      <c r="I271" s="11" t="str">
        <f>IF(B271="Recreation",IFERROR(INDEX(RecPricing!$E$5:$E$10,MATCH(IF(C271="Mixed","External",IF(C271="Unknown","UoB",C271))&amp;"|"&amp;IF(F271&lt;=24,"&lt;=24",IF(F271&lt;=32,"&lt;=32","Above32")),RecPricing!$F$5:$F$10,0)),""),IFERROR(INDEX(Reference!$E$5:$E$12,MATCH(B271&amp;"|"&amp;IF(C271="Mixed","External",IF(C271="Unknown","UoB",C271))&amp;"|"&amp;IF(F271&lt;=32,"32","40"),Reference!$D$5:$D$12,0)),""))</f>
        <v/>
      </c>
      <c r="J271" s="11" t="str">
        <f t="shared" si="26"/>
        <v/>
      </c>
      <c r="K271" s="12"/>
      <c r="L271" s="11" t="str">
        <f t="shared" si="27"/>
        <v/>
      </c>
      <c r="M271" s="12"/>
      <c r="N271" s="12"/>
      <c r="O271" s="11" t="str">
        <f t="shared" si="28"/>
        <v/>
      </c>
      <c r="P271" s="10" t="str">
        <f t="shared" si="29"/>
        <v/>
      </c>
    </row>
    <row r="272" spans="1:16" ht="15" customHeight="1" x14ac:dyDescent="0.2">
      <c r="A272" s="8"/>
      <c r="B272" s="8"/>
      <c r="C272" s="8"/>
      <c r="D272" s="9"/>
      <c r="E272" s="9"/>
      <c r="F272" s="8"/>
      <c r="G272" s="10" t="str">
        <f t="shared" si="24"/>
        <v/>
      </c>
      <c r="H272" s="10" t="str">
        <f t="shared" si="25"/>
        <v/>
      </c>
      <c r="I272" s="11" t="str">
        <f>IF(B272="Recreation",IFERROR(INDEX(RecPricing!$E$5:$E$10,MATCH(IF(C272="Mixed","External",IF(C272="Unknown","UoB",C272))&amp;"|"&amp;IF(F272&lt;=24,"&lt;=24",IF(F272&lt;=32,"&lt;=32","Above32")),RecPricing!$F$5:$F$10,0)),""),IFERROR(INDEX(Reference!$E$5:$E$12,MATCH(B272&amp;"|"&amp;IF(C272="Mixed","External",IF(C272="Unknown","UoB",C272))&amp;"|"&amp;IF(F272&lt;=32,"32","40"),Reference!$D$5:$D$12,0)),""))</f>
        <v/>
      </c>
      <c r="J272" s="11" t="str">
        <f t="shared" si="26"/>
        <v/>
      </c>
      <c r="K272" s="12"/>
      <c r="L272" s="11" t="str">
        <f t="shared" si="27"/>
        <v/>
      </c>
      <c r="M272" s="12"/>
      <c r="N272" s="12"/>
      <c r="O272" s="11" t="str">
        <f t="shared" si="28"/>
        <v/>
      </c>
      <c r="P272" s="10" t="str">
        <f t="shared" si="29"/>
        <v/>
      </c>
    </row>
    <row r="273" spans="1:16" ht="15" customHeight="1" x14ac:dyDescent="0.2">
      <c r="A273" s="8"/>
      <c r="B273" s="8"/>
      <c r="C273" s="8"/>
      <c r="D273" s="9"/>
      <c r="E273" s="9"/>
      <c r="F273" s="8"/>
      <c r="G273" s="10" t="str">
        <f t="shared" si="24"/>
        <v/>
      </c>
      <c r="H273" s="10" t="str">
        <f t="shared" si="25"/>
        <v/>
      </c>
      <c r="I273" s="11" t="str">
        <f>IF(B273="Recreation",IFERROR(INDEX(RecPricing!$E$5:$E$10,MATCH(IF(C273="Mixed","External",IF(C273="Unknown","UoB",C273))&amp;"|"&amp;IF(F273&lt;=24,"&lt;=24",IF(F273&lt;=32,"&lt;=32","Above32")),RecPricing!$F$5:$F$10,0)),""),IFERROR(INDEX(Reference!$E$5:$E$12,MATCH(B273&amp;"|"&amp;IF(C273="Mixed","External",IF(C273="Unknown","UoB",C273))&amp;"|"&amp;IF(F273&lt;=32,"32","40"),Reference!$D$5:$D$12,0)),""))</f>
        <v/>
      </c>
      <c r="J273" s="11" t="str">
        <f t="shared" si="26"/>
        <v/>
      </c>
      <c r="K273" s="12"/>
      <c r="L273" s="11" t="str">
        <f t="shared" si="27"/>
        <v/>
      </c>
      <c r="M273" s="12"/>
      <c r="N273" s="12"/>
      <c r="O273" s="11" t="str">
        <f t="shared" si="28"/>
        <v/>
      </c>
      <c r="P273" s="10" t="str">
        <f t="shared" si="29"/>
        <v/>
      </c>
    </row>
    <row r="274" spans="1:16" ht="15" customHeight="1" x14ac:dyDescent="0.2">
      <c r="A274" s="8"/>
      <c r="B274" s="8"/>
      <c r="C274" s="8"/>
      <c r="D274" s="9"/>
      <c r="E274" s="9"/>
      <c r="F274" s="8"/>
      <c r="G274" s="10" t="str">
        <f t="shared" si="24"/>
        <v/>
      </c>
      <c r="H274" s="10" t="str">
        <f t="shared" si="25"/>
        <v/>
      </c>
      <c r="I274" s="11" t="str">
        <f>IF(B274="Recreation",IFERROR(INDEX(RecPricing!$E$5:$E$10,MATCH(IF(C274="Mixed","External",IF(C274="Unknown","UoB",C274))&amp;"|"&amp;IF(F274&lt;=24,"&lt;=24",IF(F274&lt;=32,"&lt;=32","Above32")),RecPricing!$F$5:$F$10,0)),""),IFERROR(INDEX(Reference!$E$5:$E$12,MATCH(B274&amp;"|"&amp;IF(C274="Mixed","External",IF(C274="Unknown","UoB",C274))&amp;"|"&amp;IF(F274&lt;=32,"32","40"),Reference!$D$5:$D$12,0)),""))</f>
        <v/>
      </c>
      <c r="J274" s="11" t="str">
        <f t="shared" si="26"/>
        <v/>
      </c>
      <c r="K274" s="12"/>
      <c r="L274" s="11" t="str">
        <f t="shared" si="27"/>
        <v/>
      </c>
      <c r="M274" s="12"/>
      <c r="N274" s="12"/>
      <c r="O274" s="11" t="str">
        <f t="shared" si="28"/>
        <v/>
      </c>
      <c r="P274" s="10" t="str">
        <f t="shared" si="29"/>
        <v/>
      </c>
    </row>
    <row r="275" spans="1:16" ht="15" customHeight="1" x14ac:dyDescent="0.2">
      <c r="A275" s="8"/>
      <c r="B275" s="8"/>
      <c r="C275" s="8"/>
      <c r="D275" s="9"/>
      <c r="E275" s="9"/>
      <c r="F275" s="8"/>
      <c r="G275" s="10" t="str">
        <f t="shared" si="24"/>
        <v/>
      </c>
      <c r="H275" s="10" t="str">
        <f t="shared" si="25"/>
        <v/>
      </c>
      <c r="I275" s="11" t="str">
        <f>IF(B275="Recreation",IFERROR(INDEX(RecPricing!$E$5:$E$10,MATCH(IF(C275="Mixed","External",IF(C275="Unknown","UoB",C275))&amp;"|"&amp;IF(F275&lt;=24,"&lt;=24",IF(F275&lt;=32,"&lt;=32","Above32")),RecPricing!$F$5:$F$10,0)),""),IFERROR(INDEX(Reference!$E$5:$E$12,MATCH(B275&amp;"|"&amp;IF(C275="Mixed","External",IF(C275="Unknown","UoB",C275))&amp;"|"&amp;IF(F275&lt;=32,"32","40"),Reference!$D$5:$D$12,0)),""))</f>
        <v/>
      </c>
      <c r="J275" s="11" t="str">
        <f t="shared" si="26"/>
        <v/>
      </c>
      <c r="K275" s="12"/>
      <c r="L275" s="11" t="str">
        <f t="shared" si="27"/>
        <v/>
      </c>
      <c r="M275" s="12"/>
      <c r="N275" s="12"/>
      <c r="O275" s="11" t="str">
        <f t="shared" si="28"/>
        <v/>
      </c>
      <c r="P275" s="10" t="str">
        <f t="shared" si="29"/>
        <v/>
      </c>
    </row>
    <row r="276" spans="1:16" ht="15" customHeight="1" x14ac:dyDescent="0.2">
      <c r="A276" s="8"/>
      <c r="B276" s="8"/>
      <c r="C276" s="8"/>
      <c r="D276" s="9"/>
      <c r="E276" s="9"/>
      <c r="F276" s="8"/>
      <c r="G276" s="10" t="str">
        <f t="shared" si="24"/>
        <v/>
      </c>
      <c r="H276" s="10" t="str">
        <f t="shared" si="25"/>
        <v/>
      </c>
      <c r="I276" s="11" t="str">
        <f>IF(B276="Recreation",IFERROR(INDEX(RecPricing!$E$5:$E$10,MATCH(IF(C276="Mixed","External",IF(C276="Unknown","UoB",C276))&amp;"|"&amp;IF(F276&lt;=24,"&lt;=24",IF(F276&lt;=32,"&lt;=32","Above32")),RecPricing!$F$5:$F$10,0)),""),IFERROR(INDEX(Reference!$E$5:$E$12,MATCH(B276&amp;"|"&amp;IF(C276="Mixed","External",IF(C276="Unknown","UoB",C276))&amp;"|"&amp;IF(F276&lt;=32,"32","40"),Reference!$D$5:$D$12,0)),""))</f>
        <v/>
      </c>
      <c r="J276" s="11" t="str">
        <f t="shared" si="26"/>
        <v/>
      </c>
      <c r="K276" s="12"/>
      <c r="L276" s="11" t="str">
        <f t="shared" si="27"/>
        <v/>
      </c>
      <c r="M276" s="12"/>
      <c r="N276" s="12"/>
      <c r="O276" s="11" t="str">
        <f t="shared" si="28"/>
        <v/>
      </c>
      <c r="P276" s="10" t="str">
        <f t="shared" si="29"/>
        <v/>
      </c>
    </row>
    <row r="277" spans="1:16" ht="15" customHeight="1" x14ac:dyDescent="0.2">
      <c r="A277" s="8"/>
      <c r="B277" s="8"/>
      <c r="C277" s="8"/>
      <c r="D277" s="9"/>
      <c r="E277" s="9"/>
      <c r="F277" s="8"/>
      <c r="G277" s="10" t="str">
        <f t="shared" si="24"/>
        <v/>
      </c>
      <c r="H277" s="10" t="str">
        <f t="shared" si="25"/>
        <v/>
      </c>
      <c r="I277" s="11" t="str">
        <f>IF(B277="Recreation",IFERROR(INDEX(RecPricing!$E$5:$E$10,MATCH(IF(C277="Mixed","External",IF(C277="Unknown","UoB",C277))&amp;"|"&amp;IF(F277&lt;=24,"&lt;=24",IF(F277&lt;=32,"&lt;=32","Above32")),RecPricing!$F$5:$F$10,0)),""),IFERROR(INDEX(Reference!$E$5:$E$12,MATCH(B277&amp;"|"&amp;IF(C277="Mixed","External",IF(C277="Unknown","UoB",C277))&amp;"|"&amp;IF(F277&lt;=32,"32","40"),Reference!$D$5:$D$12,0)),""))</f>
        <v/>
      </c>
      <c r="J277" s="11" t="str">
        <f t="shared" si="26"/>
        <v/>
      </c>
      <c r="K277" s="12"/>
      <c r="L277" s="11" t="str">
        <f t="shared" si="27"/>
        <v/>
      </c>
      <c r="M277" s="12"/>
      <c r="N277" s="12"/>
      <c r="O277" s="11" t="str">
        <f t="shared" si="28"/>
        <v/>
      </c>
      <c r="P277" s="10" t="str">
        <f t="shared" si="29"/>
        <v/>
      </c>
    </row>
    <row r="278" spans="1:16" ht="15" customHeight="1" x14ac:dyDescent="0.2">
      <c r="A278" s="8"/>
      <c r="B278" s="8"/>
      <c r="C278" s="8"/>
      <c r="D278" s="9"/>
      <c r="E278" s="9"/>
      <c r="F278" s="8"/>
      <c r="G278" s="10" t="str">
        <f t="shared" si="24"/>
        <v/>
      </c>
      <c r="H278" s="10" t="str">
        <f t="shared" si="25"/>
        <v/>
      </c>
      <c r="I278" s="11" t="str">
        <f>IF(B278="Recreation",IFERROR(INDEX(RecPricing!$E$5:$E$10,MATCH(IF(C278="Mixed","External",IF(C278="Unknown","UoB",C278))&amp;"|"&amp;IF(F278&lt;=24,"&lt;=24",IF(F278&lt;=32,"&lt;=32","Above32")),RecPricing!$F$5:$F$10,0)),""),IFERROR(INDEX(Reference!$E$5:$E$12,MATCH(B278&amp;"|"&amp;IF(C278="Mixed","External",IF(C278="Unknown","UoB",C278))&amp;"|"&amp;IF(F278&lt;=32,"32","40"),Reference!$D$5:$D$12,0)),""))</f>
        <v/>
      </c>
      <c r="J278" s="11" t="str">
        <f t="shared" si="26"/>
        <v/>
      </c>
      <c r="K278" s="12"/>
      <c r="L278" s="11" t="str">
        <f t="shared" si="27"/>
        <v/>
      </c>
      <c r="M278" s="12"/>
      <c r="N278" s="12"/>
      <c r="O278" s="11" t="str">
        <f t="shared" si="28"/>
        <v/>
      </c>
      <c r="P278" s="10" t="str">
        <f t="shared" si="29"/>
        <v/>
      </c>
    </row>
    <row r="279" spans="1:16" ht="15" customHeight="1" x14ac:dyDescent="0.2">
      <c r="A279" s="8"/>
      <c r="B279" s="8"/>
      <c r="C279" s="8"/>
      <c r="D279" s="9"/>
      <c r="E279" s="9"/>
      <c r="F279" s="8"/>
      <c r="G279" s="10" t="str">
        <f t="shared" si="24"/>
        <v/>
      </c>
      <c r="H279" s="10" t="str">
        <f t="shared" si="25"/>
        <v/>
      </c>
      <c r="I279" s="11" t="str">
        <f>IF(B279="Recreation",IFERROR(INDEX(RecPricing!$E$5:$E$10,MATCH(IF(C279="Mixed","External",IF(C279="Unknown","UoB",C279))&amp;"|"&amp;IF(F279&lt;=24,"&lt;=24",IF(F279&lt;=32,"&lt;=32","Above32")),RecPricing!$F$5:$F$10,0)),""),IFERROR(INDEX(Reference!$E$5:$E$12,MATCH(B279&amp;"|"&amp;IF(C279="Mixed","External",IF(C279="Unknown","UoB",C279))&amp;"|"&amp;IF(F279&lt;=32,"32","40"),Reference!$D$5:$D$12,0)),""))</f>
        <v/>
      </c>
      <c r="J279" s="11" t="str">
        <f t="shared" si="26"/>
        <v/>
      </c>
      <c r="K279" s="12"/>
      <c r="L279" s="11" t="str">
        <f t="shared" si="27"/>
        <v/>
      </c>
      <c r="M279" s="12"/>
      <c r="N279" s="12"/>
      <c r="O279" s="11" t="str">
        <f t="shared" si="28"/>
        <v/>
      </c>
      <c r="P279" s="10" t="str">
        <f t="shared" si="29"/>
        <v/>
      </c>
    </row>
    <row r="280" spans="1:16" ht="15" customHeight="1" x14ac:dyDescent="0.2">
      <c r="A280" s="8"/>
      <c r="B280" s="8"/>
      <c r="C280" s="8"/>
      <c r="D280" s="9"/>
      <c r="E280" s="9"/>
      <c r="F280" s="8"/>
      <c r="G280" s="10" t="str">
        <f t="shared" si="24"/>
        <v/>
      </c>
      <c r="H280" s="10" t="str">
        <f t="shared" si="25"/>
        <v/>
      </c>
      <c r="I280" s="11" t="str">
        <f>IF(B280="Recreation",IFERROR(INDEX(RecPricing!$E$5:$E$10,MATCH(IF(C280="Mixed","External",IF(C280="Unknown","UoB",C280))&amp;"|"&amp;IF(F280&lt;=24,"&lt;=24",IF(F280&lt;=32,"&lt;=32","Above32")),RecPricing!$F$5:$F$10,0)),""),IFERROR(INDEX(Reference!$E$5:$E$12,MATCH(B280&amp;"|"&amp;IF(C280="Mixed","External",IF(C280="Unknown","UoB",C280))&amp;"|"&amp;IF(F280&lt;=32,"32","40"),Reference!$D$5:$D$12,0)),""))</f>
        <v/>
      </c>
      <c r="J280" s="11" t="str">
        <f t="shared" si="26"/>
        <v/>
      </c>
      <c r="K280" s="12"/>
      <c r="L280" s="11" t="str">
        <f t="shared" si="27"/>
        <v/>
      </c>
      <c r="M280" s="12"/>
      <c r="N280" s="12"/>
      <c r="O280" s="11" t="str">
        <f t="shared" si="28"/>
        <v/>
      </c>
      <c r="P280" s="10" t="str">
        <f t="shared" si="29"/>
        <v/>
      </c>
    </row>
    <row r="281" spans="1:16" ht="15" customHeight="1" x14ac:dyDescent="0.2">
      <c r="A281" s="8"/>
      <c r="B281" s="8"/>
      <c r="C281" s="8"/>
      <c r="D281" s="9"/>
      <c r="E281" s="9"/>
      <c r="F281" s="8"/>
      <c r="G281" s="10" t="str">
        <f t="shared" si="24"/>
        <v/>
      </c>
      <c r="H281" s="10" t="str">
        <f t="shared" si="25"/>
        <v/>
      </c>
      <c r="I281" s="11" t="str">
        <f>IF(B281="Recreation",IFERROR(INDEX(RecPricing!$E$5:$E$10,MATCH(IF(C281="Mixed","External",IF(C281="Unknown","UoB",C281))&amp;"|"&amp;IF(F281&lt;=24,"&lt;=24",IF(F281&lt;=32,"&lt;=32","Above32")),RecPricing!$F$5:$F$10,0)),""),IFERROR(INDEX(Reference!$E$5:$E$12,MATCH(B281&amp;"|"&amp;IF(C281="Mixed","External",IF(C281="Unknown","UoB",C281))&amp;"|"&amp;IF(F281&lt;=32,"32","40"),Reference!$D$5:$D$12,0)),""))</f>
        <v/>
      </c>
      <c r="J281" s="11" t="str">
        <f t="shared" si="26"/>
        <v/>
      </c>
      <c r="K281" s="12"/>
      <c r="L281" s="11" t="str">
        <f t="shared" si="27"/>
        <v/>
      </c>
      <c r="M281" s="12"/>
      <c r="N281" s="12"/>
      <c r="O281" s="11" t="str">
        <f t="shared" si="28"/>
        <v/>
      </c>
      <c r="P281" s="10" t="str">
        <f t="shared" si="29"/>
        <v/>
      </c>
    </row>
    <row r="282" spans="1:16" ht="15" customHeight="1" x14ac:dyDescent="0.2">
      <c r="A282" s="8"/>
      <c r="B282" s="8"/>
      <c r="C282" s="8"/>
      <c r="D282" s="9"/>
      <c r="E282" s="9"/>
      <c r="F282" s="8"/>
      <c r="G282" s="10" t="str">
        <f t="shared" si="24"/>
        <v/>
      </c>
      <c r="H282" s="10" t="str">
        <f t="shared" si="25"/>
        <v/>
      </c>
      <c r="I282" s="11" t="str">
        <f>IF(B282="Recreation",IFERROR(INDEX(RecPricing!$E$5:$E$10,MATCH(IF(C282="Mixed","External",IF(C282="Unknown","UoB",C282))&amp;"|"&amp;IF(F282&lt;=24,"&lt;=24",IF(F282&lt;=32,"&lt;=32","Above32")),RecPricing!$F$5:$F$10,0)),""),IFERROR(INDEX(Reference!$E$5:$E$12,MATCH(B282&amp;"|"&amp;IF(C282="Mixed","External",IF(C282="Unknown","UoB",C282))&amp;"|"&amp;IF(F282&lt;=32,"32","40"),Reference!$D$5:$D$12,0)),""))</f>
        <v/>
      </c>
      <c r="J282" s="11" t="str">
        <f t="shared" si="26"/>
        <v/>
      </c>
      <c r="K282" s="12"/>
      <c r="L282" s="11" t="str">
        <f t="shared" si="27"/>
        <v/>
      </c>
      <c r="M282" s="12"/>
      <c r="N282" s="12"/>
      <c r="O282" s="11" t="str">
        <f t="shared" si="28"/>
        <v/>
      </c>
      <c r="P282" s="10" t="str">
        <f t="shared" si="29"/>
        <v/>
      </c>
    </row>
    <row r="283" spans="1:16" ht="15" customHeight="1" x14ac:dyDescent="0.2">
      <c r="A283" s="8"/>
      <c r="B283" s="8"/>
      <c r="C283" s="8"/>
      <c r="D283" s="9"/>
      <c r="E283" s="9"/>
      <c r="F283" s="8"/>
      <c r="G283" s="10" t="str">
        <f t="shared" si="24"/>
        <v/>
      </c>
      <c r="H283" s="10" t="str">
        <f t="shared" si="25"/>
        <v/>
      </c>
      <c r="I283" s="11" t="str">
        <f>IF(B283="Recreation",IFERROR(INDEX(RecPricing!$E$5:$E$10,MATCH(IF(C283="Mixed","External",IF(C283="Unknown","UoB",C283))&amp;"|"&amp;IF(F283&lt;=24,"&lt;=24",IF(F283&lt;=32,"&lt;=32","Above32")),RecPricing!$F$5:$F$10,0)),""),IFERROR(INDEX(Reference!$E$5:$E$12,MATCH(B283&amp;"|"&amp;IF(C283="Mixed","External",IF(C283="Unknown","UoB",C283))&amp;"|"&amp;IF(F283&lt;=32,"32","40"),Reference!$D$5:$D$12,0)),""))</f>
        <v/>
      </c>
      <c r="J283" s="11" t="str">
        <f t="shared" si="26"/>
        <v/>
      </c>
      <c r="K283" s="12"/>
      <c r="L283" s="11" t="str">
        <f t="shared" si="27"/>
        <v/>
      </c>
      <c r="M283" s="12"/>
      <c r="N283" s="12"/>
      <c r="O283" s="11" t="str">
        <f t="shared" si="28"/>
        <v/>
      </c>
      <c r="P283" s="10" t="str">
        <f t="shared" si="29"/>
        <v/>
      </c>
    </row>
    <row r="284" spans="1:16" ht="15" customHeight="1" x14ac:dyDescent="0.2">
      <c r="A284" s="8"/>
      <c r="B284" s="8"/>
      <c r="C284" s="8"/>
      <c r="D284" s="9"/>
      <c r="E284" s="9"/>
      <c r="F284" s="8"/>
      <c r="G284" s="10" t="str">
        <f t="shared" si="24"/>
        <v/>
      </c>
      <c r="H284" s="10" t="str">
        <f t="shared" si="25"/>
        <v/>
      </c>
      <c r="I284" s="11" t="str">
        <f>IF(B284="Recreation",IFERROR(INDEX(RecPricing!$E$5:$E$10,MATCH(IF(C284="Mixed","External",IF(C284="Unknown","UoB",C284))&amp;"|"&amp;IF(F284&lt;=24,"&lt;=24",IF(F284&lt;=32,"&lt;=32","Above32")),RecPricing!$F$5:$F$10,0)),""),IFERROR(INDEX(Reference!$E$5:$E$12,MATCH(B284&amp;"|"&amp;IF(C284="Mixed","External",IF(C284="Unknown","UoB",C284))&amp;"|"&amp;IF(F284&lt;=32,"32","40"),Reference!$D$5:$D$12,0)),""))</f>
        <v/>
      </c>
      <c r="J284" s="11" t="str">
        <f t="shared" si="26"/>
        <v/>
      </c>
      <c r="K284" s="12"/>
      <c r="L284" s="11" t="str">
        <f t="shared" si="27"/>
        <v/>
      </c>
      <c r="M284" s="12"/>
      <c r="N284" s="12"/>
      <c r="O284" s="11" t="str">
        <f t="shared" si="28"/>
        <v/>
      </c>
      <c r="P284" s="10" t="str">
        <f t="shared" si="29"/>
        <v/>
      </c>
    </row>
    <row r="285" spans="1:16" ht="15" customHeight="1" x14ac:dyDescent="0.2">
      <c r="A285" s="8"/>
      <c r="B285" s="8"/>
      <c r="C285" s="8"/>
      <c r="D285" s="9"/>
      <c r="E285" s="9"/>
      <c r="F285" s="8"/>
      <c r="G285" s="10" t="str">
        <f t="shared" si="24"/>
        <v/>
      </c>
      <c r="H285" s="10" t="str">
        <f t="shared" si="25"/>
        <v/>
      </c>
      <c r="I285" s="11" t="str">
        <f>IF(B285="Recreation",IFERROR(INDEX(RecPricing!$E$5:$E$10,MATCH(IF(C285="Mixed","External",IF(C285="Unknown","UoB",C285))&amp;"|"&amp;IF(F285&lt;=24,"&lt;=24",IF(F285&lt;=32,"&lt;=32","Above32")),RecPricing!$F$5:$F$10,0)),""),IFERROR(INDEX(Reference!$E$5:$E$12,MATCH(B285&amp;"|"&amp;IF(C285="Mixed","External",IF(C285="Unknown","UoB",C285))&amp;"|"&amp;IF(F285&lt;=32,"32","40"),Reference!$D$5:$D$12,0)),""))</f>
        <v/>
      </c>
      <c r="J285" s="11" t="str">
        <f t="shared" si="26"/>
        <v/>
      </c>
      <c r="K285" s="12"/>
      <c r="L285" s="11" t="str">
        <f t="shared" si="27"/>
        <v/>
      </c>
      <c r="M285" s="12"/>
      <c r="N285" s="12"/>
      <c r="O285" s="11" t="str">
        <f t="shared" si="28"/>
        <v/>
      </c>
      <c r="P285" s="10" t="str">
        <f t="shared" si="29"/>
        <v/>
      </c>
    </row>
    <row r="286" spans="1:16" ht="15" customHeight="1" x14ac:dyDescent="0.2">
      <c r="A286" s="8"/>
      <c r="B286" s="8"/>
      <c r="C286" s="8"/>
      <c r="D286" s="9"/>
      <c r="E286" s="9"/>
      <c r="F286" s="8"/>
      <c r="G286" s="10" t="str">
        <f t="shared" si="24"/>
        <v/>
      </c>
      <c r="H286" s="10" t="str">
        <f t="shared" si="25"/>
        <v/>
      </c>
      <c r="I286" s="11" t="str">
        <f>IF(B286="Recreation",IFERROR(INDEX(RecPricing!$E$5:$E$10,MATCH(IF(C286="Mixed","External",IF(C286="Unknown","UoB",C286))&amp;"|"&amp;IF(F286&lt;=24,"&lt;=24",IF(F286&lt;=32,"&lt;=32","Above32")),RecPricing!$F$5:$F$10,0)),""),IFERROR(INDEX(Reference!$E$5:$E$12,MATCH(B286&amp;"|"&amp;IF(C286="Mixed","External",IF(C286="Unknown","UoB",C286))&amp;"|"&amp;IF(F286&lt;=32,"32","40"),Reference!$D$5:$D$12,0)),""))</f>
        <v/>
      </c>
      <c r="J286" s="11" t="str">
        <f t="shared" si="26"/>
        <v/>
      </c>
      <c r="K286" s="12"/>
      <c r="L286" s="11" t="str">
        <f t="shared" si="27"/>
        <v/>
      </c>
      <c r="M286" s="12"/>
      <c r="N286" s="12"/>
      <c r="O286" s="11" t="str">
        <f t="shared" si="28"/>
        <v/>
      </c>
      <c r="P286" s="10" t="str">
        <f t="shared" si="29"/>
        <v/>
      </c>
    </row>
    <row r="287" spans="1:16" ht="15" customHeight="1" x14ac:dyDescent="0.2">
      <c r="A287" s="8"/>
      <c r="B287" s="8"/>
      <c r="C287" s="8"/>
      <c r="D287" s="9"/>
      <c r="E287" s="9"/>
      <c r="F287" s="8"/>
      <c r="G287" s="10" t="str">
        <f t="shared" si="24"/>
        <v/>
      </c>
      <c r="H287" s="10" t="str">
        <f t="shared" si="25"/>
        <v/>
      </c>
      <c r="I287" s="11" t="str">
        <f>IF(B287="Recreation",IFERROR(INDEX(RecPricing!$E$5:$E$10,MATCH(IF(C287="Mixed","External",IF(C287="Unknown","UoB",C287))&amp;"|"&amp;IF(F287&lt;=24,"&lt;=24",IF(F287&lt;=32,"&lt;=32","Above32")),RecPricing!$F$5:$F$10,0)),""),IFERROR(INDEX(Reference!$E$5:$E$12,MATCH(B287&amp;"|"&amp;IF(C287="Mixed","External",IF(C287="Unknown","UoB",C287))&amp;"|"&amp;IF(F287&lt;=32,"32","40"),Reference!$D$5:$D$12,0)),""))</f>
        <v/>
      </c>
      <c r="J287" s="11" t="str">
        <f t="shared" si="26"/>
        <v/>
      </c>
      <c r="K287" s="12"/>
      <c r="L287" s="11" t="str">
        <f t="shared" si="27"/>
        <v/>
      </c>
      <c r="M287" s="12"/>
      <c r="N287" s="12"/>
      <c r="O287" s="11" t="str">
        <f t="shared" si="28"/>
        <v/>
      </c>
      <c r="P287" s="10" t="str">
        <f t="shared" si="29"/>
        <v/>
      </c>
    </row>
    <row r="288" spans="1:16" ht="15" customHeight="1" x14ac:dyDescent="0.2">
      <c r="A288" s="8"/>
      <c r="B288" s="8"/>
      <c r="C288" s="8"/>
      <c r="D288" s="9"/>
      <c r="E288" s="9"/>
      <c r="F288" s="8"/>
      <c r="G288" s="10" t="str">
        <f t="shared" si="24"/>
        <v/>
      </c>
      <c r="H288" s="10" t="str">
        <f t="shared" si="25"/>
        <v/>
      </c>
      <c r="I288" s="11" t="str">
        <f>IF(B288="Recreation",IFERROR(INDEX(RecPricing!$E$5:$E$10,MATCH(IF(C288="Mixed","External",IF(C288="Unknown","UoB",C288))&amp;"|"&amp;IF(F288&lt;=24,"&lt;=24",IF(F288&lt;=32,"&lt;=32","Above32")),RecPricing!$F$5:$F$10,0)),""),IFERROR(INDEX(Reference!$E$5:$E$12,MATCH(B288&amp;"|"&amp;IF(C288="Mixed","External",IF(C288="Unknown","UoB",C288))&amp;"|"&amp;IF(F288&lt;=32,"32","40"),Reference!$D$5:$D$12,0)),""))</f>
        <v/>
      </c>
      <c r="J288" s="11" t="str">
        <f t="shared" si="26"/>
        <v/>
      </c>
      <c r="K288" s="12"/>
      <c r="L288" s="11" t="str">
        <f t="shared" si="27"/>
        <v/>
      </c>
      <c r="M288" s="12"/>
      <c r="N288" s="12"/>
      <c r="O288" s="11" t="str">
        <f t="shared" si="28"/>
        <v/>
      </c>
      <c r="P288" s="10" t="str">
        <f t="shared" si="29"/>
        <v/>
      </c>
    </row>
    <row r="289" spans="1:16" ht="15" customHeight="1" x14ac:dyDescent="0.2">
      <c r="A289" s="8"/>
      <c r="B289" s="8"/>
      <c r="C289" s="8"/>
      <c r="D289" s="9"/>
      <c r="E289" s="9"/>
      <c r="F289" s="8"/>
      <c r="G289" s="10" t="str">
        <f t="shared" si="24"/>
        <v/>
      </c>
      <c r="H289" s="10" t="str">
        <f t="shared" si="25"/>
        <v/>
      </c>
      <c r="I289" s="11" t="str">
        <f>IF(B289="Recreation",IFERROR(INDEX(RecPricing!$E$5:$E$10,MATCH(IF(C289="Mixed","External",IF(C289="Unknown","UoB",C289))&amp;"|"&amp;IF(F289&lt;=24,"&lt;=24",IF(F289&lt;=32,"&lt;=32","Above32")),RecPricing!$F$5:$F$10,0)),""),IFERROR(INDEX(Reference!$E$5:$E$12,MATCH(B289&amp;"|"&amp;IF(C289="Mixed","External",IF(C289="Unknown","UoB",C289))&amp;"|"&amp;IF(F289&lt;=32,"32","40"),Reference!$D$5:$D$12,0)),""))</f>
        <v/>
      </c>
      <c r="J289" s="11" t="str">
        <f t="shared" si="26"/>
        <v/>
      </c>
      <c r="K289" s="12"/>
      <c r="L289" s="11" t="str">
        <f t="shared" si="27"/>
        <v/>
      </c>
      <c r="M289" s="12"/>
      <c r="N289" s="12"/>
      <c r="O289" s="11" t="str">
        <f t="shared" si="28"/>
        <v/>
      </c>
      <c r="P289" s="10" t="str">
        <f t="shared" si="29"/>
        <v/>
      </c>
    </row>
    <row r="290" spans="1:16" ht="15" customHeight="1" x14ac:dyDescent="0.2">
      <c r="A290" s="8"/>
      <c r="B290" s="8"/>
      <c r="C290" s="8"/>
      <c r="D290" s="9"/>
      <c r="E290" s="9"/>
      <c r="F290" s="8"/>
      <c r="G290" s="10" t="str">
        <f t="shared" si="24"/>
        <v/>
      </c>
      <c r="H290" s="10" t="str">
        <f t="shared" si="25"/>
        <v/>
      </c>
      <c r="I290" s="11" t="str">
        <f>IF(B290="Recreation",IFERROR(INDEX(RecPricing!$E$5:$E$10,MATCH(IF(C290="Mixed","External",IF(C290="Unknown","UoB",C290))&amp;"|"&amp;IF(F290&lt;=24,"&lt;=24",IF(F290&lt;=32,"&lt;=32","Above32")),RecPricing!$F$5:$F$10,0)),""),IFERROR(INDEX(Reference!$E$5:$E$12,MATCH(B290&amp;"|"&amp;IF(C290="Mixed","External",IF(C290="Unknown","UoB",C290))&amp;"|"&amp;IF(F290&lt;=32,"32","40"),Reference!$D$5:$D$12,0)),""))</f>
        <v/>
      </c>
      <c r="J290" s="11" t="str">
        <f t="shared" si="26"/>
        <v/>
      </c>
      <c r="K290" s="12"/>
      <c r="L290" s="11" t="str">
        <f t="shared" si="27"/>
        <v/>
      </c>
      <c r="M290" s="12"/>
      <c r="N290" s="12"/>
      <c r="O290" s="11" t="str">
        <f t="shared" si="28"/>
        <v/>
      </c>
      <c r="P290" s="10" t="str">
        <f t="shared" si="29"/>
        <v/>
      </c>
    </row>
    <row r="291" spans="1:16" ht="15" customHeight="1" x14ac:dyDescent="0.2">
      <c r="A291" s="8"/>
      <c r="B291" s="8"/>
      <c r="C291" s="8"/>
      <c r="D291" s="9"/>
      <c r="E291" s="9"/>
      <c r="F291" s="8"/>
      <c r="G291" s="10" t="str">
        <f t="shared" si="24"/>
        <v/>
      </c>
      <c r="H291" s="10" t="str">
        <f t="shared" si="25"/>
        <v/>
      </c>
      <c r="I291" s="11" t="str">
        <f>IF(B291="Recreation",IFERROR(INDEX(RecPricing!$E$5:$E$10,MATCH(IF(C291="Mixed","External",IF(C291="Unknown","UoB",C291))&amp;"|"&amp;IF(F291&lt;=24,"&lt;=24",IF(F291&lt;=32,"&lt;=32","Above32")),RecPricing!$F$5:$F$10,0)),""),IFERROR(INDEX(Reference!$E$5:$E$12,MATCH(B291&amp;"|"&amp;IF(C291="Mixed","External",IF(C291="Unknown","UoB",C291))&amp;"|"&amp;IF(F291&lt;=32,"32","40"),Reference!$D$5:$D$12,0)),""))</f>
        <v/>
      </c>
      <c r="J291" s="11" t="str">
        <f t="shared" si="26"/>
        <v/>
      </c>
      <c r="K291" s="12"/>
      <c r="L291" s="11" t="str">
        <f t="shared" si="27"/>
        <v/>
      </c>
      <c r="M291" s="12"/>
      <c r="N291" s="12"/>
      <c r="O291" s="11" t="str">
        <f t="shared" si="28"/>
        <v/>
      </c>
      <c r="P291" s="10" t="str">
        <f t="shared" si="29"/>
        <v/>
      </c>
    </row>
    <row r="292" spans="1:16" ht="15" customHeight="1" x14ac:dyDescent="0.2">
      <c r="A292" s="8"/>
      <c r="B292" s="8"/>
      <c r="C292" s="8"/>
      <c r="D292" s="9"/>
      <c r="E292" s="9"/>
      <c r="F292" s="8"/>
      <c r="G292" s="10" t="str">
        <f t="shared" si="24"/>
        <v/>
      </c>
      <c r="H292" s="10" t="str">
        <f t="shared" si="25"/>
        <v/>
      </c>
      <c r="I292" s="11" t="str">
        <f>IF(B292="Recreation",IFERROR(INDEX(RecPricing!$E$5:$E$10,MATCH(IF(C292="Mixed","External",IF(C292="Unknown","UoB",C292))&amp;"|"&amp;IF(F292&lt;=24,"&lt;=24",IF(F292&lt;=32,"&lt;=32","Above32")),RecPricing!$F$5:$F$10,0)),""),IFERROR(INDEX(Reference!$E$5:$E$12,MATCH(B292&amp;"|"&amp;IF(C292="Mixed","External",IF(C292="Unknown","UoB",C292))&amp;"|"&amp;IF(F292&lt;=32,"32","40"),Reference!$D$5:$D$12,0)),""))</f>
        <v/>
      </c>
      <c r="J292" s="11" t="str">
        <f t="shared" si="26"/>
        <v/>
      </c>
      <c r="K292" s="12"/>
      <c r="L292" s="11" t="str">
        <f t="shared" si="27"/>
        <v/>
      </c>
      <c r="M292" s="12"/>
      <c r="N292" s="12"/>
      <c r="O292" s="11" t="str">
        <f t="shared" si="28"/>
        <v/>
      </c>
      <c r="P292" s="10" t="str">
        <f t="shared" si="29"/>
        <v/>
      </c>
    </row>
    <row r="293" spans="1:16" ht="15" customHeight="1" x14ac:dyDescent="0.2">
      <c r="A293" s="8"/>
      <c r="B293" s="8"/>
      <c r="C293" s="8"/>
      <c r="D293" s="9"/>
      <c r="E293" s="9"/>
      <c r="F293" s="8"/>
      <c r="G293" s="10" t="str">
        <f t="shared" si="24"/>
        <v/>
      </c>
      <c r="H293" s="10" t="str">
        <f t="shared" si="25"/>
        <v/>
      </c>
      <c r="I293" s="11" t="str">
        <f>IF(B293="Recreation",IFERROR(INDEX(RecPricing!$E$5:$E$10,MATCH(IF(C293="Mixed","External",IF(C293="Unknown","UoB",C293))&amp;"|"&amp;IF(F293&lt;=24,"&lt;=24",IF(F293&lt;=32,"&lt;=32","Above32")),RecPricing!$F$5:$F$10,0)),""),IFERROR(INDEX(Reference!$E$5:$E$12,MATCH(B293&amp;"|"&amp;IF(C293="Mixed","External",IF(C293="Unknown","UoB",C293))&amp;"|"&amp;IF(F293&lt;=32,"32","40"),Reference!$D$5:$D$12,0)),""))</f>
        <v/>
      </c>
      <c r="J293" s="11" t="str">
        <f t="shared" si="26"/>
        <v/>
      </c>
      <c r="K293" s="12"/>
      <c r="L293" s="11" t="str">
        <f t="shared" si="27"/>
        <v/>
      </c>
      <c r="M293" s="12"/>
      <c r="N293" s="12"/>
      <c r="O293" s="11" t="str">
        <f t="shared" si="28"/>
        <v/>
      </c>
      <c r="P293" s="10" t="str">
        <f t="shared" si="29"/>
        <v/>
      </c>
    </row>
    <row r="294" spans="1:16" ht="15" customHeight="1" x14ac:dyDescent="0.2">
      <c r="A294" s="8"/>
      <c r="B294" s="8"/>
      <c r="C294" s="8"/>
      <c r="D294" s="9"/>
      <c r="E294" s="9"/>
      <c r="F294" s="8"/>
      <c r="G294" s="10" t="str">
        <f t="shared" si="24"/>
        <v/>
      </c>
      <c r="H294" s="10" t="str">
        <f t="shared" si="25"/>
        <v/>
      </c>
      <c r="I294" s="11" t="str">
        <f>IF(B294="Recreation",IFERROR(INDEX(RecPricing!$E$5:$E$10,MATCH(IF(C294="Mixed","External",IF(C294="Unknown","UoB",C294))&amp;"|"&amp;IF(F294&lt;=24,"&lt;=24",IF(F294&lt;=32,"&lt;=32","Above32")),RecPricing!$F$5:$F$10,0)),""),IFERROR(INDEX(Reference!$E$5:$E$12,MATCH(B294&amp;"|"&amp;IF(C294="Mixed","External",IF(C294="Unknown","UoB",C294))&amp;"|"&amp;IF(F294&lt;=32,"32","40"),Reference!$D$5:$D$12,0)),""))</f>
        <v/>
      </c>
      <c r="J294" s="11" t="str">
        <f t="shared" si="26"/>
        <v/>
      </c>
      <c r="K294" s="12"/>
      <c r="L294" s="11" t="str">
        <f t="shared" si="27"/>
        <v/>
      </c>
      <c r="M294" s="12"/>
      <c r="N294" s="12"/>
      <c r="O294" s="11" t="str">
        <f t="shared" si="28"/>
        <v/>
      </c>
      <c r="P294" s="10" t="str">
        <f t="shared" si="29"/>
        <v/>
      </c>
    </row>
    <row r="295" spans="1:16" ht="15" customHeight="1" x14ac:dyDescent="0.2">
      <c r="A295" s="8"/>
      <c r="B295" s="8"/>
      <c r="C295" s="8"/>
      <c r="D295" s="9"/>
      <c r="E295" s="9"/>
      <c r="F295" s="8"/>
      <c r="G295" s="10" t="str">
        <f t="shared" si="24"/>
        <v/>
      </c>
      <c r="H295" s="10" t="str">
        <f t="shared" si="25"/>
        <v/>
      </c>
      <c r="I295" s="11" t="str">
        <f>IF(B295="Recreation",IFERROR(INDEX(RecPricing!$E$5:$E$10,MATCH(IF(C295="Mixed","External",IF(C295="Unknown","UoB",C295))&amp;"|"&amp;IF(F295&lt;=24,"&lt;=24",IF(F295&lt;=32,"&lt;=32","Above32")),RecPricing!$F$5:$F$10,0)),""),IFERROR(INDEX(Reference!$E$5:$E$12,MATCH(B295&amp;"|"&amp;IF(C295="Mixed","External",IF(C295="Unknown","UoB",C295))&amp;"|"&amp;IF(F295&lt;=32,"32","40"),Reference!$D$5:$D$12,0)),""))</f>
        <v/>
      </c>
      <c r="J295" s="11" t="str">
        <f t="shared" si="26"/>
        <v/>
      </c>
      <c r="K295" s="12"/>
      <c r="L295" s="11" t="str">
        <f t="shared" si="27"/>
        <v/>
      </c>
      <c r="M295" s="12"/>
      <c r="N295" s="12"/>
      <c r="O295" s="11" t="str">
        <f t="shared" si="28"/>
        <v/>
      </c>
      <c r="P295" s="10" t="str">
        <f t="shared" si="29"/>
        <v/>
      </c>
    </row>
    <row r="296" spans="1:16" ht="15" customHeight="1" x14ac:dyDescent="0.2">
      <c r="A296" s="8"/>
      <c r="B296" s="8"/>
      <c r="C296" s="8"/>
      <c r="D296" s="9"/>
      <c r="E296" s="9"/>
      <c r="F296" s="8"/>
      <c r="G296" s="10" t="str">
        <f t="shared" si="24"/>
        <v/>
      </c>
      <c r="H296" s="10" t="str">
        <f t="shared" si="25"/>
        <v/>
      </c>
      <c r="I296" s="11" t="str">
        <f>IF(B296="Recreation",IFERROR(INDEX(RecPricing!$E$5:$E$10,MATCH(IF(C296="Mixed","External",IF(C296="Unknown","UoB",C296))&amp;"|"&amp;IF(F296&lt;=24,"&lt;=24",IF(F296&lt;=32,"&lt;=32","Above32")),RecPricing!$F$5:$F$10,0)),""),IFERROR(INDEX(Reference!$E$5:$E$12,MATCH(B296&amp;"|"&amp;IF(C296="Mixed","External",IF(C296="Unknown","UoB",C296))&amp;"|"&amp;IF(F296&lt;=32,"32","40"),Reference!$D$5:$D$12,0)),""))</f>
        <v/>
      </c>
      <c r="J296" s="11" t="str">
        <f t="shared" si="26"/>
        <v/>
      </c>
      <c r="K296" s="12"/>
      <c r="L296" s="11" t="str">
        <f t="shared" si="27"/>
        <v/>
      </c>
      <c r="M296" s="12"/>
      <c r="N296" s="12"/>
      <c r="O296" s="11" t="str">
        <f t="shared" si="28"/>
        <v/>
      </c>
      <c r="P296" s="10" t="str">
        <f t="shared" si="29"/>
        <v/>
      </c>
    </row>
    <row r="297" spans="1:16" ht="15" customHeight="1" x14ac:dyDescent="0.2">
      <c r="A297" s="8"/>
      <c r="B297" s="8"/>
      <c r="C297" s="8"/>
      <c r="D297" s="9"/>
      <c r="E297" s="9"/>
      <c r="F297" s="8"/>
      <c r="G297" s="10" t="str">
        <f t="shared" si="24"/>
        <v/>
      </c>
      <c r="H297" s="10" t="str">
        <f t="shared" si="25"/>
        <v/>
      </c>
      <c r="I297" s="11" t="str">
        <f>IF(B297="Recreation",IFERROR(INDEX(RecPricing!$E$5:$E$10,MATCH(IF(C297="Mixed","External",IF(C297="Unknown","UoB",C297))&amp;"|"&amp;IF(F297&lt;=24,"&lt;=24",IF(F297&lt;=32,"&lt;=32","Above32")),RecPricing!$F$5:$F$10,0)),""),IFERROR(INDEX(Reference!$E$5:$E$12,MATCH(B297&amp;"|"&amp;IF(C297="Mixed","External",IF(C297="Unknown","UoB",C297))&amp;"|"&amp;IF(F297&lt;=32,"32","40"),Reference!$D$5:$D$12,0)),""))</f>
        <v/>
      </c>
      <c r="J297" s="11" t="str">
        <f t="shared" si="26"/>
        <v/>
      </c>
      <c r="K297" s="12"/>
      <c r="L297" s="11" t="str">
        <f t="shared" si="27"/>
        <v/>
      </c>
      <c r="M297" s="12"/>
      <c r="N297" s="12"/>
      <c r="O297" s="11" t="str">
        <f t="shared" si="28"/>
        <v/>
      </c>
      <c r="P297" s="10" t="str">
        <f t="shared" si="29"/>
        <v/>
      </c>
    </row>
    <row r="298" spans="1:16" ht="15" customHeight="1" x14ac:dyDescent="0.2">
      <c r="A298" s="8"/>
      <c r="B298" s="8"/>
      <c r="C298" s="8"/>
      <c r="D298" s="9"/>
      <c r="E298" s="9"/>
      <c r="F298" s="8"/>
      <c r="G298" s="10" t="str">
        <f t="shared" si="24"/>
        <v/>
      </c>
      <c r="H298" s="10" t="str">
        <f t="shared" si="25"/>
        <v/>
      </c>
      <c r="I298" s="11" t="str">
        <f>IF(B298="Recreation",IFERROR(INDEX(RecPricing!$E$5:$E$10,MATCH(IF(C298="Mixed","External",IF(C298="Unknown","UoB",C298))&amp;"|"&amp;IF(F298&lt;=24,"&lt;=24",IF(F298&lt;=32,"&lt;=32","Above32")),RecPricing!$F$5:$F$10,0)),""),IFERROR(INDEX(Reference!$E$5:$E$12,MATCH(B298&amp;"|"&amp;IF(C298="Mixed","External",IF(C298="Unknown","UoB",C298))&amp;"|"&amp;IF(F298&lt;=32,"32","40"),Reference!$D$5:$D$12,0)),""))</f>
        <v/>
      </c>
      <c r="J298" s="11" t="str">
        <f t="shared" si="26"/>
        <v/>
      </c>
      <c r="K298" s="12"/>
      <c r="L298" s="11" t="str">
        <f t="shared" si="27"/>
        <v/>
      </c>
      <c r="M298" s="12"/>
      <c r="N298" s="12"/>
      <c r="O298" s="11" t="str">
        <f t="shared" si="28"/>
        <v/>
      </c>
      <c r="P298" s="10" t="str">
        <f t="shared" si="29"/>
        <v/>
      </c>
    </row>
    <row r="299" spans="1:16" ht="15" customHeight="1" x14ac:dyDescent="0.2">
      <c r="A299" s="8"/>
      <c r="B299" s="8"/>
      <c r="C299" s="8"/>
      <c r="D299" s="9"/>
      <c r="E299" s="9"/>
      <c r="F299" s="8"/>
      <c r="G299" s="10" t="str">
        <f t="shared" si="24"/>
        <v/>
      </c>
      <c r="H299" s="10" t="str">
        <f t="shared" si="25"/>
        <v/>
      </c>
      <c r="I299" s="11" t="str">
        <f>IF(B299="Recreation",IFERROR(INDEX(RecPricing!$E$5:$E$10,MATCH(IF(C299="Mixed","External",IF(C299="Unknown","UoB",C299))&amp;"|"&amp;IF(F299&lt;=24,"&lt;=24",IF(F299&lt;=32,"&lt;=32","Above32")),RecPricing!$F$5:$F$10,0)),""),IFERROR(INDEX(Reference!$E$5:$E$12,MATCH(B299&amp;"|"&amp;IF(C299="Mixed","External",IF(C299="Unknown","UoB",C299))&amp;"|"&amp;IF(F299&lt;=32,"32","40"),Reference!$D$5:$D$12,0)),""))</f>
        <v/>
      </c>
      <c r="J299" s="11" t="str">
        <f t="shared" si="26"/>
        <v/>
      </c>
      <c r="K299" s="12"/>
      <c r="L299" s="11" t="str">
        <f t="shared" si="27"/>
        <v/>
      </c>
      <c r="M299" s="12"/>
      <c r="N299" s="12"/>
      <c r="O299" s="11" t="str">
        <f t="shared" si="28"/>
        <v/>
      </c>
      <c r="P299" s="10" t="str">
        <f t="shared" si="29"/>
        <v/>
      </c>
    </row>
    <row r="300" spans="1:16" ht="15" customHeight="1" x14ac:dyDescent="0.2">
      <c r="A300" s="8"/>
      <c r="B300" s="8"/>
      <c r="C300" s="8"/>
      <c r="D300" s="9"/>
      <c r="E300" s="9"/>
      <c r="F300" s="8"/>
      <c r="G300" s="10" t="str">
        <f t="shared" si="24"/>
        <v/>
      </c>
      <c r="H300" s="10" t="str">
        <f t="shared" si="25"/>
        <v/>
      </c>
      <c r="I300" s="11" t="str">
        <f>IF(B300="Recreation",IFERROR(INDEX(RecPricing!$E$5:$E$10,MATCH(IF(C300="Mixed","External",IF(C300="Unknown","UoB",C300))&amp;"|"&amp;IF(F300&lt;=24,"&lt;=24",IF(F300&lt;=32,"&lt;=32","Above32")),RecPricing!$F$5:$F$10,0)),""),IFERROR(INDEX(Reference!$E$5:$E$12,MATCH(B300&amp;"|"&amp;IF(C300="Mixed","External",IF(C300="Unknown","UoB",C300))&amp;"|"&amp;IF(F300&lt;=32,"32","40"),Reference!$D$5:$D$12,0)),""))</f>
        <v/>
      </c>
      <c r="J300" s="11" t="str">
        <f t="shared" si="26"/>
        <v/>
      </c>
      <c r="K300" s="12"/>
      <c r="L300" s="11" t="str">
        <f t="shared" si="27"/>
        <v/>
      </c>
      <c r="M300" s="12"/>
      <c r="N300" s="12"/>
      <c r="O300" s="11" t="str">
        <f t="shared" si="28"/>
        <v/>
      </c>
      <c r="P300" s="10" t="str">
        <f t="shared" si="29"/>
        <v/>
      </c>
    </row>
    <row r="301" spans="1:16" ht="15" customHeight="1" x14ac:dyDescent="0.2">
      <c r="A301" s="8"/>
      <c r="B301" s="8"/>
      <c r="C301" s="8"/>
      <c r="D301" s="9"/>
      <c r="E301" s="9"/>
      <c r="F301" s="8"/>
      <c r="G301" s="10" t="str">
        <f t="shared" si="24"/>
        <v/>
      </c>
      <c r="H301" s="10" t="str">
        <f t="shared" si="25"/>
        <v/>
      </c>
      <c r="I301" s="11" t="str">
        <f>IF(B301="Recreation",IFERROR(INDEX(RecPricing!$E$5:$E$10,MATCH(IF(C301="Mixed","External",IF(C301="Unknown","UoB",C301))&amp;"|"&amp;IF(F301&lt;=24,"&lt;=24",IF(F301&lt;=32,"&lt;=32","Above32")),RecPricing!$F$5:$F$10,0)),""),IFERROR(INDEX(Reference!$E$5:$E$12,MATCH(B301&amp;"|"&amp;IF(C301="Mixed","External",IF(C301="Unknown","UoB",C301))&amp;"|"&amp;IF(F301&lt;=32,"32","40"),Reference!$D$5:$D$12,0)),""))</f>
        <v/>
      </c>
      <c r="J301" s="11" t="str">
        <f t="shared" si="26"/>
        <v/>
      </c>
      <c r="K301" s="12"/>
      <c r="L301" s="11" t="str">
        <f t="shared" si="27"/>
        <v/>
      </c>
      <c r="M301" s="12"/>
      <c r="N301" s="12"/>
      <c r="O301" s="11" t="str">
        <f t="shared" si="28"/>
        <v/>
      </c>
      <c r="P301" s="10" t="str">
        <f t="shared" si="29"/>
        <v/>
      </c>
    </row>
    <row r="302" spans="1:16" ht="15" customHeight="1" x14ac:dyDescent="0.2">
      <c r="A302" s="8"/>
      <c r="B302" s="8"/>
      <c r="C302" s="8"/>
      <c r="D302" s="9"/>
      <c r="E302" s="9"/>
      <c r="F302" s="8"/>
      <c r="G302" s="10" t="str">
        <f t="shared" si="24"/>
        <v/>
      </c>
      <c r="H302" s="10" t="str">
        <f t="shared" si="25"/>
        <v/>
      </c>
      <c r="I302" s="11" t="str">
        <f>IF(B302="Recreation",IFERROR(INDEX(RecPricing!$E$5:$E$10,MATCH(IF(C302="Mixed","External",IF(C302="Unknown","UoB",C302))&amp;"|"&amp;IF(F302&lt;=24,"&lt;=24",IF(F302&lt;=32,"&lt;=32","Above32")),RecPricing!$F$5:$F$10,0)),""),IFERROR(INDEX(Reference!$E$5:$E$12,MATCH(B302&amp;"|"&amp;IF(C302="Mixed","External",IF(C302="Unknown","UoB",C302))&amp;"|"&amp;IF(F302&lt;=32,"32","40"),Reference!$D$5:$D$12,0)),""))</f>
        <v/>
      </c>
      <c r="J302" s="11" t="str">
        <f t="shared" si="26"/>
        <v/>
      </c>
      <c r="K302" s="12"/>
      <c r="L302" s="11" t="str">
        <f t="shared" si="27"/>
        <v/>
      </c>
      <c r="M302" s="12"/>
      <c r="N302" s="12"/>
      <c r="O302" s="11" t="str">
        <f t="shared" si="28"/>
        <v/>
      </c>
      <c r="P302" s="10" t="str">
        <f t="shared" si="29"/>
        <v/>
      </c>
    </row>
    <row r="303" spans="1:16" ht="15" customHeight="1" x14ac:dyDescent="0.2">
      <c r="A303" s="8"/>
      <c r="B303" s="8"/>
      <c r="C303" s="8"/>
      <c r="D303" s="9"/>
      <c r="E303" s="9"/>
      <c r="F303" s="8"/>
      <c r="G303" s="10" t="str">
        <f t="shared" si="24"/>
        <v/>
      </c>
      <c r="H303" s="10" t="str">
        <f t="shared" si="25"/>
        <v/>
      </c>
      <c r="I303" s="11" t="str">
        <f>IF(B303="Recreation",IFERROR(INDEX(RecPricing!$E$5:$E$10,MATCH(IF(C303="Mixed","External",IF(C303="Unknown","UoB",C303))&amp;"|"&amp;IF(F303&lt;=24,"&lt;=24",IF(F303&lt;=32,"&lt;=32","Above32")),RecPricing!$F$5:$F$10,0)),""),IFERROR(INDEX(Reference!$E$5:$E$12,MATCH(B303&amp;"|"&amp;IF(C303="Mixed","External",IF(C303="Unknown","UoB",C303))&amp;"|"&amp;IF(F303&lt;=32,"32","40"),Reference!$D$5:$D$12,0)),""))</f>
        <v/>
      </c>
      <c r="J303" s="11" t="str">
        <f t="shared" si="26"/>
        <v/>
      </c>
      <c r="K303" s="12"/>
      <c r="L303" s="11" t="str">
        <f t="shared" si="27"/>
        <v/>
      </c>
      <c r="M303" s="12"/>
      <c r="N303" s="12"/>
      <c r="O303" s="11" t="str">
        <f t="shared" si="28"/>
        <v/>
      </c>
      <c r="P303" s="10" t="str">
        <f t="shared" si="29"/>
        <v/>
      </c>
    </row>
    <row r="304" spans="1:16" ht="15" customHeight="1" x14ac:dyDescent="0.2">
      <c r="A304" s="8"/>
      <c r="B304" s="8"/>
      <c r="C304" s="8"/>
      <c r="D304" s="9"/>
      <c r="E304" s="9"/>
      <c r="F304" s="8"/>
      <c r="G304" s="10" t="str">
        <f t="shared" si="24"/>
        <v/>
      </c>
      <c r="H304" s="10" t="str">
        <f t="shared" si="25"/>
        <v/>
      </c>
      <c r="I304" s="11" t="str">
        <f>IF(B304="Recreation",IFERROR(INDEX(RecPricing!$E$5:$E$10,MATCH(IF(C304="Mixed","External",IF(C304="Unknown","UoB",C304))&amp;"|"&amp;IF(F304&lt;=24,"&lt;=24",IF(F304&lt;=32,"&lt;=32","Above32")),RecPricing!$F$5:$F$10,0)),""),IFERROR(INDEX(Reference!$E$5:$E$12,MATCH(B304&amp;"|"&amp;IF(C304="Mixed","External",IF(C304="Unknown","UoB",C304))&amp;"|"&amp;IF(F304&lt;=32,"32","40"),Reference!$D$5:$D$12,0)),""))</f>
        <v/>
      </c>
      <c r="J304" s="11" t="str">
        <f t="shared" si="26"/>
        <v/>
      </c>
      <c r="K304" s="12"/>
      <c r="L304" s="11" t="str">
        <f t="shared" si="27"/>
        <v/>
      </c>
      <c r="M304" s="12"/>
      <c r="N304" s="12"/>
      <c r="O304" s="11" t="str">
        <f t="shared" si="28"/>
        <v/>
      </c>
      <c r="P304" s="10" t="str">
        <f t="shared" si="29"/>
        <v/>
      </c>
    </row>
    <row r="305" spans="1:16" ht="15" customHeight="1" x14ac:dyDescent="0.2">
      <c r="A305" s="8"/>
      <c r="B305" s="8"/>
      <c r="C305" s="8"/>
      <c r="D305" s="9"/>
      <c r="E305" s="9"/>
      <c r="F305" s="8"/>
      <c r="G305" s="10" t="str">
        <f t="shared" si="24"/>
        <v/>
      </c>
      <c r="H305" s="10" t="str">
        <f t="shared" si="25"/>
        <v/>
      </c>
      <c r="I305" s="11" t="str">
        <f>IF(B305="Recreation",IFERROR(INDEX(RecPricing!$E$5:$E$10,MATCH(IF(C305="Mixed","External",IF(C305="Unknown","UoB",C305))&amp;"|"&amp;IF(F305&lt;=24,"&lt;=24",IF(F305&lt;=32,"&lt;=32","Above32")),RecPricing!$F$5:$F$10,0)),""),IFERROR(INDEX(Reference!$E$5:$E$12,MATCH(B305&amp;"|"&amp;IF(C305="Mixed","External",IF(C305="Unknown","UoB",C305))&amp;"|"&amp;IF(F305&lt;=32,"32","40"),Reference!$D$5:$D$12,0)),""))</f>
        <v/>
      </c>
      <c r="J305" s="11" t="str">
        <f t="shared" si="26"/>
        <v/>
      </c>
      <c r="K305" s="12"/>
      <c r="L305" s="11" t="str">
        <f t="shared" si="27"/>
        <v/>
      </c>
      <c r="M305" s="12"/>
      <c r="N305" s="12"/>
      <c r="O305" s="11" t="str">
        <f t="shared" si="28"/>
        <v/>
      </c>
      <c r="P305" s="10" t="str">
        <f t="shared" si="29"/>
        <v/>
      </c>
    </row>
    <row r="306" spans="1:16" ht="15" customHeight="1" x14ac:dyDescent="0.2">
      <c r="A306" s="8"/>
      <c r="B306" s="8"/>
      <c r="C306" s="8"/>
      <c r="D306" s="9"/>
      <c r="E306" s="9"/>
      <c r="F306" s="8"/>
      <c r="G306" s="10" t="str">
        <f t="shared" si="24"/>
        <v/>
      </c>
      <c r="H306" s="10" t="str">
        <f t="shared" si="25"/>
        <v/>
      </c>
      <c r="I306" s="11" t="str">
        <f>IF(B306="Recreation",IFERROR(INDEX(RecPricing!$E$5:$E$10,MATCH(IF(C306="Mixed","External",IF(C306="Unknown","UoB",C306))&amp;"|"&amp;IF(F306&lt;=24,"&lt;=24",IF(F306&lt;=32,"&lt;=32","Above32")),RecPricing!$F$5:$F$10,0)),""),IFERROR(INDEX(Reference!$E$5:$E$12,MATCH(B306&amp;"|"&amp;IF(C306="Mixed","External",IF(C306="Unknown","UoB",C306))&amp;"|"&amp;IF(F306&lt;=32,"32","40"),Reference!$D$5:$D$12,0)),""))</f>
        <v/>
      </c>
      <c r="J306" s="11" t="str">
        <f t="shared" si="26"/>
        <v/>
      </c>
      <c r="K306" s="12"/>
      <c r="L306" s="11" t="str">
        <f t="shared" si="27"/>
        <v/>
      </c>
      <c r="M306" s="12"/>
      <c r="N306" s="12"/>
      <c r="O306" s="11" t="str">
        <f t="shared" si="28"/>
        <v/>
      </c>
      <c r="P306" s="10" t="str">
        <f t="shared" si="29"/>
        <v/>
      </c>
    </row>
    <row r="307" spans="1:16" ht="15" customHeight="1" x14ac:dyDescent="0.2">
      <c r="A307" s="8"/>
      <c r="B307" s="8"/>
      <c r="C307" s="8"/>
      <c r="D307" s="9"/>
      <c r="E307" s="9"/>
      <c r="F307" s="8"/>
      <c r="G307" s="10" t="str">
        <f t="shared" si="24"/>
        <v/>
      </c>
      <c r="H307" s="10" t="str">
        <f t="shared" si="25"/>
        <v/>
      </c>
      <c r="I307" s="11" t="str">
        <f>IF(B307="Recreation",IFERROR(INDEX(RecPricing!$E$5:$E$10,MATCH(IF(C307="Mixed","External",IF(C307="Unknown","UoB",C307))&amp;"|"&amp;IF(F307&lt;=24,"&lt;=24",IF(F307&lt;=32,"&lt;=32","Above32")),RecPricing!$F$5:$F$10,0)),""),IFERROR(INDEX(Reference!$E$5:$E$12,MATCH(B307&amp;"|"&amp;IF(C307="Mixed","External",IF(C307="Unknown","UoB",C307))&amp;"|"&amp;IF(F307&lt;=32,"32","40"),Reference!$D$5:$D$12,0)),""))</f>
        <v/>
      </c>
      <c r="J307" s="11" t="str">
        <f t="shared" si="26"/>
        <v/>
      </c>
      <c r="K307" s="12"/>
      <c r="L307" s="11" t="str">
        <f t="shared" si="27"/>
        <v/>
      </c>
      <c r="M307" s="12"/>
      <c r="N307" s="12"/>
      <c r="O307" s="11" t="str">
        <f t="shared" si="28"/>
        <v/>
      </c>
      <c r="P307" s="10" t="str">
        <f t="shared" si="29"/>
        <v/>
      </c>
    </row>
    <row r="308" spans="1:16" ht="15" customHeight="1" x14ac:dyDescent="0.2">
      <c r="A308" s="8"/>
      <c r="B308" s="8"/>
      <c r="C308" s="8"/>
      <c r="D308" s="9"/>
      <c r="E308" s="9"/>
      <c r="F308" s="8"/>
      <c r="G308" s="10" t="str">
        <f t="shared" si="24"/>
        <v/>
      </c>
      <c r="H308" s="10" t="str">
        <f t="shared" si="25"/>
        <v/>
      </c>
      <c r="I308" s="11" t="str">
        <f>IF(B308="Recreation",IFERROR(INDEX(RecPricing!$E$5:$E$10,MATCH(IF(C308="Mixed","External",IF(C308="Unknown","UoB",C308))&amp;"|"&amp;IF(F308&lt;=24,"&lt;=24",IF(F308&lt;=32,"&lt;=32","Above32")),RecPricing!$F$5:$F$10,0)),""),IFERROR(INDEX(Reference!$E$5:$E$12,MATCH(B308&amp;"|"&amp;IF(C308="Mixed","External",IF(C308="Unknown","UoB",C308))&amp;"|"&amp;IF(F308&lt;=32,"32","40"),Reference!$D$5:$D$12,0)),""))</f>
        <v/>
      </c>
      <c r="J308" s="11" t="str">
        <f t="shared" si="26"/>
        <v/>
      </c>
      <c r="K308" s="12"/>
      <c r="L308" s="11" t="str">
        <f t="shared" si="27"/>
        <v/>
      </c>
      <c r="M308" s="12"/>
      <c r="N308" s="12"/>
      <c r="O308" s="11" t="str">
        <f t="shared" si="28"/>
        <v/>
      </c>
      <c r="P308" s="10" t="str">
        <f t="shared" si="29"/>
        <v/>
      </c>
    </row>
    <row r="309" spans="1:16" ht="15" customHeight="1" x14ac:dyDescent="0.2">
      <c r="A309" s="8"/>
      <c r="B309" s="8"/>
      <c r="C309" s="8"/>
      <c r="D309" s="9"/>
      <c r="E309" s="9"/>
      <c r="F309" s="8"/>
      <c r="G309" s="10" t="str">
        <f t="shared" si="24"/>
        <v/>
      </c>
      <c r="H309" s="10" t="str">
        <f t="shared" si="25"/>
        <v/>
      </c>
      <c r="I309" s="11" t="str">
        <f>IF(B309="Recreation",IFERROR(INDEX(RecPricing!$E$5:$E$10,MATCH(IF(C309="Mixed","External",IF(C309="Unknown","UoB",C309))&amp;"|"&amp;IF(F309&lt;=24,"&lt;=24",IF(F309&lt;=32,"&lt;=32","Above32")),RecPricing!$F$5:$F$10,0)),""),IFERROR(INDEX(Reference!$E$5:$E$12,MATCH(B309&amp;"|"&amp;IF(C309="Mixed","External",IF(C309="Unknown","UoB",C309))&amp;"|"&amp;IF(F309&lt;=32,"32","40"),Reference!$D$5:$D$12,0)),""))</f>
        <v/>
      </c>
      <c r="J309" s="11" t="str">
        <f t="shared" si="26"/>
        <v/>
      </c>
      <c r="K309" s="12"/>
      <c r="L309" s="11" t="str">
        <f t="shared" si="27"/>
        <v/>
      </c>
      <c r="M309" s="12"/>
      <c r="N309" s="12"/>
      <c r="O309" s="11" t="str">
        <f t="shared" si="28"/>
        <v/>
      </c>
      <c r="P309" s="10" t="str">
        <f t="shared" si="29"/>
        <v/>
      </c>
    </row>
    <row r="310" spans="1:16" ht="15" customHeight="1" x14ac:dyDescent="0.2">
      <c r="A310" s="8"/>
      <c r="B310" s="8"/>
      <c r="C310" s="8"/>
      <c r="D310" s="9"/>
      <c r="E310" s="9"/>
      <c r="F310" s="8"/>
      <c r="G310" s="10" t="str">
        <f t="shared" si="24"/>
        <v/>
      </c>
      <c r="H310" s="10" t="str">
        <f t="shared" si="25"/>
        <v/>
      </c>
      <c r="I310" s="11" t="str">
        <f>IF(B310="Recreation",IFERROR(INDEX(RecPricing!$E$5:$E$10,MATCH(IF(C310="Mixed","External",IF(C310="Unknown","UoB",C310))&amp;"|"&amp;IF(F310&lt;=24,"&lt;=24",IF(F310&lt;=32,"&lt;=32","Above32")),RecPricing!$F$5:$F$10,0)),""),IFERROR(INDEX(Reference!$E$5:$E$12,MATCH(B310&amp;"|"&amp;IF(C310="Mixed","External",IF(C310="Unknown","UoB",C310))&amp;"|"&amp;IF(F310&lt;=32,"32","40"),Reference!$D$5:$D$12,0)),""))</f>
        <v/>
      </c>
      <c r="J310" s="11" t="str">
        <f t="shared" si="26"/>
        <v/>
      </c>
      <c r="K310" s="12"/>
      <c r="L310" s="11" t="str">
        <f t="shared" si="27"/>
        <v/>
      </c>
      <c r="M310" s="12"/>
      <c r="N310" s="12"/>
      <c r="O310" s="11" t="str">
        <f t="shared" si="28"/>
        <v/>
      </c>
      <c r="P310" s="10" t="str">
        <f t="shared" si="29"/>
        <v/>
      </c>
    </row>
    <row r="311" spans="1:16" ht="15" customHeight="1" x14ac:dyDescent="0.2">
      <c r="A311" s="8"/>
      <c r="B311" s="8"/>
      <c r="C311" s="8"/>
      <c r="D311" s="9"/>
      <c r="E311" s="9"/>
      <c r="F311" s="8"/>
      <c r="G311" s="10" t="str">
        <f t="shared" si="24"/>
        <v/>
      </c>
      <c r="H311" s="10" t="str">
        <f t="shared" si="25"/>
        <v/>
      </c>
      <c r="I311" s="11" t="str">
        <f>IF(B311="Recreation",IFERROR(INDEX(RecPricing!$E$5:$E$10,MATCH(IF(C311="Mixed","External",IF(C311="Unknown","UoB",C311))&amp;"|"&amp;IF(F311&lt;=24,"&lt;=24",IF(F311&lt;=32,"&lt;=32","Above32")),RecPricing!$F$5:$F$10,0)),""),IFERROR(INDEX(Reference!$E$5:$E$12,MATCH(B311&amp;"|"&amp;IF(C311="Mixed","External",IF(C311="Unknown","UoB",C311))&amp;"|"&amp;IF(F311&lt;=32,"32","40"),Reference!$D$5:$D$12,0)),""))</f>
        <v/>
      </c>
      <c r="J311" s="11" t="str">
        <f t="shared" si="26"/>
        <v/>
      </c>
      <c r="K311" s="12"/>
      <c r="L311" s="11" t="str">
        <f t="shared" si="27"/>
        <v/>
      </c>
      <c r="M311" s="12"/>
      <c r="N311" s="12"/>
      <c r="O311" s="11" t="str">
        <f t="shared" si="28"/>
        <v/>
      </c>
      <c r="P311" s="10" t="str">
        <f t="shared" si="29"/>
        <v/>
      </c>
    </row>
    <row r="312" spans="1:16" ht="15" customHeight="1" x14ac:dyDescent="0.2">
      <c r="A312" s="8"/>
      <c r="B312" s="8"/>
      <c r="C312" s="8"/>
      <c r="D312" s="9"/>
      <c r="E312" s="9"/>
      <c r="F312" s="8"/>
      <c r="G312" s="10" t="str">
        <f t="shared" si="24"/>
        <v/>
      </c>
      <c r="H312" s="10" t="str">
        <f t="shared" si="25"/>
        <v/>
      </c>
      <c r="I312" s="11" t="str">
        <f>IF(B312="Recreation",IFERROR(INDEX(RecPricing!$E$5:$E$10,MATCH(IF(C312="Mixed","External",IF(C312="Unknown","UoB",C312))&amp;"|"&amp;IF(F312&lt;=24,"&lt;=24",IF(F312&lt;=32,"&lt;=32","Above32")),RecPricing!$F$5:$F$10,0)),""),IFERROR(INDEX(Reference!$E$5:$E$12,MATCH(B312&amp;"|"&amp;IF(C312="Mixed","External",IF(C312="Unknown","UoB",C312))&amp;"|"&amp;IF(F312&lt;=32,"32","40"),Reference!$D$5:$D$12,0)),""))</f>
        <v/>
      </c>
      <c r="J312" s="11" t="str">
        <f t="shared" si="26"/>
        <v/>
      </c>
      <c r="K312" s="12"/>
      <c r="L312" s="11" t="str">
        <f t="shared" si="27"/>
        <v/>
      </c>
      <c r="M312" s="12"/>
      <c r="N312" s="12"/>
      <c r="O312" s="11" t="str">
        <f t="shared" si="28"/>
        <v/>
      </c>
      <c r="P312" s="10" t="str">
        <f t="shared" si="29"/>
        <v/>
      </c>
    </row>
    <row r="313" spans="1:16" ht="15" customHeight="1" x14ac:dyDescent="0.2">
      <c r="A313" s="8"/>
      <c r="B313" s="8"/>
      <c r="C313" s="8"/>
      <c r="D313" s="9"/>
      <c r="E313" s="9"/>
      <c r="F313" s="8"/>
      <c r="G313" s="10" t="str">
        <f t="shared" si="24"/>
        <v/>
      </c>
      <c r="H313" s="10" t="str">
        <f t="shared" si="25"/>
        <v/>
      </c>
      <c r="I313" s="11" t="str">
        <f>IF(B313="Recreation",IFERROR(INDEX(RecPricing!$E$5:$E$10,MATCH(IF(C313="Mixed","External",IF(C313="Unknown","UoB",C313))&amp;"|"&amp;IF(F313&lt;=24,"&lt;=24",IF(F313&lt;=32,"&lt;=32","Above32")),RecPricing!$F$5:$F$10,0)),""),IFERROR(INDEX(Reference!$E$5:$E$12,MATCH(B313&amp;"|"&amp;IF(C313="Mixed","External",IF(C313="Unknown","UoB",C313))&amp;"|"&amp;IF(F313&lt;=32,"32","40"),Reference!$D$5:$D$12,0)),""))</f>
        <v/>
      </c>
      <c r="J313" s="11" t="str">
        <f t="shared" si="26"/>
        <v/>
      </c>
      <c r="K313" s="12"/>
      <c r="L313" s="11" t="str">
        <f t="shared" si="27"/>
        <v/>
      </c>
      <c r="M313" s="12"/>
      <c r="N313" s="12"/>
      <c r="O313" s="11" t="str">
        <f t="shared" si="28"/>
        <v/>
      </c>
      <c r="P313" s="10" t="str">
        <f t="shared" si="29"/>
        <v/>
      </c>
    </row>
    <row r="314" spans="1:16" ht="15" customHeight="1" x14ac:dyDescent="0.2">
      <c r="A314" s="8"/>
      <c r="B314" s="8"/>
      <c r="C314" s="8"/>
      <c r="D314" s="9"/>
      <c r="E314" s="9"/>
      <c r="F314" s="8"/>
      <c r="G314" s="10" t="str">
        <f t="shared" si="24"/>
        <v/>
      </c>
      <c r="H314" s="10" t="str">
        <f t="shared" si="25"/>
        <v/>
      </c>
      <c r="I314" s="11" t="str">
        <f>IF(B314="Recreation",IFERROR(INDEX(RecPricing!$E$5:$E$10,MATCH(IF(C314="Mixed","External",IF(C314="Unknown","UoB",C314))&amp;"|"&amp;IF(F314&lt;=24,"&lt;=24",IF(F314&lt;=32,"&lt;=32","Above32")),RecPricing!$F$5:$F$10,0)),""),IFERROR(INDEX(Reference!$E$5:$E$12,MATCH(B314&amp;"|"&amp;IF(C314="Mixed","External",IF(C314="Unknown","UoB",C314))&amp;"|"&amp;IF(F314&lt;=32,"32","40"),Reference!$D$5:$D$12,0)),""))</f>
        <v/>
      </c>
      <c r="J314" s="11" t="str">
        <f t="shared" si="26"/>
        <v/>
      </c>
      <c r="K314" s="12"/>
      <c r="L314" s="11" t="str">
        <f t="shared" si="27"/>
        <v/>
      </c>
      <c r="M314" s="12"/>
      <c r="N314" s="12"/>
      <c r="O314" s="11" t="str">
        <f t="shared" si="28"/>
        <v/>
      </c>
      <c r="P314" s="10" t="str">
        <f t="shared" si="29"/>
        <v/>
      </c>
    </row>
    <row r="315" spans="1:16" ht="15" customHeight="1" x14ac:dyDescent="0.2">
      <c r="A315" s="8"/>
      <c r="B315" s="8"/>
      <c r="C315" s="8"/>
      <c r="D315" s="9"/>
      <c r="E315" s="9"/>
      <c r="F315" s="8"/>
      <c r="G315" s="10" t="str">
        <f t="shared" si="24"/>
        <v/>
      </c>
      <c r="H315" s="10" t="str">
        <f t="shared" si="25"/>
        <v/>
      </c>
      <c r="I315" s="11" t="str">
        <f>IF(B315="Recreation",IFERROR(INDEX(RecPricing!$E$5:$E$10,MATCH(IF(C315="Mixed","External",IF(C315="Unknown","UoB",C315))&amp;"|"&amp;IF(F315&lt;=24,"&lt;=24",IF(F315&lt;=32,"&lt;=32","Above32")),RecPricing!$F$5:$F$10,0)),""),IFERROR(INDEX(Reference!$E$5:$E$12,MATCH(B315&amp;"|"&amp;IF(C315="Mixed","External",IF(C315="Unknown","UoB",C315))&amp;"|"&amp;IF(F315&lt;=32,"32","40"),Reference!$D$5:$D$12,0)),""))</f>
        <v/>
      </c>
      <c r="J315" s="11" t="str">
        <f t="shared" si="26"/>
        <v/>
      </c>
      <c r="K315" s="12"/>
      <c r="L315" s="11" t="str">
        <f t="shared" si="27"/>
        <v/>
      </c>
      <c r="M315" s="12"/>
      <c r="N315" s="12"/>
      <c r="O315" s="11" t="str">
        <f t="shared" si="28"/>
        <v/>
      </c>
      <c r="P315" s="10" t="str">
        <f t="shared" si="29"/>
        <v/>
      </c>
    </row>
    <row r="316" spans="1:16" ht="15" customHeight="1" x14ac:dyDescent="0.2">
      <c r="A316" s="8"/>
      <c r="B316" s="8"/>
      <c r="C316" s="8"/>
      <c r="D316" s="9"/>
      <c r="E316" s="9"/>
      <c r="F316" s="8"/>
      <c r="G316" s="10" t="str">
        <f t="shared" si="24"/>
        <v/>
      </c>
      <c r="H316" s="10" t="str">
        <f t="shared" si="25"/>
        <v/>
      </c>
      <c r="I316" s="11" t="str">
        <f>IF(B316="Recreation",IFERROR(INDEX(RecPricing!$E$5:$E$10,MATCH(IF(C316="Mixed","External",IF(C316="Unknown","UoB",C316))&amp;"|"&amp;IF(F316&lt;=24,"&lt;=24",IF(F316&lt;=32,"&lt;=32","Above32")),RecPricing!$F$5:$F$10,0)),""),IFERROR(INDEX(Reference!$E$5:$E$12,MATCH(B316&amp;"|"&amp;IF(C316="Mixed","External",IF(C316="Unknown","UoB",C316))&amp;"|"&amp;IF(F316&lt;=32,"32","40"),Reference!$D$5:$D$12,0)),""))</f>
        <v/>
      </c>
      <c r="J316" s="11" t="str">
        <f t="shared" si="26"/>
        <v/>
      </c>
      <c r="K316" s="12"/>
      <c r="L316" s="11" t="str">
        <f t="shared" si="27"/>
        <v/>
      </c>
      <c r="M316" s="12"/>
      <c r="N316" s="12"/>
      <c r="O316" s="11" t="str">
        <f t="shared" si="28"/>
        <v/>
      </c>
      <c r="P316" s="10" t="str">
        <f t="shared" si="29"/>
        <v/>
      </c>
    </row>
    <row r="317" spans="1:16" ht="15" customHeight="1" x14ac:dyDescent="0.2">
      <c r="A317" s="8"/>
      <c r="B317" s="8"/>
      <c r="C317" s="8"/>
      <c r="D317" s="9"/>
      <c r="E317" s="9"/>
      <c r="F317" s="8"/>
      <c r="G317" s="10" t="str">
        <f t="shared" si="24"/>
        <v/>
      </c>
      <c r="H317" s="10" t="str">
        <f t="shared" si="25"/>
        <v/>
      </c>
      <c r="I317" s="11" t="str">
        <f>IF(B317="Recreation",IFERROR(INDEX(RecPricing!$E$5:$E$10,MATCH(IF(C317="Mixed","External",IF(C317="Unknown","UoB",C317))&amp;"|"&amp;IF(F317&lt;=24,"&lt;=24",IF(F317&lt;=32,"&lt;=32","Above32")),RecPricing!$F$5:$F$10,0)),""),IFERROR(INDEX(Reference!$E$5:$E$12,MATCH(B317&amp;"|"&amp;IF(C317="Mixed","External",IF(C317="Unknown","UoB",C317))&amp;"|"&amp;IF(F317&lt;=32,"32","40"),Reference!$D$5:$D$12,0)),""))</f>
        <v/>
      </c>
      <c r="J317" s="11" t="str">
        <f t="shared" si="26"/>
        <v/>
      </c>
      <c r="K317" s="12"/>
      <c r="L317" s="11" t="str">
        <f t="shared" si="27"/>
        <v/>
      </c>
      <c r="M317" s="12"/>
      <c r="N317" s="12"/>
      <c r="O317" s="11" t="str">
        <f t="shared" si="28"/>
        <v/>
      </c>
      <c r="P317" s="10" t="str">
        <f t="shared" si="29"/>
        <v/>
      </c>
    </row>
    <row r="318" spans="1:16" ht="15" customHeight="1" x14ac:dyDescent="0.2">
      <c r="A318" s="8"/>
      <c r="B318" s="8"/>
      <c r="C318" s="8"/>
      <c r="D318" s="9"/>
      <c r="E318" s="9"/>
      <c r="F318" s="8"/>
      <c r="G318" s="10" t="str">
        <f t="shared" si="24"/>
        <v/>
      </c>
      <c r="H318" s="10" t="str">
        <f t="shared" si="25"/>
        <v/>
      </c>
      <c r="I318" s="11" t="str">
        <f>IF(B318="Recreation",IFERROR(INDEX(RecPricing!$E$5:$E$10,MATCH(IF(C318="Mixed","External",IF(C318="Unknown","UoB",C318))&amp;"|"&amp;IF(F318&lt;=24,"&lt;=24",IF(F318&lt;=32,"&lt;=32","Above32")),RecPricing!$F$5:$F$10,0)),""),IFERROR(INDEX(Reference!$E$5:$E$12,MATCH(B318&amp;"|"&amp;IF(C318="Mixed","External",IF(C318="Unknown","UoB",C318))&amp;"|"&amp;IF(F318&lt;=32,"32","40"),Reference!$D$5:$D$12,0)),""))</f>
        <v/>
      </c>
      <c r="J318" s="11" t="str">
        <f t="shared" si="26"/>
        <v/>
      </c>
      <c r="K318" s="12"/>
      <c r="L318" s="11" t="str">
        <f t="shared" si="27"/>
        <v/>
      </c>
      <c r="M318" s="12"/>
      <c r="N318" s="12"/>
      <c r="O318" s="11" t="str">
        <f t="shared" si="28"/>
        <v/>
      </c>
      <c r="P318" s="10" t="str">
        <f t="shared" si="29"/>
        <v/>
      </c>
    </row>
    <row r="319" spans="1:16" ht="15" customHeight="1" x14ac:dyDescent="0.2">
      <c r="A319" s="8"/>
      <c r="B319" s="8"/>
      <c r="C319" s="8"/>
      <c r="D319" s="9"/>
      <c r="E319" s="9"/>
      <c r="F319" s="8"/>
      <c r="G319" s="10" t="str">
        <f t="shared" ref="G319:G382" si="30">IF(OR(D319="",E319=""),"",E319-D319)</f>
        <v/>
      </c>
      <c r="H319" s="10" t="str">
        <f t="shared" ref="H319:H382" si="31">IF(OR(F319="",G319=""),"",F319*G319)</f>
        <v/>
      </c>
      <c r="I319" s="11" t="str">
        <f>IF(B319="Recreation",IFERROR(INDEX(RecPricing!$E$5:$E$10,MATCH(IF(C319="Mixed","External",IF(C319="Unknown","UoB",C319))&amp;"|"&amp;IF(F319&lt;=24,"&lt;=24",IF(F319&lt;=32,"&lt;=32","Above32")),RecPricing!$F$5:$F$10,0)),""),IFERROR(INDEX(Reference!$E$5:$E$12,MATCH(B319&amp;"|"&amp;IF(C319="Mixed","External",IF(C319="Unknown","UoB",C319))&amp;"|"&amp;IF(F319&lt;=32,"32","40"),Reference!$D$5:$D$12,0)),""))</f>
        <v/>
      </c>
      <c r="J319" s="11" t="str">
        <f t="shared" ref="J319:J382" si="32">IF(I319="","",IF(B319="Recreation",IF(F319&lt;=32,I319,I319*IF(F319="",0,F319)),IF(AND(I319&lt;&gt;"",G319&lt;&gt;""),I319*G319,"")))</f>
        <v/>
      </c>
      <c r="K319" s="12"/>
      <c r="L319" s="11" t="str">
        <f t="shared" ref="L319:L382" si="33">IF(J319="","",J319-IF(K319="",0,K319))</f>
        <v/>
      </c>
      <c r="M319" s="12"/>
      <c r="N319" s="12"/>
      <c r="O319" s="11" t="str">
        <f t="shared" ref="O319:O382" si="34">IF(L319="","",L319-IF(M319="",0,M319)-IF(N319="",0,N319))</f>
        <v/>
      </c>
      <c r="P319" s="10" t="str">
        <f t="shared" ref="P319:P382" si="35">IF(D319="","",IF(MONTH(D319)&gt;=8,YEAR(D319)&amp;"-"&amp;RIGHT(YEAR(D319)+1,2),YEAR(D319)-1&amp;"-"&amp;RIGHT(YEAR(D319),2)))</f>
        <v/>
      </c>
    </row>
    <row r="320" spans="1:16" ht="15" customHeight="1" x14ac:dyDescent="0.2">
      <c r="A320" s="8"/>
      <c r="B320" s="8"/>
      <c r="C320" s="8"/>
      <c r="D320" s="9"/>
      <c r="E320" s="9"/>
      <c r="F320" s="8"/>
      <c r="G320" s="10" t="str">
        <f t="shared" si="30"/>
        <v/>
      </c>
      <c r="H320" s="10" t="str">
        <f t="shared" si="31"/>
        <v/>
      </c>
      <c r="I320" s="11" t="str">
        <f>IF(B320="Recreation",IFERROR(INDEX(RecPricing!$E$5:$E$10,MATCH(IF(C320="Mixed","External",IF(C320="Unknown","UoB",C320))&amp;"|"&amp;IF(F320&lt;=24,"&lt;=24",IF(F320&lt;=32,"&lt;=32","Above32")),RecPricing!$F$5:$F$10,0)),""),IFERROR(INDEX(Reference!$E$5:$E$12,MATCH(B320&amp;"|"&amp;IF(C320="Mixed","External",IF(C320="Unknown","UoB",C320))&amp;"|"&amp;IF(F320&lt;=32,"32","40"),Reference!$D$5:$D$12,0)),""))</f>
        <v/>
      </c>
      <c r="J320" s="11" t="str">
        <f t="shared" si="32"/>
        <v/>
      </c>
      <c r="K320" s="12"/>
      <c r="L320" s="11" t="str">
        <f t="shared" si="33"/>
        <v/>
      </c>
      <c r="M320" s="12"/>
      <c r="N320" s="12"/>
      <c r="O320" s="11" t="str">
        <f t="shared" si="34"/>
        <v/>
      </c>
      <c r="P320" s="10" t="str">
        <f t="shared" si="35"/>
        <v/>
      </c>
    </row>
    <row r="321" spans="1:16" ht="15" customHeight="1" x14ac:dyDescent="0.2">
      <c r="A321" s="8"/>
      <c r="B321" s="8"/>
      <c r="C321" s="8"/>
      <c r="D321" s="9"/>
      <c r="E321" s="9"/>
      <c r="F321" s="8"/>
      <c r="G321" s="10" t="str">
        <f t="shared" si="30"/>
        <v/>
      </c>
      <c r="H321" s="10" t="str">
        <f t="shared" si="31"/>
        <v/>
      </c>
      <c r="I321" s="11" t="str">
        <f>IF(B321="Recreation",IFERROR(INDEX(RecPricing!$E$5:$E$10,MATCH(IF(C321="Mixed","External",IF(C321="Unknown","UoB",C321))&amp;"|"&amp;IF(F321&lt;=24,"&lt;=24",IF(F321&lt;=32,"&lt;=32","Above32")),RecPricing!$F$5:$F$10,0)),""),IFERROR(INDEX(Reference!$E$5:$E$12,MATCH(B321&amp;"|"&amp;IF(C321="Mixed","External",IF(C321="Unknown","UoB",C321))&amp;"|"&amp;IF(F321&lt;=32,"32","40"),Reference!$D$5:$D$12,0)),""))</f>
        <v/>
      </c>
      <c r="J321" s="11" t="str">
        <f t="shared" si="32"/>
        <v/>
      </c>
      <c r="K321" s="12"/>
      <c r="L321" s="11" t="str">
        <f t="shared" si="33"/>
        <v/>
      </c>
      <c r="M321" s="12"/>
      <c r="N321" s="12"/>
      <c r="O321" s="11" t="str">
        <f t="shared" si="34"/>
        <v/>
      </c>
      <c r="P321" s="10" t="str">
        <f t="shared" si="35"/>
        <v/>
      </c>
    </row>
    <row r="322" spans="1:16" ht="15" customHeight="1" x14ac:dyDescent="0.2">
      <c r="A322" s="8"/>
      <c r="B322" s="8"/>
      <c r="C322" s="8"/>
      <c r="D322" s="9"/>
      <c r="E322" s="9"/>
      <c r="F322" s="8"/>
      <c r="G322" s="10" t="str">
        <f t="shared" si="30"/>
        <v/>
      </c>
      <c r="H322" s="10" t="str">
        <f t="shared" si="31"/>
        <v/>
      </c>
      <c r="I322" s="11" t="str">
        <f>IF(B322="Recreation",IFERROR(INDEX(RecPricing!$E$5:$E$10,MATCH(IF(C322="Mixed","External",IF(C322="Unknown","UoB",C322))&amp;"|"&amp;IF(F322&lt;=24,"&lt;=24",IF(F322&lt;=32,"&lt;=32","Above32")),RecPricing!$F$5:$F$10,0)),""),IFERROR(INDEX(Reference!$E$5:$E$12,MATCH(B322&amp;"|"&amp;IF(C322="Mixed","External",IF(C322="Unknown","UoB",C322))&amp;"|"&amp;IF(F322&lt;=32,"32","40"),Reference!$D$5:$D$12,0)),""))</f>
        <v/>
      </c>
      <c r="J322" s="11" t="str">
        <f t="shared" si="32"/>
        <v/>
      </c>
      <c r="K322" s="12"/>
      <c r="L322" s="11" t="str">
        <f t="shared" si="33"/>
        <v/>
      </c>
      <c r="M322" s="12"/>
      <c r="N322" s="12"/>
      <c r="O322" s="11" t="str">
        <f t="shared" si="34"/>
        <v/>
      </c>
      <c r="P322" s="10" t="str">
        <f t="shared" si="35"/>
        <v/>
      </c>
    </row>
    <row r="323" spans="1:16" ht="15" customHeight="1" x14ac:dyDescent="0.2">
      <c r="A323" s="8"/>
      <c r="B323" s="8"/>
      <c r="C323" s="8"/>
      <c r="D323" s="9"/>
      <c r="E323" s="9"/>
      <c r="F323" s="8"/>
      <c r="G323" s="10" t="str">
        <f t="shared" si="30"/>
        <v/>
      </c>
      <c r="H323" s="10" t="str">
        <f t="shared" si="31"/>
        <v/>
      </c>
      <c r="I323" s="11" t="str">
        <f>IF(B323="Recreation",IFERROR(INDEX(RecPricing!$E$5:$E$10,MATCH(IF(C323="Mixed","External",IF(C323="Unknown","UoB",C323))&amp;"|"&amp;IF(F323&lt;=24,"&lt;=24",IF(F323&lt;=32,"&lt;=32","Above32")),RecPricing!$F$5:$F$10,0)),""),IFERROR(INDEX(Reference!$E$5:$E$12,MATCH(B323&amp;"|"&amp;IF(C323="Mixed","External",IF(C323="Unknown","UoB",C323))&amp;"|"&amp;IF(F323&lt;=32,"32","40"),Reference!$D$5:$D$12,0)),""))</f>
        <v/>
      </c>
      <c r="J323" s="11" t="str">
        <f t="shared" si="32"/>
        <v/>
      </c>
      <c r="K323" s="12"/>
      <c r="L323" s="11" t="str">
        <f t="shared" si="33"/>
        <v/>
      </c>
      <c r="M323" s="12"/>
      <c r="N323" s="12"/>
      <c r="O323" s="11" t="str">
        <f t="shared" si="34"/>
        <v/>
      </c>
      <c r="P323" s="10" t="str">
        <f t="shared" si="35"/>
        <v/>
      </c>
    </row>
    <row r="324" spans="1:16" ht="15" customHeight="1" x14ac:dyDescent="0.2">
      <c r="A324" s="8"/>
      <c r="B324" s="8"/>
      <c r="C324" s="8"/>
      <c r="D324" s="9"/>
      <c r="E324" s="9"/>
      <c r="F324" s="8"/>
      <c r="G324" s="10" t="str">
        <f t="shared" si="30"/>
        <v/>
      </c>
      <c r="H324" s="10" t="str">
        <f t="shared" si="31"/>
        <v/>
      </c>
      <c r="I324" s="11" t="str">
        <f>IF(B324="Recreation",IFERROR(INDEX(RecPricing!$E$5:$E$10,MATCH(IF(C324="Mixed","External",IF(C324="Unknown","UoB",C324))&amp;"|"&amp;IF(F324&lt;=24,"&lt;=24",IF(F324&lt;=32,"&lt;=32","Above32")),RecPricing!$F$5:$F$10,0)),""),IFERROR(INDEX(Reference!$E$5:$E$12,MATCH(B324&amp;"|"&amp;IF(C324="Mixed","External",IF(C324="Unknown","UoB",C324))&amp;"|"&amp;IF(F324&lt;=32,"32","40"),Reference!$D$5:$D$12,0)),""))</f>
        <v/>
      </c>
      <c r="J324" s="11" t="str">
        <f t="shared" si="32"/>
        <v/>
      </c>
      <c r="K324" s="12"/>
      <c r="L324" s="11" t="str">
        <f t="shared" si="33"/>
        <v/>
      </c>
      <c r="M324" s="12"/>
      <c r="N324" s="12"/>
      <c r="O324" s="11" t="str">
        <f t="shared" si="34"/>
        <v/>
      </c>
      <c r="P324" s="10" t="str">
        <f t="shared" si="35"/>
        <v/>
      </c>
    </row>
    <row r="325" spans="1:16" ht="15" customHeight="1" x14ac:dyDescent="0.2">
      <c r="A325" s="8"/>
      <c r="B325" s="8"/>
      <c r="C325" s="8"/>
      <c r="D325" s="9"/>
      <c r="E325" s="9"/>
      <c r="F325" s="8"/>
      <c r="G325" s="10" t="str">
        <f t="shared" si="30"/>
        <v/>
      </c>
      <c r="H325" s="10" t="str">
        <f t="shared" si="31"/>
        <v/>
      </c>
      <c r="I325" s="11" t="str">
        <f>IF(B325="Recreation",IFERROR(INDEX(RecPricing!$E$5:$E$10,MATCH(IF(C325="Mixed","External",IF(C325="Unknown","UoB",C325))&amp;"|"&amp;IF(F325&lt;=24,"&lt;=24",IF(F325&lt;=32,"&lt;=32","Above32")),RecPricing!$F$5:$F$10,0)),""),IFERROR(INDEX(Reference!$E$5:$E$12,MATCH(B325&amp;"|"&amp;IF(C325="Mixed","External",IF(C325="Unknown","UoB",C325))&amp;"|"&amp;IF(F325&lt;=32,"32","40"),Reference!$D$5:$D$12,0)),""))</f>
        <v/>
      </c>
      <c r="J325" s="11" t="str">
        <f t="shared" si="32"/>
        <v/>
      </c>
      <c r="K325" s="12"/>
      <c r="L325" s="11" t="str">
        <f t="shared" si="33"/>
        <v/>
      </c>
      <c r="M325" s="12"/>
      <c r="N325" s="12"/>
      <c r="O325" s="11" t="str">
        <f t="shared" si="34"/>
        <v/>
      </c>
      <c r="P325" s="10" t="str">
        <f t="shared" si="35"/>
        <v/>
      </c>
    </row>
    <row r="326" spans="1:16" ht="15" customHeight="1" x14ac:dyDescent="0.2">
      <c r="A326" s="8"/>
      <c r="B326" s="8"/>
      <c r="C326" s="8"/>
      <c r="D326" s="9"/>
      <c r="E326" s="9"/>
      <c r="F326" s="8"/>
      <c r="G326" s="10" t="str">
        <f t="shared" si="30"/>
        <v/>
      </c>
      <c r="H326" s="10" t="str">
        <f t="shared" si="31"/>
        <v/>
      </c>
      <c r="I326" s="11" t="str">
        <f>IF(B326="Recreation",IFERROR(INDEX(RecPricing!$E$5:$E$10,MATCH(IF(C326="Mixed","External",IF(C326="Unknown","UoB",C326))&amp;"|"&amp;IF(F326&lt;=24,"&lt;=24",IF(F326&lt;=32,"&lt;=32","Above32")),RecPricing!$F$5:$F$10,0)),""),IFERROR(INDEX(Reference!$E$5:$E$12,MATCH(B326&amp;"|"&amp;IF(C326="Mixed","External",IF(C326="Unknown","UoB",C326))&amp;"|"&amp;IF(F326&lt;=32,"32","40"),Reference!$D$5:$D$12,0)),""))</f>
        <v/>
      </c>
      <c r="J326" s="11" t="str">
        <f t="shared" si="32"/>
        <v/>
      </c>
      <c r="K326" s="12"/>
      <c r="L326" s="11" t="str">
        <f t="shared" si="33"/>
        <v/>
      </c>
      <c r="M326" s="12"/>
      <c r="N326" s="12"/>
      <c r="O326" s="11" t="str">
        <f t="shared" si="34"/>
        <v/>
      </c>
      <c r="P326" s="10" t="str">
        <f t="shared" si="35"/>
        <v/>
      </c>
    </row>
    <row r="327" spans="1:16" ht="15" customHeight="1" x14ac:dyDescent="0.2">
      <c r="A327" s="8"/>
      <c r="B327" s="8"/>
      <c r="C327" s="8"/>
      <c r="D327" s="9"/>
      <c r="E327" s="9"/>
      <c r="F327" s="8"/>
      <c r="G327" s="10" t="str">
        <f t="shared" si="30"/>
        <v/>
      </c>
      <c r="H327" s="10" t="str">
        <f t="shared" si="31"/>
        <v/>
      </c>
      <c r="I327" s="11" t="str">
        <f>IF(B327="Recreation",IFERROR(INDEX(RecPricing!$E$5:$E$10,MATCH(IF(C327="Mixed","External",IF(C327="Unknown","UoB",C327))&amp;"|"&amp;IF(F327&lt;=24,"&lt;=24",IF(F327&lt;=32,"&lt;=32","Above32")),RecPricing!$F$5:$F$10,0)),""),IFERROR(INDEX(Reference!$E$5:$E$12,MATCH(B327&amp;"|"&amp;IF(C327="Mixed","External",IF(C327="Unknown","UoB",C327))&amp;"|"&amp;IF(F327&lt;=32,"32","40"),Reference!$D$5:$D$12,0)),""))</f>
        <v/>
      </c>
      <c r="J327" s="11" t="str">
        <f t="shared" si="32"/>
        <v/>
      </c>
      <c r="K327" s="12"/>
      <c r="L327" s="11" t="str">
        <f t="shared" si="33"/>
        <v/>
      </c>
      <c r="M327" s="12"/>
      <c r="N327" s="12"/>
      <c r="O327" s="11" t="str">
        <f t="shared" si="34"/>
        <v/>
      </c>
      <c r="P327" s="10" t="str">
        <f t="shared" si="35"/>
        <v/>
      </c>
    </row>
    <row r="328" spans="1:16" ht="15" customHeight="1" x14ac:dyDescent="0.2">
      <c r="A328" s="8"/>
      <c r="B328" s="8"/>
      <c r="C328" s="8"/>
      <c r="D328" s="9"/>
      <c r="E328" s="9"/>
      <c r="F328" s="8"/>
      <c r="G328" s="10" t="str">
        <f t="shared" si="30"/>
        <v/>
      </c>
      <c r="H328" s="10" t="str">
        <f t="shared" si="31"/>
        <v/>
      </c>
      <c r="I328" s="11" t="str">
        <f>IF(B328="Recreation",IFERROR(INDEX(RecPricing!$E$5:$E$10,MATCH(IF(C328="Mixed","External",IF(C328="Unknown","UoB",C328))&amp;"|"&amp;IF(F328&lt;=24,"&lt;=24",IF(F328&lt;=32,"&lt;=32","Above32")),RecPricing!$F$5:$F$10,0)),""),IFERROR(INDEX(Reference!$E$5:$E$12,MATCH(B328&amp;"|"&amp;IF(C328="Mixed","External",IF(C328="Unknown","UoB",C328))&amp;"|"&amp;IF(F328&lt;=32,"32","40"),Reference!$D$5:$D$12,0)),""))</f>
        <v/>
      </c>
      <c r="J328" s="11" t="str">
        <f t="shared" si="32"/>
        <v/>
      </c>
      <c r="K328" s="12"/>
      <c r="L328" s="11" t="str">
        <f t="shared" si="33"/>
        <v/>
      </c>
      <c r="M328" s="12"/>
      <c r="N328" s="12"/>
      <c r="O328" s="11" t="str">
        <f t="shared" si="34"/>
        <v/>
      </c>
      <c r="P328" s="10" t="str">
        <f t="shared" si="35"/>
        <v/>
      </c>
    </row>
    <row r="329" spans="1:16" ht="15" customHeight="1" x14ac:dyDescent="0.2">
      <c r="A329" s="8"/>
      <c r="B329" s="8"/>
      <c r="C329" s="8"/>
      <c r="D329" s="9"/>
      <c r="E329" s="9"/>
      <c r="F329" s="8"/>
      <c r="G329" s="10" t="str">
        <f t="shared" si="30"/>
        <v/>
      </c>
      <c r="H329" s="10" t="str">
        <f t="shared" si="31"/>
        <v/>
      </c>
      <c r="I329" s="11" t="str">
        <f>IF(B329="Recreation",IFERROR(INDEX(RecPricing!$E$5:$E$10,MATCH(IF(C329="Mixed","External",IF(C329="Unknown","UoB",C329))&amp;"|"&amp;IF(F329&lt;=24,"&lt;=24",IF(F329&lt;=32,"&lt;=32","Above32")),RecPricing!$F$5:$F$10,0)),""),IFERROR(INDEX(Reference!$E$5:$E$12,MATCH(B329&amp;"|"&amp;IF(C329="Mixed","External",IF(C329="Unknown","UoB",C329))&amp;"|"&amp;IF(F329&lt;=32,"32","40"),Reference!$D$5:$D$12,0)),""))</f>
        <v/>
      </c>
      <c r="J329" s="11" t="str">
        <f t="shared" si="32"/>
        <v/>
      </c>
      <c r="K329" s="12"/>
      <c r="L329" s="11" t="str">
        <f t="shared" si="33"/>
        <v/>
      </c>
      <c r="M329" s="12"/>
      <c r="N329" s="12"/>
      <c r="O329" s="11" t="str">
        <f t="shared" si="34"/>
        <v/>
      </c>
      <c r="P329" s="10" t="str">
        <f t="shared" si="35"/>
        <v/>
      </c>
    </row>
    <row r="330" spans="1:16" ht="15" customHeight="1" x14ac:dyDescent="0.2">
      <c r="A330" s="8"/>
      <c r="B330" s="8"/>
      <c r="C330" s="8"/>
      <c r="D330" s="9"/>
      <c r="E330" s="9"/>
      <c r="F330" s="8"/>
      <c r="G330" s="10" t="str">
        <f t="shared" si="30"/>
        <v/>
      </c>
      <c r="H330" s="10" t="str">
        <f t="shared" si="31"/>
        <v/>
      </c>
      <c r="I330" s="11" t="str">
        <f>IF(B330="Recreation",IFERROR(INDEX(RecPricing!$E$5:$E$10,MATCH(IF(C330="Mixed","External",IF(C330="Unknown","UoB",C330))&amp;"|"&amp;IF(F330&lt;=24,"&lt;=24",IF(F330&lt;=32,"&lt;=32","Above32")),RecPricing!$F$5:$F$10,0)),""),IFERROR(INDEX(Reference!$E$5:$E$12,MATCH(B330&amp;"|"&amp;IF(C330="Mixed","External",IF(C330="Unknown","UoB",C330))&amp;"|"&amp;IF(F330&lt;=32,"32","40"),Reference!$D$5:$D$12,0)),""))</f>
        <v/>
      </c>
      <c r="J330" s="11" t="str">
        <f t="shared" si="32"/>
        <v/>
      </c>
      <c r="K330" s="12"/>
      <c r="L330" s="11" t="str">
        <f t="shared" si="33"/>
        <v/>
      </c>
      <c r="M330" s="12"/>
      <c r="N330" s="12"/>
      <c r="O330" s="11" t="str">
        <f t="shared" si="34"/>
        <v/>
      </c>
      <c r="P330" s="10" t="str">
        <f t="shared" si="35"/>
        <v/>
      </c>
    </row>
    <row r="331" spans="1:16" ht="15" customHeight="1" x14ac:dyDescent="0.2">
      <c r="A331" s="8"/>
      <c r="B331" s="8"/>
      <c r="C331" s="8"/>
      <c r="D331" s="9"/>
      <c r="E331" s="9"/>
      <c r="F331" s="8"/>
      <c r="G331" s="10" t="str">
        <f t="shared" si="30"/>
        <v/>
      </c>
      <c r="H331" s="10" t="str">
        <f t="shared" si="31"/>
        <v/>
      </c>
      <c r="I331" s="11" t="str">
        <f>IF(B331="Recreation",IFERROR(INDEX(RecPricing!$E$5:$E$10,MATCH(IF(C331="Mixed","External",IF(C331="Unknown","UoB",C331))&amp;"|"&amp;IF(F331&lt;=24,"&lt;=24",IF(F331&lt;=32,"&lt;=32","Above32")),RecPricing!$F$5:$F$10,0)),""),IFERROR(INDEX(Reference!$E$5:$E$12,MATCH(B331&amp;"|"&amp;IF(C331="Mixed","External",IF(C331="Unknown","UoB",C331))&amp;"|"&amp;IF(F331&lt;=32,"32","40"),Reference!$D$5:$D$12,0)),""))</f>
        <v/>
      </c>
      <c r="J331" s="11" t="str">
        <f t="shared" si="32"/>
        <v/>
      </c>
      <c r="K331" s="12"/>
      <c r="L331" s="11" t="str">
        <f t="shared" si="33"/>
        <v/>
      </c>
      <c r="M331" s="12"/>
      <c r="N331" s="12"/>
      <c r="O331" s="11" t="str">
        <f t="shared" si="34"/>
        <v/>
      </c>
      <c r="P331" s="10" t="str">
        <f t="shared" si="35"/>
        <v/>
      </c>
    </row>
    <row r="332" spans="1:16" ht="15" customHeight="1" x14ac:dyDescent="0.2">
      <c r="A332" s="8"/>
      <c r="B332" s="8"/>
      <c r="C332" s="8"/>
      <c r="D332" s="9"/>
      <c r="E332" s="9"/>
      <c r="F332" s="8"/>
      <c r="G332" s="10" t="str">
        <f t="shared" si="30"/>
        <v/>
      </c>
      <c r="H332" s="10" t="str">
        <f t="shared" si="31"/>
        <v/>
      </c>
      <c r="I332" s="11" t="str">
        <f>IF(B332="Recreation",IFERROR(INDEX(RecPricing!$E$5:$E$10,MATCH(IF(C332="Mixed","External",IF(C332="Unknown","UoB",C332))&amp;"|"&amp;IF(F332&lt;=24,"&lt;=24",IF(F332&lt;=32,"&lt;=32","Above32")),RecPricing!$F$5:$F$10,0)),""),IFERROR(INDEX(Reference!$E$5:$E$12,MATCH(B332&amp;"|"&amp;IF(C332="Mixed","External",IF(C332="Unknown","UoB",C332))&amp;"|"&amp;IF(F332&lt;=32,"32","40"),Reference!$D$5:$D$12,0)),""))</f>
        <v/>
      </c>
      <c r="J332" s="11" t="str">
        <f t="shared" si="32"/>
        <v/>
      </c>
      <c r="K332" s="12"/>
      <c r="L332" s="11" t="str">
        <f t="shared" si="33"/>
        <v/>
      </c>
      <c r="M332" s="12"/>
      <c r="N332" s="12"/>
      <c r="O332" s="11" t="str">
        <f t="shared" si="34"/>
        <v/>
      </c>
      <c r="P332" s="10" t="str">
        <f t="shared" si="35"/>
        <v/>
      </c>
    </row>
    <row r="333" spans="1:16" ht="15" customHeight="1" x14ac:dyDescent="0.2">
      <c r="A333" s="8"/>
      <c r="B333" s="8"/>
      <c r="C333" s="8"/>
      <c r="D333" s="9"/>
      <c r="E333" s="9"/>
      <c r="F333" s="8"/>
      <c r="G333" s="10" t="str">
        <f t="shared" si="30"/>
        <v/>
      </c>
      <c r="H333" s="10" t="str">
        <f t="shared" si="31"/>
        <v/>
      </c>
      <c r="I333" s="11" t="str">
        <f>IF(B333="Recreation",IFERROR(INDEX(RecPricing!$E$5:$E$10,MATCH(IF(C333="Mixed","External",IF(C333="Unknown","UoB",C333))&amp;"|"&amp;IF(F333&lt;=24,"&lt;=24",IF(F333&lt;=32,"&lt;=32","Above32")),RecPricing!$F$5:$F$10,0)),""),IFERROR(INDEX(Reference!$E$5:$E$12,MATCH(B333&amp;"|"&amp;IF(C333="Mixed","External",IF(C333="Unknown","UoB",C333))&amp;"|"&amp;IF(F333&lt;=32,"32","40"),Reference!$D$5:$D$12,0)),""))</f>
        <v/>
      </c>
      <c r="J333" s="11" t="str">
        <f t="shared" si="32"/>
        <v/>
      </c>
      <c r="K333" s="12"/>
      <c r="L333" s="11" t="str">
        <f t="shared" si="33"/>
        <v/>
      </c>
      <c r="M333" s="12"/>
      <c r="N333" s="12"/>
      <c r="O333" s="11" t="str">
        <f t="shared" si="34"/>
        <v/>
      </c>
      <c r="P333" s="10" t="str">
        <f t="shared" si="35"/>
        <v/>
      </c>
    </row>
    <row r="334" spans="1:16" ht="15" customHeight="1" x14ac:dyDescent="0.2">
      <c r="A334" s="8"/>
      <c r="B334" s="8"/>
      <c r="C334" s="8"/>
      <c r="D334" s="9"/>
      <c r="E334" s="9"/>
      <c r="F334" s="8"/>
      <c r="G334" s="10" t="str">
        <f t="shared" si="30"/>
        <v/>
      </c>
      <c r="H334" s="10" t="str">
        <f t="shared" si="31"/>
        <v/>
      </c>
      <c r="I334" s="11" t="str">
        <f>IF(B334="Recreation",IFERROR(INDEX(RecPricing!$E$5:$E$10,MATCH(IF(C334="Mixed","External",IF(C334="Unknown","UoB",C334))&amp;"|"&amp;IF(F334&lt;=24,"&lt;=24",IF(F334&lt;=32,"&lt;=32","Above32")),RecPricing!$F$5:$F$10,0)),""),IFERROR(INDEX(Reference!$E$5:$E$12,MATCH(B334&amp;"|"&amp;IF(C334="Mixed","External",IF(C334="Unknown","UoB",C334))&amp;"|"&amp;IF(F334&lt;=32,"32","40"),Reference!$D$5:$D$12,0)),""))</f>
        <v/>
      </c>
      <c r="J334" s="11" t="str">
        <f t="shared" si="32"/>
        <v/>
      </c>
      <c r="K334" s="12"/>
      <c r="L334" s="11" t="str">
        <f t="shared" si="33"/>
        <v/>
      </c>
      <c r="M334" s="12"/>
      <c r="N334" s="12"/>
      <c r="O334" s="11" t="str">
        <f t="shared" si="34"/>
        <v/>
      </c>
      <c r="P334" s="10" t="str">
        <f t="shared" si="35"/>
        <v/>
      </c>
    </row>
    <row r="335" spans="1:16" ht="15" customHeight="1" x14ac:dyDescent="0.2">
      <c r="A335" s="8"/>
      <c r="B335" s="8"/>
      <c r="C335" s="8"/>
      <c r="D335" s="9"/>
      <c r="E335" s="9"/>
      <c r="F335" s="8"/>
      <c r="G335" s="10" t="str">
        <f t="shared" si="30"/>
        <v/>
      </c>
      <c r="H335" s="10" t="str">
        <f t="shared" si="31"/>
        <v/>
      </c>
      <c r="I335" s="11" t="str">
        <f>IF(B335="Recreation",IFERROR(INDEX(RecPricing!$E$5:$E$10,MATCH(IF(C335="Mixed","External",IF(C335="Unknown","UoB",C335))&amp;"|"&amp;IF(F335&lt;=24,"&lt;=24",IF(F335&lt;=32,"&lt;=32","Above32")),RecPricing!$F$5:$F$10,0)),""),IFERROR(INDEX(Reference!$E$5:$E$12,MATCH(B335&amp;"|"&amp;IF(C335="Mixed","External",IF(C335="Unknown","UoB",C335))&amp;"|"&amp;IF(F335&lt;=32,"32","40"),Reference!$D$5:$D$12,0)),""))</f>
        <v/>
      </c>
      <c r="J335" s="11" t="str">
        <f t="shared" si="32"/>
        <v/>
      </c>
      <c r="K335" s="12"/>
      <c r="L335" s="11" t="str">
        <f t="shared" si="33"/>
        <v/>
      </c>
      <c r="M335" s="12"/>
      <c r="N335" s="12"/>
      <c r="O335" s="11" t="str">
        <f t="shared" si="34"/>
        <v/>
      </c>
      <c r="P335" s="10" t="str">
        <f t="shared" si="35"/>
        <v/>
      </c>
    </row>
    <row r="336" spans="1:16" ht="15" customHeight="1" x14ac:dyDescent="0.2">
      <c r="A336" s="8"/>
      <c r="B336" s="8"/>
      <c r="C336" s="8"/>
      <c r="D336" s="9"/>
      <c r="E336" s="9"/>
      <c r="F336" s="8"/>
      <c r="G336" s="10" t="str">
        <f t="shared" si="30"/>
        <v/>
      </c>
      <c r="H336" s="10" t="str">
        <f t="shared" si="31"/>
        <v/>
      </c>
      <c r="I336" s="11" t="str">
        <f>IF(B336="Recreation",IFERROR(INDEX(RecPricing!$E$5:$E$10,MATCH(IF(C336="Mixed","External",IF(C336="Unknown","UoB",C336))&amp;"|"&amp;IF(F336&lt;=24,"&lt;=24",IF(F336&lt;=32,"&lt;=32","Above32")),RecPricing!$F$5:$F$10,0)),""),IFERROR(INDEX(Reference!$E$5:$E$12,MATCH(B336&amp;"|"&amp;IF(C336="Mixed","External",IF(C336="Unknown","UoB",C336))&amp;"|"&amp;IF(F336&lt;=32,"32","40"),Reference!$D$5:$D$12,0)),""))</f>
        <v/>
      </c>
      <c r="J336" s="11" t="str">
        <f t="shared" si="32"/>
        <v/>
      </c>
      <c r="K336" s="12"/>
      <c r="L336" s="11" t="str">
        <f t="shared" si="33"/>
        <v/>
      </c>
      <c r="M336" s="12"/>
      <c r="N336" s="12"/>
      <c r="O336" s="11" t="str">
        <f t="shared" si="34"/>
        <v/>
      </c>
      <c r="P336" s="10" t="str">
        <f t="shared" si="35"/>
        <v/>
      </c>
    </row>
    <row r="337" spans="1:16" ht="15" customHeight="1" x14ac:dyDescent="0.2">
      <c r="A337" s="8"/>
      <c r="B337" s="8"/>
      <c r="C337" s="8"/>
      <c r="D337" s="9"/>
      <c r="E337" s="9"/>
      <c r="F337" s="8"/>
      <c r="G337" s="10" t="str">
        <f t="shared" si="30"/>
        <v/>
      </c>
      <c r="H337" s="10" t="str">
        <f t="shared" si="31"/>
        <v/>
      </c>
      <c r="I337" s="11" t="str">
        <f>IF(B337="Recreation",IFERROR(INDEX(RecPricing!$E$5:$E$10,MATCH(IF(C337="Mixed","External",IF(C337="Unknown","UoB",C337))&amp;"|"&amp;IF(F337&lt;=24,"&lt;=24",IF(F337&lt;=32,"&lt;=32","Above32")),RecPricing!$F$5:$F$10,0)),""),IFERROR(INDEX(Reference!$E$5:$E$12,MATCH(B337&amp;"|"&amp;IF(C337="Mixed","External",IF(C337="Unknown","UoB",C337))&amp;"|"&amp;IF(F337&lt;=32,"32","40"),Reference!$D$5:$D$12,0)),""))</f>
        <v/>
      </c>
      <c r="J337" s="11" t="str">
        <f t="shared" si="32"/>
        <v/>
      </c>
      <c r="K337" s="12"/>
      <c r="L337" s="11" t="str">
        <f t="shared" si="33"/>
        <v/>
      </c>
      <c r="M337" s="12"/>
      <c r="N337" s="12"/>
      <c r="O337" s="11" t="str">
        <f t="shared" si="34"/>
        <v/>
      </c>
      <c r="P337" s="10" t="str">
        <f t="shared" si="35"/>
        <v/>
      </c>
    </row>
    <row r="338" spans="1:16" ht="15" customHeight="1" x14ac:dyDescent="0.2">
      <c r="A338" s="8"/>
      <c r="B338" s="8"/>
      <c r="C338" s="8"/>
      <c r="D338" s="9"/>
      <c r="E338" s="9"/>
      <c r="F338" s="8"/>
      <c r="G338" s="10" t="str">
        <f t="shared" si="30"/>
        <v/>
      </c>
      <c r="H338" s="10" t="str">
        <f t="shared" si="31"/>
        <v/>
      </c>
      <c r="I338" s="11" t="str">
        <f>IF(B338="Recreation",IFERROR(INDEX(RecPricing!$E$5:$E$10,MATCH(IF(C338="Mixed","External",IF(C338="Unknown","UoB",C338))&amp;"|"&amp;IF(F338&lt;=24,"&lt;=24",IF(F338&lt;=32,"&lt;=32","Above32")),RecPricing!$F$5:$F$10,0)),""),IFERROR(INDEX(Reference!$E$5:$E$12,MATCH(B338&amp;"|"&amp;IF(C338="Mixed","External",IF(C338="Unknown","UoB",C338))&amp;"|"&amp;IF(F338&lt;=32,"32","40"),Reference!$D$5:$D$12,0)),""))</f>
        <v/>
      </c>
      <c r="J338" s="11" t="str">
        <f t="shared" si="32"/>
        <v/>
      </c>
      <c r="K338" s="12"/>
      <c r="L338" s="11" t="str">
        <f t="shared" si="33"/>
        <v/>
      </c>
      <c r="M338" s="12"/>
      <c r="N338" s="12"/>
      <c r="O338" s="11" t="str">
        <f t="shared" si="34"/>
        <v/>
      </c>
      <c r="P338" s="10" t="str">
        <f t="shared" si="35"/>
        <v/>
      </c>
    </row>
    <row r="339" spans="1:16" ht="15" customHeight="1" x14ac:dyDescent="0.2">
      <c r="A339" s="8"/>
      <c r="B339" s="8"/>
      <c r="C339" s="8"/>
      <c r="D339" s="9"/>
      <c r="E339" s="9"/>
      <c r="F339" s="8"/>
      <c r="G339" s="10" t="str">
        <f t="shared" si="30"/>
        <v/>
      </c>
      <c r="H339" s="10" t="str">
        <f t="shared" si="31"/>
        <v/>
      </c>
      <c r="I339" s="11" t="str">
        <f>IF(B339="Recreation",IFERROR(INDEX(RecPricing!$E$5:$E$10,MATCH(IF(C339="Mixed","External",IF(C339="Unknown","UoB",C339))&amp;"|"&amp;IF(F339&lt;=24,"&lt;=24",IF(F339&lt;=32,"&lt;=32","Above32")),RecPricing!$F$5:$F$10,0)),""),IFERROR(INDEX(Reference!$E$5:$E$12,MATCH(B339&amp;"|"&amp;IF(C339="Mixed","External",IF(C339="Unknown","UoB",C339))&amp;"|"&amp;IF(F339&lt;=32,"32","40"),Reference!$D$5:$D$12,0)),""))</f>
        <v/>
      </c>
      <c r="J339" s="11" t="str">
        <f t="shared" si="32"/>
        <v/>
      </c>
      <c r="K339" s="12"/>
      <c r="L339" s="11" t="str">
        <f t="shared" si="33"/>
        <v/>
      </c>
      <c r="M339" s="12"/>
      <c r="N339" s="12"/>
      <c r="O339" s="11" t="str">
        <f t="shared" si="34"/>
        <v/>
      </c>
      <c r="P339" s="10" t="str">
        <f t="shared" si="35"/>
        <v/>
      </c>
    </row>
    <row r="340" spans="1:16" ht="15" customHeight="1" x14ac:dyDescent="0.2">
      <c r="A340" s="8"/>
      <c r="B340" s="8"/>
      <c r="C340" s="8"/>
      <c r="D340" s="9"/>
      <c r="E340" s="9"/>
      <c r="F340" s="8"/>
      <c r="G340" s="10" t="str">
        <f t="shared" si="30"/>
        <v/>
      </c>
      <c r="H340" s="10" t="str">
        <f t="shared" si="31"/>
        <v/>
      </c>
      <c r="I340" s="11" t="str">
        <f>IF(B340="Recreation",IFERROR(INDEX(RecPricing!$E$5:$E$10,MATCH(IF(C340="Mixed","External",IF(C340="Unknown","UoB",C340))&amp;"|"&amp;IF(F340&lt;=24,"&lt;=24",IF(F340&lt;=32,"&lt;=32","Above32")),RecPricing!$F$5:$F$10,0)),""),IFERROR(INDEX(Reference!$E$5:$E$12,MATCH(B340&amp;"|"&amp;IF(C340="Mixed","External",IF(C340="Unknown","UoB",C340))&amp;"|"&amp;IF(F340&lt;=32,"32","40"),Reference!$D$5:$D$12,0)),""))</f>
        <v/>
      </c>
      <c r="J340" s="11" t="str">
        <f t="shared" si="32"/>
        <v/>
      </c>
      <c r="K340" s="12"/>
      <c r="L340" s="11" t="str">
        <f t="shared" si="33"/>
        <v/>
      </c>
      <c r="M340" s="12"/>
      <c r="N340" s="12"/>
      <c r="O340" s="11" t="str">
        <f t="shared" si="34"/>
        <v/>
      </c>
      <c r="P340" s="10" t="str">
        <f t="shared" si="35"/>
        <v/>
      </c>
    </row>
    <row r="341" spans="1:16" ht="15" customHeight="1" x14ac:dyDescent="0.2">
      <c r="A341" s="8"/>
      <c r="B341" s="8"/>
      <c r="C341" s="8"/>
      <c r="D341" s="9"/>
      <c r="E341" s="9"/>
      <c r="F341" s="8"/>
      <c r="G341" s="10" t="str">
        <f t="shared" si="30"/>
        <v/>
      </c>
      <c r="H341" s="10" t="str">
        <f t="shared" si="31"/>
        <v/>
      </c>
      <c r="I341" s="11" t="str">
        <f>IF(B341="Recreation",IFERROR(INDEX(RecPricing!$E$5:$E$10,MATCH(IF(C341="Mixed","External",IF(C341="Unknown","UoB",C341))&amp;"|"&amp;IF(F341&lt;=24,"&lt;=24",IF(F341&lt;=32,"&lt;=32","Above32")),RecPricing!$F$5:$F$10,0)),""),IFERROR(INDEX(Reference!$E$5:$E$12,MATCH(B341&amp;"|"&amp;IF(C341="Mixed","External",IF(C341="Unknown","UoB",C341))&amp;"|"&amp;IF(F341&lt;=32,"32","40"),Reference!$D$5:$D$12,0)),""))</f>
        <v/>
      </c>
      <c r="J341" s="11" t="str">
        <f t="shared" si="32"/>
        <v/>
      </c>
      <c r="K341" s="12"/>
      <c r="L341" s="11" t="str">
        <f t="shared" si="33"/>
        <v/>
      </c>
      <c r="M341" s="12"/>
      <c r="N341" s="12"/>
      <c r="O341" s="11" t="str">
        <f t="shared" si="34"/>
        <v/>
      </c>
      <c r="P341" s="10" t="str">
        <f t="shared" si="35"/>
        <v/>
      </c>
    </row>
    <row r="342" spans="1:16" ht="15" customHeight="1" x14ac:dyDescent="0.2">
      <c r="A342" s="8"/>
      <c r="B342" s="8"/>
      <c r="C342" s="8"/>
      <c r="D342" s="9"/>
      <c r="E342" s="9"/>
      <c r="F342" s="8"/>
      <c r="G342" s="10" t="str">
        <f t="shared" si="30"/>
        <v/>
      </c>
      <c r="H342" s="10" t="str">
        <f t="shared" si="31"/>
        <v/>
      </c>
      <c r="I342" s="11" t="str">
        <f>IF(B342="Recreation",IFERROR(INDEX(RecPricing!$E$5:$E$10,MATCH(IF(C342="Mixed","External",IF(C342="Unknown","UoB",C342))&amp;"|"&amp;IF(F342&lt;=24,"&lt;=24",IF(F342&lt;=32,"&lt;=32","Above32")),RecPricing!$F$5:$F$10,0)),""),IFERROR(INDEX(Reference!$E$5:$E$12,MATCH(B342&amp;"|"&amp;IF(C342="Mixed","External",IF(C342="Unknown","UoB",C342))&amp;"|"&amp;IF(F342&lt;=32,"32","40"),Reference!$D$5:$D$12,0)),""))</f>
        <v/>
      </c>
      <c r="J342" s="11" t="str">
        <f t="shared" si="32"/>
        <v/>
      </c>
      <c r="K342" s="12"/>
      <c r="L342" s="11" t="str">
        <f t="shared" si="33"/>
        <v/>
      </c>
      <c r="M342" s="12"/>
      <c r="N342" s="12"/>
      <c r="O342" s="11" t="str">
        <f t="shared" si="34"/>
        <v/>
      </c>
      <c r="P342" s="10" t="str">
        <f t="shared" si="35"/>
        <v/>
      </c>
    </row>
    <row r="343" spans="1:16" ht="15" customHeight="1" x14ac:dyDescent="0.2">
      <c r="A343" s="8"/>
      <c r="B343" s="8"/>
      <c r="C343" s="8"/>
      <c r="D343" s="9"/>
      <c r="E343" s="9"/>
      <c r="F343" s="8"/>
      <c r="G343" s="10" t="str">
        <f t="shared" si="30"/>
        <v/>
      </c>
      <c r="H343" s="10" t="str">
        <f t="shared" si="31"/>
        <v/>
      </c>
      <c r="I343" s="11" t="str">
        <f>IF(B343="Recreation",IFERROR(INDEX(RecPricing!$E$5:$E$10,MATCH(IF(C343="Mixed","External",IF(C343="Unknown","UoB",C343))&amp;"|"&amp;IF(F343&lt;=24,"&lt;=24",IF(F343&lt;=32,"&lt;=32","Above32")),RecPricing!$F$5:$F$10,0)),""),IFERROR(INDEX(Reference!$E$5:$E$12,MATCH(B343&amp;"|"&amp;IF(C343="Mixed","External",IF(C343="Unknown","UoB",C343))&amp;"|"&amp;IF(F343&lt;=32,"32","40"),Reference!$D$5:$D$12,0)),""))</f>
        <v/>
      </c>
      <c r="J343" s="11" t="str">
        <f t="shared" si="32"/>
        <v/>
      </c>
      <c r="K343" s="12"/>
      <c r="L343" s="11" t="str">
        <f t="shared" si="33"/>
        <v/>
      </c>
      <c r="M343" s="12"/>
      <c r="N343" s="12"/>
      <c r="O343" s="11" t="str">
        <f t="shared" si="34"/>
        <v/>
      </c>
      <c r="P343" s="10" t="str">
        <f t="shared" si="35"/>
        <v/>
      </c>
    </row>
    <row r="344" spans="1:16" ht="15" customHeight="1" x14ac:dyDescent="0.2">
      <c r="A344" s="8"/>
      <c r="B344" s="8"/>
      <c r="C344" s="8"/>
      <c r="D344" s="9"/>
      <c r="E344" s="9"/>
      <c r="F344" s="8"/>
      <c r="G344" s="10" t="str">
        <f t="shared" si="30"/>
        <v/>
      </c>
      <c r="H344" s="10" t="str">
        <f t="shared" si="31"/>
        <v/>
      </c>
      <c r="I344" s="11" t="str">
        <f>IF(B344="Recreation",IFERROR(INDEX(RecPricing!$E$5:$E$10,MATCH(IF(C344="Mixed","External",IF(C344="Unknown","UoB",C344))&amp;"|"&amp;IF(F344&lt;=24,"&lt;=24",IF(F344&lt;=32,"&lt;=32","Above32")),RecPricing!$F$5:$F$10,0)),""),IFERROR(INDEX(Reference!$E$5:$E$12,MATCH(B344&amp;"|"&amp;IF(C344="Mixed","External",IF(C344="Unknown","UoB",C344))&amp;"|"&amp;IF(F344&lt;=32,"32","40"),Reference!$D$5:$D$12,0)),""))</f>
        <v/>
      </c>
      <c r="J344" s="11" t="str">
        <f t="shared" si="32"/>
        <v/>
      </c>
      <c r="K344" s="12"/>
      <c r="L344" s="11" t="str">
        <f t="shared" si="33"/>
        <v/>
      </c>
      <c r="M344" s="12"/>
      <c r="N344" s="12"/>
      <c r="O344" s="11" t="str">
        <f t="shared" si="34"/>
        <v/>
      </c>
      <c r="P344" s="10" t="str">
        <f t="shared" si="35"/>
        <v/>
      </c>
    </row>
    <row r="345" spans="1:16" ht="15" customHeight="1" x14ac:dyDescent="0.2">
      <c r="A345" s="8"/>
      <c r="B345" s="8"/>
      <c r="C345" s="8"/>
      <c r="D345" s="9"/>
      <c r="E345" s="9"/>
      <c r="F345" s="8"/>
      <c r="G345" s="10" t="str">
        <f t="shared" si="30"/>
        <v/>
      </c>
      <c r="H345" s="10" t="str">
        <f t="shared" si="31"/>
        <v/>
      </c>
      <c r="I345" s="11" t="str">
        <f>IF(B345="Recreation",IFERROR(INDEX(RecPricing!$E$5:$E$10,MATCH(IF(C345="Mixed","External",IF(C345="Unknown","UoB",C345))&amp;"|"&amp;IF(F345&lt;=24,"&lt;=24",IF(F345&lt;=32,"&lt;=32","Above32")),RecPricing!$F$5:$F$10,0)),""),IFERROR(INDEX(Reference!$E$5:$E$12,MATCH(B345&amp;"|"&amp;IF(C345="Mixed","External",IF(C345="Unknown","UoB",C345))&amp;"|"&amp;IF(F345&lt;=32,"32","40"),Reference!$D$5:$D$12,0)),""))</f>
        <v/>
      </c>
      <c r="J345" s="11" t="str">
        <f t="shared" si="32"/>
        <v/>
      </c>
      <c r="K345" s="12"/>
      <c r="L345" s="11" t="str">
        <f t="shared" si="33"/>
        <v/>
      </c>
      <c r="M345" s="12"/>
      <c r="N345" s="12"/>
      <c r="O345" s="11" t="str">
        <f t="shared" si="34"/>
        <v/>
      </c>
      <c r="P345" s="10" t="str">
        <f t="shared" si="35"/>
        <v/>
      </c>
    </row>
    <row r="346" spans="1:16" ht="15" customHeight="1" x14ac:dyDescent="0.2">
      <c r="A346" s="8"/>
      <c r="B346" s="8"/>
      <c r="C346" s="8"/>
      <c r="D346" s="9"/>
      <c r="E346" s="9"/>
      <c r="F346" s="8"/>
      <c r="G346" s="10" t="str">
        <f t="shared" si="30"/>
        <v/>
      </c>
      <c r="H346" s="10" t="str">
        <f t="shared" si="31"/>
        <v/>
      </c>
      <c r="I346" s="11" t="str">
        <f>IF(B346="Recreation",IFERROR(INDEX(RecPricing!$E$5:$E$10,MATCH(IF(C346="Mixed","External",IF(C346="Unknown","UoB",C346))&amp;"|"&amp;IF(F346&lt;=24,"&lt;=24",IF(F346&lt;=32,"&lt;=32","Above32")),RecPricing!$F$5:$F$10,0)),""),IFERROR(INDEX(Reference!$E$5:$E$12,MATCH(B346&amp;"|"&amp;IF(C346="Mixed","External",IF(C346="Unknown","UoB",C346))&amp;"|"&amp;IF(F346&lt;=32,"32","40"),Reference!$D$5:$D$12,0)),""))</f>
        <v/>
      </c>
      <c r="J346" s="11" t="str">
        <f t="shared" si="32"/>
        <v/>
      </c>
      <c r="K346" s="12"/>
      <c r="L346" s="11" t="str">
        <f t="shared" si="33"/>
        <v/>
      </c>
      <c r="M346" s="12"/>
      <c r="N346" s="12"/>
      <c r="O346" s="11" t="str">
        <f t="shared" si="34"/>
        <v/>
      </c>
      <c r="P346" s="10" t="str">
        <f t="shared" si="35"/>
        <v/>
      </c>
    </row>
    <row r="347" spans="1:16" ht="15" customHeight="1" x14ac:dyDescent="0.2">
      <c r="A347" s="8"/>
      <c r="B347" s="8"/>
      <c r="C347" s="8"/>
      <c r="D347" s="9"/>
      <c r="E347" s="9"/>
      <c r="F347" s="8"/>
      <c r="G347" s="10" t="str">
        <f t="shared" si="30"/>
        <v/>
      </c>
      <c r="H347" s="10" t="str">
        <f t="shared" si="31"/>
        <v/>
      </c>
      <c r="I347" s="11" t="str">
        <f>IF(B347="Recreation",IFERROR(INDEX(RecPricing!$E$5:$E$10,MATCH(IF(C347="Mixed","External",IF(C347="Unknown","UoB",C347))&amp;"|"&amp;IF(F347&lt;=24,"&lt;=24",IF(F347&lt;=32,"&lt;=32","Above32")),RecPricing!$F$5:$F$10,0)),""),IFERROR(INDEX(Reference!$E$5:$E$12,MATCH(B347&amp;"|"&amp;IF(C347="Mixed","External",IF(C347="Unknown","UoB",C347))&amp;"|"&amp;IF(F347&lt;=32,"32","40"),Reference!$D$5:$D$12,0)),""))</f>
        <v/>
      </c>
      <c r="J347" s="11" t="str">
        <f t="shared" si="32"/>
        <v/>
      </c>
      <c r="K347" s="12"/>
      <c r="L347" s="11" t="str">
        <f t="shared" si="33"/>
        <v/>
      </c>
      <c r="M347" s="12"/>
      <c r="N347" s="12"/>
      <c r="O347" s="11" t="str">
        <f t="shared" si="34"/>
        <v/>
      </c>
      <c r="P347" s="10" t="str">
        <f t="shared" si="35"/>
        <v/>
      </c>
    </row>
    <row r="348" spans="1:16" ht="15" customHeight="1" x14ac:dyDescent="0.2">
      <c r="A348" s="8"/>
      <c r="B348" s="8"/>
      <c r="C348" s="8"/>
      <c r="D348" s="9"/>
      <c r="E348" s="9"/>
      <c r="F348" s="8"/>
      <c r="G348" s="10" t="str">
        <f t="shared" si="30"/>
        <v/>
      </c>
      <c r="H348" s="10" t="str">
        <f t="shared" si="31"/>
        <v/>
      </c>
      <c r="I348" s="11" t="str">
        <f>IF(B348="Recreation",IFERROR(INDEX(RecPricing!$E$5:$E$10,MATCH(IF(C348="Mixed","External",IF(C348="Unknown","UoB",C348))&amp;"|"&amp;IF(F348&lt;=24,"&lt;=24",IF(F348&lt;=32,"&lt;=32","Above32")),RecPricing!$F$5:$F$10,0)),""),IFERROR(INDEX(Reference!$E$5:$E$12,MATCH(B348&amp;"|"&amp;IF(C348="Mixed","External",IF(C348="Unknown","UoB",C348))&amp;"|"&amp;IF(F348&lt;=32,"32","40"),Reference!$D$5:$D$12,0)),""))</f>
        <v/>
      </c>
      <c r="J348" s="11" t="str">
        <f t="shared" si="32"/>
        <v/>
      </c>
      <c r="K348" s="12"/>
      <c r="L348" s="11" t="str">
        <f t="shared" si="33"/>
        <v/>
      </c>
      <c r="M348" s="12"/>
      <c r="N348" s="12"/>
      <c r="O348" s="11" t="str">
        <f t="shared" si="34"/>
        <v/>
      </c>
      <c r="P348" s="10" t="str">
        <f t="shared" si="35"/>
        <v/>
      </c>
    </row>
    <row r="349" spans="1:16" ht="15" customHeight="1" x14ac:dyDescent="0.2">
      <c r="A349" s="8"/>
      <c r="B349" s="8"/>
      <c r="C349" s="8"/>
      <c r="D349" s="9"/>
      <c r="E349" s="9"/>
      <c r="F349" s="8"/>
      <c r="G349" s="10" t="str">
        <f t="shared" si="30"/>
        <v/>
      </c>
      <c r="H349" s="10" t="str">
        <f t="shared" si="31"/>
        <v/>
      </c>
      <c r="I349" s="11" t="str">
        <f>IF(B349="Recreation",IFERROR(INDEX(RecPricing!$E$5:$E$10,MATCH(IF(C349="Mixed","External",IF(C349="Unknown","UoB",C349))&amp;"|"&amp;IF(F349&lt;=24,"&lt;=24",IF(F349&lt;=32,"&lt;=32","Above32")),RecPricing!$F$5:$F$10,0)),""),IFERROR(INDEX(Reference!$E$5:$E$12,MATCH(B349&amp;"|"&amp;IF(C349="Mixed","External",IF(C349="Unknown","UoB",C349))&amp;"|"&amp;IF(F349&lt;=32,"32","40"),Reference!$D$5:$D$12,0)),""))</f>
        <v/>
      </c>
      <c r="J349" s="11" t="str">
        <f t="shared" si="32"/>
        <v/>
      </c>
      <c r="K349" s="12"/>
      <c r="L349" s="11" t="str">
        <f t="shared" si="33"/>
        <v/>
      </c>
      <c r="M349" s="12"/>
      <c r="N349" s="12"/>
      <c r="O349" s="11" t="str">
        <f t="shared" si="34"/>
        <v/>
      </c>
      <c r="P349" s="10" t="str">
        <f t="shared" si="35"/>
        <v/>
      </c>
    </row>
    <row r="350" spans="1:16" ht="15" customHeight="1" x14ac:dyDescent="0.2">
      <c r="A350" s="8"/>
      <c r="B350" s="8"/>
      <c r="C350" s="8"/>
      <c r="D350" s="9"/>
      <c r="E350" s="9"/>
      <c r="F350" s="8"/>
      <c r="G350" s="10" t="str">
        <f t="shared" si="30"/>
        <v/>
      </c>
      <c r="H350" s="10" t="str">
        <f t="shared" si="31"/>
        <v/>
      </c>
      <c r="I350" s="11" t="str">
        <f>IF(B350="Recreation",IFERROR(INDEX(RecPricing!$E$5:$E$10,MATCH(IF(C350="Mixed","External",IF(C350="Unknown","UoB",C350))&amp;"|"&amp;IF(F350&lt;=24,"&lt;=24",IF(F350&lt;=32,"&lt;=32","Above32")),RecPricing!$F$5:$F$10,0)),""),IFERROR(INDEX(Reference!$E$5:$E$12,MATCH(B350&amp;"|"&amp;IF(C350="Mixed","External",IF(C350="Unknown","UoB",C350))&amp;"|"&amp;IF(F350&lt;=32,"32","40"),Reference!$D$5:$D$12,0)),""))</f>
        <v/>
      </c>
      <c r="J350" s="11" t="str">
        <f t="shared" si="32"/>
        <v/>
      </c>
      <c r="K350" s="12"/>
      <c r="L350" s="11" t="str">
        <f t="shared" si="33"/>
        <v/>
      </c>
      <c r="M350" s="12"/>
      <c r="N350" s="12"/>
      <c r="O350" s="11" t="str">
        <f t="shared" si="34"/>
        <v/>
      </c>
      <c r="P350" s="10" t="str">
        <f t="shared" si="35"/>
        <v/>
      </c>
    </row>
    <row r="351" spans="1:16" ht="15" customHeight="1" x14ac:dyDescent="0.2">
      <c r="A351" s="8"/>
      <c r="B351" s="8"/>
      <c r="C351" s="8"/>
      <c r="D351" s="9"/>
      <c r="E351" s="9"/>
      <c r="F351" s="8"/>
      <c r="G351" s="10" t="str">
        <f t="shared" si="30"/>
        <v/>
      </c>
      <c r="H351" s="10" t="str">
        <f t="shared" si="31"/>
        <v/>
      </c>
      <c r="I351" s="11" t="str">
        <f>IF(B351="Recreation",IFERROR(INDEX(RecPricing!$E$5:$E$10,MATCH(IF(C351="Mixed","External",IF(C351="Unknown","UoB",C351))&amp;"|"&amp;IF(F351&lt;=24,"&lt;=24",IF(F351&lt;=32,"&lt;=32","Above32")),RecPricing!$F$5:$F$10,0)),""),IFERROR(INDEX(Reference!$E$5:$E$12,MATCH(B351&amp;"|"&amp;IF(C351="Mixed","External",IF(C351="Unknown","UoB",C351))&amp;"|"&amp;IF(F351&lt;=32,"32","40"),Reference!$D$5:$D$12,0)),""))</f>
        <v/>
      </c>
      <c r="J351" s="11" t="str">
        <f t="shared" si="32"/>
        <v/>
      </c>
      <c r="K351" s="12"/>
      <c r="L351" s="11" t="str">
        <f t="shared" si="33"/>
        <v/>
      </c>
      <c r="M351" s="12"/>
      <c r="N351" s="12"/>
      <c r="O351" s="11" t="str">
        <f t="shared" si="34"/>
        <v/>
      </c>
      <c r="P351" s="10" t="str">
        <f t="shared" si="35"/>
        <v/>
      </c>
    </row>
    <row r="352" spans="1:16" ht="15" customHeight="1" x14ac:dyDescent="0.2">
      <c r="A352" s="8"/>
      <c r="B352" s="8"/>
      <c r="C352" s="8"/>
      <c r="D352" s="9"/>
      <c r="E352" s="9"/>
      <c r="F352" s="8"/>
      <c r="G352" s="10" t="str">
        <f t="shared" si="30"/>
        <v/>
      </c>
      <c r="H352" s="10" t="str">
        <f t="shared" si="31"/>
        <v/>
      </c>
      <c r="I352" s="11" t="str">
        <f>IF(B352="Recreation",IFERROR(INDEX(RecPricing!$E$5:$E$10,MATCH(IF(C352="Mixed","External",IF(C352="Unknown","UoB",C352))&amp;"|"&amp;IF(F352&lt;=24,"&lt;=24",IF(F352&lt;=32,"&lt;=32","Above32")),RecPricing!$F$5:$F$10,0)),""),IFERROR(INDEX(Reference!$E$5:$E$12,MATCH(B352&amp;"|"&amp;IF(C352="Mixed","External",IF(C352="Unknown","UoB",C352))&amp;"|"&amp;IF(F352&lt;=32,"32","40"),Reference!$D$5:$D$12,0)),""))</f>
        <v/>
      </c>
      <c r="J352" s="11" t="str">
        <f t="shared" si="32"/>
        <v/>
      </c>
      <c r="K352" s="12"/>
      <c r="L352" s="11" t="str">
        <f t="shared" si="33"/>
        <v/>
      </c>
      <c r="M352" s="12"/>
      <c r="N352" s="12"/>
      <c r="O352" s="11" t="str">
        <f t="shared" si="34"/>
        <v/>
      </c>
      <c r="P352" s="10" t="str">
        <f t="shared" si="35"/>
        <v/>
      </c>
    </row>
    <row r="353" spans="1:16" ht="15" customHeight="1" x14ac:dyDescent="0.2">
      <c r="A353" s="8"/>
      <c r="B353" s="8"/>
      <c r="C353" s="8"/>
      <c r="D353" s="9"/>
      <c r="E353" s="9"/>
      <c r="F353" s="8"/>
      <c r="G353" s="10" t="str">
        <f t="shared" si="30"/>
        <v/>
      </c>
      <c r="H353" s="10" t="str">
        <f t="shared" si="31"/>
        <v/>
      </c>
      <c r="I353" s="11" t="str">
        <f>IF(B353="Recreation",IFERROR(INDEX(RecPricing!$E$5:$E$10,MATCH(IF(C353="Mixed","External",IF(C353="Unknown","UoB",C353))&amp;"|"&amp;IF(F353&lt;=24,"&lt;=24",IF(F353&lt;=32,"&lt;=32","Above32")),RecPricing!$F$5:$F$10,0)),""),IFERROR(INDEX(Reference!$E$5:$E$12,MATCH(B353&amp;"|"&amp;IF(C353="Mixed","External",IF(C353="Unknown","UoB",C353))&amp;"|"&amp;IF(F353&lt;=32,"32","40"),Reference!$D$5:$D$12,0)),""))</f>
        <v/>
      </c>
      <c r="J353" s="11" t="str">
        <f t="shared" si="32"/>
        <v/>
      </c>
      <c r="K353" s="12"/>
      <c r="L353" s="11" t="str">
        <f t="shared" si="33"/>
        <v/>
      </c>
      <c r="M353" s="12"/>
      <c r="N353" s="12"/>
      <c r="O353" s="11" t="str">
        <f t="shared" si="34"/>
        <v/>
      </c>
      <c r="P353" s="10" t="str">
        <f t="shared" si="35"/>
        <v/>
      </c>
    </row>
    <row r="354" spans="1:16" ht="15" customHeight="1" x14ac:dyDescent="0.2">
      <c r="A354" s="8"/>
      <c r="B354" s="8"/>
      <c r="C354" s="8"/>
      <c r="D354" s="9"/>
      <c r="E354" s="9"/>
      <c r="F354" s="8"/>
      <c r="G354" s="10" t="str">
        <f t="shared" si="30"/>
        <v/>
      </c>
      <c r="H354" s="10" t="str">
        <f t="shared" si="31"/>
        <v/>
      </c>
      <c r="I354" s="11" t="str">
        <f>IF(B354="Recreation",IFERROR(INDEX(RecPricing!$E$5:$E$10,MATCH(IF(C354="Mixed","External",IF(C354="Unknown","UoB",C354))&amp;"|"&amp;IF(F354&lt;=24,"&lt;=24",IF(F354&lt;=32,"&lt;=32","Above32")),RecPricing!$F$5:$F$10,0)),""),IFERROR(INDEX(Reference!$E$5:$E$12,MATCH(B354&amp;"|"&amp;IF(C354="Mixed","External",IF(C354="Unknown","UoB",C354))&amp;"|"&amp;IF(F354&lt;=32,"32","40"),Reference!$D$5:$D$12,0)),""))</f>
        <v/>
      </c>
      <c r="J354" s="11" t="str">
        <f t="shared" si="32"/>
        <v/>
      </c>
      <c r="K354" s="12"/>
      <c r="L354" s="11" t="str">
        <f t="shared" si="33"/>
        <v/>
      </c>
      <c r="M354" s="12"/>
      <c r="N354" s="12"/>
      <c r="O354" s="11" t="str">
        <f t="shared" si="34"/>
        <v/>
      </c>
      <c r="P354" s="10" t="str">
        <f t="shared" si="35"/>
        <v/>
      </c>
    </row>
    <row r="355" spans="1:16" ht="15" customHeight="1" x14ac:dyDescent="0.2">
      <c r="A355" s="8"/>
      <c r="B355" s="8"/>
      <c r="C355" s="8"/>
      <c r="D355" s="9"/>
      <c r="E355" s="9"/>
      <c r="F355" s="8"/>
      <c r="G355" s="10" t="str">
        <f t="shared" si="30"/>
        <v/>
      </c>
      <c r="H355" s="10" t="str">
        <f t="shared" si="31"/>
        <v/>
      </c>
      <c r="I355" s="11" t="str">
        <f>IF(B355="Recreation",IFERROR(INDEX(RecPricing!$E$5:$E$10,MATCH(IF(C355="Mixed","External",IF(C355="Unknown","UoB",C355))&amp;"|"&amp;IF(F355&lt;=24,"&lt;=24",IF(F355&lt;=32,"&lt;=32","Above32")),RecPricing!$F$5:$F$10,0)),""),IFERROR(INDEX(Reference!$E$5:$E$12,MATCH(B355&amp;"|"&amp;IF(C355="Mixed","External",IF(C355="Unknown","UoB",C355))&amp;"|"&amp;IF(F355&lt;=32,"32","40"),Reference!$D$5:$D$12,0)),""))</f>
        <v/>
      </c>
      <c r="J355" s="11" t="str">
        <f t="shared" si="32"/>
        <v/>
      </c>
      <c r="K355" s="12"/>
      <c r="L355" s="11" t="str">
        <f t="shared" si="33"/>
        <v/>
      </c>
      <c r="M355" s="12"/>
      <c r="N355" s="12"/>
      <c r="O355" s="11" t="str">
        <f t="shared" si="34"/>
        <v/>
      </c>
      <c r="P355" s="10" t="str">
        <f t="shared" si="35"/>
        <v/>
      </c>
    </row>
    <row r="356" spans="1:16" ht="15" customHeight="1" x14ac:dyDescent="0.2">
      <c r="A356" s="8"/>
      <c r="B356" s="8"/>
      <c r="C356" s="8"/>
      <c r="D356" s="9"/>
      <c r="E356" s="9"/>
      <c r="F356" s="8"/>
      <c r="G356" s="10" t="str">
        <f t="shared" si="30"/>
        <v/>
      </c>
      <c r="H356" s="10" t="str">
        <f t="shared" si="31"/>
        <v/>
      </c>
      <c r="I356" s="11" t="str">
        <f>IF(B356="Recreation",IFERROR(INDEX(RecPricing!$E$5:$E$10,MATCH(IF(C356="Mixed","External",IF(C356="Unknown","UoB",C356))&amp;"|"&amp;IF(F356&lt;=24,"&lt;=24",IF(F356&lt;=32,"&lt;=32","Above32")),RecPricing!$F$5:$F$10,0)),""),IFERROR(INDEX(Reference!$E$5:$E$12,MATCH(B356&amp;"|"&amp;IF(C356="Mixed","External",IF(C356="Unknown","UoB",C356))&amp;"|"&amp;IF(F356&lt;=32,"32","40"),Reference!$D$5:$D$12,0)),""))</f>
        <v/>
      </c>
      <c r="J356" s="11" t="str">
        <f t="shared" si="32"/>
        <v/>
      </c>
      <c r="K356" s="12"/>
      <c r="L356" s="11" t="str">
        <f t="shared" si="33"/>
        <v/>
      </c>
      <c r="M356" s="12"/>
      <c r="N356" s="12"/>
      <c r="O356" s="11" t="str">
        <f t="shared" si="34"/>
        <v/>
      </c>
      <c r="P356" s="10" t="str">
        <f t="shared" si="35"/>
        <v/>
      </c>
    </row>
    <row r="357" spans="1:16" ht="15" customHeight="1" x14ac:dyDescent="0.2">
      <c r="A357" s="8"/>
      <c r="B357" s="8"/>
      <c r="C357" s="8"/>
      <c r="D357" s="9"/>
      <c r="E357" s="9"/>
      <c r="F357" s="8"/>
      <c r="G357" s="10" t="str">
        <f t="shared" si="30"/>
        <v/>
      </c>
      <c r="H357" s="10" t="str">
        <f t="shared" si="31"/>
        <v/>
      </c>
      <c r="I357" s="11" t="str">
        <f>IF(B357="Recreation",IFERROR(INDEX(RecPricing!$E$5:$E$10,MATCH(IF(C357="Mixed","External",IF(C357="Unknown","UoB",C357))&amp;"|"&amp;IF(F357&lt;=24,"&lt;=24",IF(F357&lt;=32,"&lt;=32","Above32")),RecPricing!$F$5:$F$10,0)),""),IFERROR(INDEX(Reference!$E$5:$E$12,MATCH(B357&amp;"|"&amp;IF(C357="Mixed","External",IF(C357="Unknown","UoB",C357))&amp;"|"&amp;IF(F357&lt;=32,"32","40"),Reference!$D$5:$D$12,0)),""))</f>
        <v/>
      </c>
      <c r="J357" s="11" t="str">
        <f t="shared" si="32"/>
        <v/>
      </c>
      <c r="K357" s="12"/>
      <c r="L357" s="11" t="str">
        <f t="shared" si="33"/>
        <v/>
      </c>
      <c r="M357" s="12"/>
      <c r="N357" s="12"/>
      <c r="O357" s="11" t="str">
        <f t="shared" si="34"/>
        <v/>
      </c>
      <c r="P357" s="10" t="str">
        <f t="shared" si="35"/>
        <v/>
      </c>
    </row>
    <row r="358" spans="1:16" ht="15" customHeight="1" x14ac:dyDescent="0.2">
      <c r="A358" s="8"/>
      <c r="B358" s="8"/>
      <c r="C358" s="8"/>
      <c r="D358" s="9"/>
      <c r="E358" s="9"/>
      <c r="F358" s="8"/>
      <c r="G358" s="10" t="str">
        <f t="shared" si="30"/>
        <v/>
      </c>
      <c r="H358" s="10" t="str">
        <f t="shared" si="31"/>
        <v/>
      </c>
      <c r="I358" s="11" t="str">
        <f>IF(B358="Recreation",IFERROR(INDEX(RecPricing!$E$5:$E$10,MATCH(IF(C358="Mixed","External",IF(C358="Unknown","UoB",C358))&amp;"|"&amp;IF(F358&lt;=24,"&lt;=24",IF(F358&lt;=32,"&lt;=32","Above32")),RecPricing!$F$5:$F$10,0)),""),IFERROR(INDEX(Reference!$E$5:$E$12,MATCH(B358&amp;"|"&amp;IF(C358="Mixed","External",IF(C358="Unknown","UoB",C358))&amp;"|"&amp;IF(F358&lt;=32,"32","40"),Reference!$D$5:$D$12,0)),""))</f>
        <v/>
      </c>
      <c r="J358" s="11" t="str">
        <f t="shared" si="32"/>
        <v/>
      </c>
      <c r="K358" s="12"/>
      <c r="L358" s="11" t="str">
        <f t="shared" si="33"/>
        <v/>
      </c>
      <c r="M358" s="12"/>
      <c r="N358" s="12"/>
      <c r="O358" s="11" t="str">
        <f t="shared" si="34"/>
        <v/>
      </c>
      <c r="P358" s="10" t="str">
        <f t="shared" si="35"/>
        <v/>
      </c>
    </row>
    <row r="359" spans="1:16" ht="15" customHeight="1" x14ac:dyDescent="0.2">
      <c r="A359" s="8"/>
      <c r="B359" s="8"/>
      <c r="C359" s="8"/>
      <c r="D359" s="9"/>
      <c r="E359" s="9"/>
      <c r="F359" s="8"/>
      <c r="G359" s="10" t="str">
        <f t="shared" si="30"/>
        <v/>
      </c>
      <c r="H359" s="10" t="str">
        <f t="shared" si="31"/>
        <v/>
      </c>
      <c r="I359" s="11" t="str">
        <f>IF(B359="Recreation",IFERROR(INDEX(RecPricing!$E$5:$E$10,MATCH(IF(C359="Mixed","External",IF(C359="Unknown","UoB",C359))&amp;"|"&amp;IF(F359&lt;=24,"&lt;=24",IF(F359&lt;=32,"&lt;=32","Above32")),RecPricing!$F$5:$F$10,0)),""),IFERROR(INDEX(Reference!$E$5:$E$12,MATCH(B359&amp;"|"&amp;IF(C359="Mixed","External",IF(C359="Unknown","UoB",C359))&amp;"|"&amp;IF(F359&lt;=32,"32","40"),Reference!$D$5:$D$12,0)),""))</f>
        <v/>
      </c>
      <c r="J359" s="11" t="str">
        <f t="shared" si="32"/>
        <v/>
      </c>
      <c r="K359" s="12"/>
      <c r="L359" s="11" t="str">
        <f t="shared" si="33"/>
        <v/>
      </c>
      <c r="M359" s="12"/>
      <c r="N359" s="12"/>
      <c r="O359" s="11" t="str">
        <f t="shared" si="34"/>
        <v/>
      </c>
      <c r="P359" s="10" t="str">
        <f t="shared" si="35"/>
        <v/>
      </c>
    </row>
    <row r="360" spans="1:16" ht="15" customHeight="1" x14ac:dyDescent="0.2">
      <c r="A360" s="8"/>
      <c r="B360" s="8"/>
      <c r="C360" s="8"/>
      <c r="D360" s="9"/>
      <c r="E360" s="9"/>
      <c r="F360" s="8"/>
      <c r="G360" s="10" t="str">
        <f t="shared" si="30"/>
        <v/>
      </c>
      <c r="H360" s="10" t="str">
        <f t="shared" si="31"/>
        <v/>
      </c>
      <c r="I360" s="11" t="str">
        <f>IF(B360="Recreation",IFERROR(INDEX(RecPricing!$E$5:$E$10,MATCH(IF(C360="Mixed","External",IF(C360="Unknown","UoB",C360))&amp;"|"&amp;IF(F360&lt;=24,"&lt;=24",IF(F360&lt;=32,"&lt;=32","Above32")),RecPricing!$F$5:$F$10,0)),""),IFERROR(INDEX(Reference!$E$5:$E$12,MATCH(B360&amp;"|"&amp;IF(C360="Mixed","External",IF(C360="Unknown","UoB",C360))&amp;"|"&amp;IF(F360&lt;=32,"32","40"),Reference!$D$5:$D$12,0)),""))</f>
        <v/>
      </c>
      <c r="J360" s="11" t="str">
        <f t="shared" si="32"/>
        <v/>
      </c>
      <c r="K360" s="12"/>
      <c r="L360" s="11" t="str">
        <f t="shared" si="33"/>
        <v/>
      </c>
      <c r="M360" s="12"/>
      <c r="N360" s="12"/>
      <c r="O360" s="11" t="str">
        <f t="shared" si="34"/>
        <v/>
      </c>
      <c r="P360" s="10" t="str">
        <f t="shared" si="35"/>
        <v/>
      </c>
    </row>
    <row r="361" spans="1:16" ht="15" customHeight="1" x14ac:dyDescent="0.2">
      <c r="A361" s="8"/>
      <c r="B361" s="8"/>
      <c r="C361" s="8"/>
      <c r="D361" s="9"/>
      <c r="E361" s="9"/>
      <c r="F361" s="8"/>
      <c r="G361" s="10" t="str">
        <f t="shared" si="30"/>
        <v/>
      </c>
      <c r="H361" s="10" t="str">
        <f t="shared" si="31"/>
        <v/>
      </c>
      <c r="I361" s="11" t="str">
        <f>IF(B361="Recreation",IFERROR(INDEX(RecPricing!$E$5:$E$10,MATCH(IF(C361="Mixed","External",IF(C361="Unknown","UoB",C361))&amp;"|"&amp;IF(F361&lt;=24,"&lt;=24",IF(F361&lt;=32,"&lt;=32","Above32")),RecPricing!$F$5:$F$10,0)),""),IFERROR(INDEX(Reference!$E$5:$E$12,MATCH(B361&amp;"|"&amp;IF(C361="Mixed","External",IF(C361="Unknown","UoB",C361))&amp;"|"&amp;IF(F361&lt;=32,"32","40"),Reference!$D$5:$D$12,0)),""))</f>
        <v/>
      </c>
      <c r="J361" s="11" t="str">
        <f t="shared" si="32"/>
        <v/>
      </c>
      <c r="K361" s="12"/>
      <c r="L361" s="11" t="str">
        <f t="shared" si="33"/>
        <v/>
      </c>
      <c r="M361" s="12"/>
      <c r="N361" s="12"/>
      <c r="O361" s="11" t="str">
        <f t="shared" si="34"/>
        <v/>
      </c>
      <c r="P361" s="10" t="str">
        <f t="shared" si="35"/>
        <v/>
      </c>
    </row>
    <row r="362" spans="1:16" ht="15" customHeight="1" x14ac:dyDescent="0.2">
      <c r="A362" s="8"/>
      <c r="B362" s="8"/>
      <c r="C362" s="8"/>
      <c r="D362" s="9"/>
      <c r="E362" s="9"/>
      <c r="F362" s="8"/>
      <c r="G362" s="10" t="str">
        <f t="shared" si="30"/>
        <v/>
      </c>
      <c r="H362" s="10" t="str">
        <f t="shared" si="31"/>
        <v/>
      </c>
      <c r="I362" s="11" t="str">
        <f>IF(B362="Recreation",IFERROR(INDEX(RecPricing!$E$5:$E$10,MATCH(IF(C362="Mixed","External",IF(C362="Unknown","UoB",C362))&amp;"|"&amp;IF(F362&lt;=24,"&lt;=24",IF(F362&lt;=32,"&lt;=32","Above32")),RecPricing!$F$5:$F$10,0)),""),IFERROR(INDEX(Reference!$E$5:$E$12,MATCH(B362&amp;"|"&amp;IF(C362="Mixed","External",IF(C362="Unknown","UoB",C362))&amp;"|"&amp;IF(F362&lt;=32,"32","40"),Reference!$D$5:$D$12,0)),""))</f>
        <v/>
      </c>
      <c r="J362" s="11" t="str">
        <f t="shared" si="32"/>
        <v/>
      </c>
      <c r="K362" s="12"/>
      <c r="L362" s="11" t="str">
        <f t="shared" si="33"/>
        <v/>
      </c>
      <c r="M362" s="12"/>
      <c r="N362" s="12"/>
      <c r="O362" s="11" t="str">
        <f t="shared" si="34"/>
        <v/>
      </c>
      <c r="P362" s="10" t="str">
        <f t="shared" si="35"/>
        <v/>
      </c>
    </row>
    <row r="363" spans="1:16" ht="15" customHeight="1" x14ac:dyDescent="0.2">
      <c r="A363" s="8"/>
      <c r="B363" s="8"/>
      <c r="C363" s="8"/>
      <c r="D363" s="9"/>
      <c r="E363" s="9"/>
      <c r="F363" s="8"/>
      <c r="G363" s="10" t="str">
        <f t="shared" si="30"/>
        <v/>
      </c>
      <c r="H363" s="10" t="str">
        <f t="shared" si="31"/>
        <v/>
      </c>
      <c r="I363" s="11" t="str">
        <f>IF(B363="Recreation",IFERROR(INDEX(RecPricing!$E$5:$E$10,MATCH(IF(C363="Mixed","External",IF(C363="Unknown","UoB",C363))&amp;"|"&amp;IF(F363&lt;=24,"&lt;=24",IF(F363&lt;=32,"&lt;=32","Above32")),RecPricing!$F$5:$F$10,0)),""),IFERROR(INDEX(Reference!$E$5:$E$12,MATCH(B363&amp;"|"&amp;IF(C363="Mixed","External",IF(C363="Unknown","UoB",C363))&amp;"|"&amp;IF(F363&lt;=32,"32","40"),Reference!$D$5:$D$12,0)),""))</f>
        <v/>
      </c>
      <c r="J363" s="11" t="str">
        <f t="shared" si="32"/>
        <v/>
      </c>
      <c r="K363" s="12"/>
      <c r="L363" s="11" t="str">
        <f t="shared" si="33"/>
        <v/>
      </c>
      <c r="M363" s="12"/>
      <c r="N363" s="12"/>
      <c r="O363" s="11" t="str">
        <f t="shared" si="34"/>
        <v/>
      </c>
      <c r="P363" s="10" t="str">
        <f t="shared" si="35"/>
        <v/>
      </c>
    </row>
    <row r="364" spans="1:16" ht="15" customHeight="1" x14ac:dyDescent="0.2">
      <c r="A364" s="8"/>
      <c r="B364" s="8"/>
      <c r="C364" s="8"/>
      <c r="D364" s="9"/>
      <c r="E364" s="9"/>
      <c r="F364" s="8"/>
      <c r="G364" s="10" t="str">
        <f t="shared" si="30"/>
        <v/>
      </c>
      <c r="H364" s="10" t="str">
        <f t="shared" si="31"/>
        <v/>
      </c>
      <c r="I364" s="11" t="str">
        <f>IF(B364="Recreation",IFERROR(INDEX(RecPricing!$E$5:$E$10,MATCH(IF(C364="Mixed","External",IF(C364="Unknown","UoB",C364))&amp;"|"&amp;IF(F364&lt;=24,"&lt;=24",IF(F364&lt;=32,"&lt;=32","Above32")),RecPricing!$F$5:$F$10,0)),""),IFERROR(INDEX(Reference!$E$5:$E$12,MATCH(B364&amp;"|"&amp;IF(C364="Mixed","External",IF(C364="Unknown","UoB",C364))&amp;"|"&amp;IF(F364&lt;=32,"32","40"),Reference!$D$5:$D$12,0)),""))</f>
        <v/>
      </c>
      <c r="J364" s="11" t="str">
        <f t="shared" si="32"/>
        <v/>
      </c>
      <c r="K364" s="12"/>
      <c r="L364" s="11" t="str">
        <f t="shared" si="33"/>
        <v/>
      </c>
      <c r="M364" s="12"/>
      <c r="N364" s="12"/>
      <c r="O364" s="11" t="str">
        <f t="shared" si="34"/>
        <v/>
      </c>
      <c r="P364" s="10" t="str">
        <f t="shared" si="35"/>
        <v/>
      </c>
    </row>
    <row r="365" spans="1:16" ht="15" customHeight="1" x14ac:dyDescent="0.2">
      <c r="A365" s="8"/>
      <c r="B365" s="8"/>
      <c r="C365" s="8"/>
      <c r="D365" s="9"/>
      <c r="E365" s="9"/>
      <c r="F365" s="8"/>
      <c r="G365" s="10" t="str">
        <f t="shared" si="30"/>
        <v/>
      </c>
      <c r="H365" s="10" t="str">
        <f t="shared" si="31"/>
        <v/>
      </c>
      <c r="I365" s="11" t="str">
        <f>IF(B365="Recreation",IFERROR(INDEX(RecPricing!$E$5:$E$10,MATCH(IF(C365="Mixed","External",IF(C365="Unknown","UoB",C365))&amp;"|"&amp;IF(F365&lt;=24,"&lt;=24",IF(F365&lt;=32,"&lt;=32","Above32")),RecPricing!$F$5:$F$10,0)),""),IFERROR(INDEX(Reference!$E$5:$E$12,MATCH(B365&amp;"|"&amp;IF(C365="Mixed","External",IF(C365="Unknown","UoB",C365))&amp;"|"&amp;IF(F365&lt;=32,"32","40"),Reference!$D$5:$D$12,0)),""))</f>
        <v/>
      </c>
      <c r="J365" s="11" t="str">
        <f t="shared" si="32"/>
        <v/>
      </c>
      <c r="K365" s="12"/>
      <c r="L365" s="11" t="str">
        <f t="shared" si="33"/>
        <v/>
      </c>
      <c r="M365" s="12"/>
      <c r="N365" s="12"/>
      <c r="O365" s="11" t="str">
        <f t="shared" si="34"/>
        <v/>
      </c>
      <c r="P365" s="10" t="str">
        <f t="shared" si="35"/>
        <v/>
      </c>
    </row>
    <row r="366" spans="1:16" ht="15" customHeight="1" x14ac:dyDescent="0.2">
      <c r="A366" s="8"/>
      <c r="B366" s="8"/>
      <c r="C366" s="8"/>
      <c r="D366" s="9"/>
      <c r="E366" s="9"/>
      <c r="F366" s="8"/>
      <c r="G366" s="10" t="str">
        <f t="shared" si="30"/>
        <v/>
      </c>
      <c r="H366" s="10" t="str">
        <f t="shared" si="31"/>
        <v/>
      </c>
      <c r="I366" s="11" t="str">
        <f>IF(B366="Recreation",IFERROR(INDEX(RecPricing!$E$5:$E$10,MATCH(IF(C366="Mixed","External",IF(C366="Unknown","UoB",C366))&amp;"|"&amp;IF(F366&lt;=24,"&lt;=24",IF(F366&lt;=32,"&lt;=32","Above32")),RecPricing!$F$5:$F$10,0)),""),IFERROR(INDEX(Reference!$E$5:$E$12,MATCH(B366&amp;"|"&amp;IF(C366="Mixed","External",IF(C366="Unknown","UoB",C366))&amp;"|"&amp;IF(F366&lt;=32,"32","40"),Reference!$D$5:$D$12,0)),""))</f>
        <v/>
      </c>
      <c r="J366" s="11" t="str">
        <f t="shared" si="32"/>
        <v/>
      </c>
      <c r="K366" s="12"/>
      <c r="L366" s="11" t="str">
        <f t="shared" si="33"/>
        <v/>
      </c>
      <c r="M366" s="12"/>
      <c r="N366" s="12"/>
      <c r="O366" s="11" t="str">
        <f t="shared" si="34"/>
        <v/>
      </c>
      <c r="P366" s="10" t="str">
        <f t="shared" si="35"/>
        <v/>
      </c>
    </row>
    <row r="367" spans="1:16" ht="15" customHeight="1" x14ac:dyDescent="0.2">
      <c r="A367" s="8"/>
      <c r="B367" s="8"/>
      <c r="C367" s="8"/>
      <c r="D367" s="9"/>
      <c r="E367" s="9"/>
      <c r="F367" s="8"/>
      <c r="G367" s="10" t="str">
        <f t="shared" si="30"/>
        <v/>
      </c>
      <c r="H367" s="10" t="str">
        <f t="shared" si="31"/>
        <v/>
      </c>
      <c r="I367" s="11" t="str">
        <f>IF(B367="Recreation",IFERROR(INDEX(RecPricing!$E$5:$E$10,MATCH(IF(C367="Mixed","External",IF(C367="Unknown","UoB",C367))&amp;"|"&amp;IF(F367&lt;=24,"&lt;=24",IF(F367&lt;=32,"&lt;=32","Above32")),RecPricing!$F$5:$F$10,0)),""),IFERROR(INDEX(Reference!$E$5:$E$12,MATCH(B367&amp;"|"&amp;IF(C367="Mixed","External",IF(C367="Unknown","UoB",C367))&amp;"|"&amp;IF(F367&lt;=32,"32","40"),Reference!$D$5:$D$12,0)),""))</f>
        <v/>
      </c>
      <c r="J367" s="11" t="str">
        <f t="shared" si="32"/>
        <v/>
      </c>
      <c r="K367" s="12"/>
      <c r="L367" s="11" t="str">
        <f t="shared" si="33"/>
        <v/>
      </c>
      <c r="M367" s="12"/>
      <c r="N367" s="12"/>
      <c r="O367" s="11" t="str">
        <f t="shared" si="34"/>
        <v/>
      </c>
      <c r="P367" s="10" t="str">
        <f t="shared" si="35"/>
        <v/>
      </c>
    </row>
    <row r="368" spans="1:16" ht="15" customHeight="1" x14ac:dyDescent="0.2">
      <c r="A368" s="8"/>
      <c r="B368" s="8"/>
      <c r="C368" s="8"/>
      <c r="D368" s="9"/>
      <c r="E368" s="9"/>
      <c r="F368" s="8"/>
      <c r="G368" s="10" t="str">
        <f t="shared" si="30"/>
        <v/>
      </c>
      <c r="H368" s="10" t="str">
        <f t="shared" si="31"/>
        <v/>
      </c>
      <c r="I368" s="11" t="str">
        <f>IF(B368="Recreation",IFERROR(INDEX(RecPricing!$E$5:$E$10,MATCH(IF(C368="Mixed","External",IF(C368="Unknown","UoB",C368))&amp;"|"&amp;IF(F368&lt;=24,"&lt;=24",IF(F368&lt;=32,"&lt;=32","Above32")),RecPricing!$F$5:$F$10,0)),""),IFERROR(INDEX(Reference!$E$5:$E$12,MATCH(B368&amp;"|"&amp;IF(C368="Mixed","External",IF(C368="Unknown","UoB",C368))&amp;"|"&amp;IF(F368&lt;=32,"32","40"),Reference!$D$5:$D$12,0)),""))</f>
        <v/>
      </c>
      <c r="J368" s="11" t="str">
        <f t="shared" si="32"/>
        <v/>
      </c>
      <c r="K368" s="12"/>
      <c r="L368" s="11" t="str">
        <f t="shared" si="33"/>
        <v/>
      </c>
      <c r="M368" s="12"/>
      <c r="N368" s="12"/>
      <c r="O368" s="11" t="str">
        <f t="shared" si="34"/>
        <v/>
      </c>
      <c r="P368" s="10" t="str">
        <f t="shared" si="35"/>
        <v/>
      </c>
    </row>
    <row r="369" spans="1:16" ht="15" customHeight="1" x14ac:dyDescent="0.2">
      <c r="A369" s="8"/>
      <c r="B369" s="8"/>
      <c r="C369" s="8"/>
      <c r="D369" s="9"/>
      <c r="E369" s="9"/>
      <c r="F369" s="8"/>
      <c r="G369" s="10" t="str">
        <f t="shared" si="30"/>
        <v/>
      </c>
      <c r="H369" s="10" t="str">
        <f t="shared" si="31"/>
        <v/>
      </c>
      <c r="I369" s="11" t="str">
        <f>IF(B369="Recreation",IFERROR(INDEX(RecPricing!$E$5:$E$10,MATCH(IF(C369="Mixed","External",IF(C369="Unknown","UoB",C369))&amp;"|"&amp;IF(F369&lt;=24,"&lt;=24",IF(F369&lt;=32,"&lt;=32","Above32")),RecPricing!$F$5:$F$10,0)),""),IFERROR(INDEX(Reference!$E$5:$E$12,MATCH(B369&amp;"|"&amp;IF(C369="Mixed","External",IF(C369="Unknown","UoB",C369))&amp;"|"&amp;IF(F369&lt;=32,"32","40"),Reference!$D$5:$D$12,0)),""))</f>
        <v/>
      </c>
      <c r="J369" s="11" t="str">
        <f t="shared" si="32"/>
        <v/>
      </c>
      <c r="K369" s="12"/>
      <c r="L369" s="11" t="str">
        <f t="shared" si="33"/>
        <v/>
      </c>
      <c r="M369" s="12"/>
      <c r="N369" s="12"/>
      <c r="O369" s="11" t="str">
        <f t="shared" si="34"/>
        <v/>
      </c>
      <c r="P369" s="10" t="str">
        <f t="shared" si="35"/>
        <v/>
      </c>
    </row>
    <row r="370" spans="1:16" ht="15" customHeight="1" x14ac:dyDescent="0.2">
      <c r="A370" s="8"/>
      <c r="B370" s="8"/>
      <c r="C370" s="8"/>
      <c r="D370" s="9"/>
      <c r="E370" s="9"/>
      <c r="F370" s="8"/>
      <c r="G370" s="10" t="str">
        <f t="shared" si="30"/>
        <v/>
      </c>
      <c r="H370" s="10" t="str">
        <f t="shared" si="31"/>
        <v/>
      </c>
      <c r="I370" s="11" t="str">
        <f>IF(B370="Recreation",IFERROR(INDEX(RecPricing!$E$5:$E$10,MATCH(IF(C370="Mixed","External",IF(C370="Unknown","UoB",C370))&amp;"|"&amp;IF(F370&lt;=24,"&lt;=24",IF(F370&lt;=32,"&lt;=32","Above32")),RecPricing!$F$5:$F$10,0)),""),IFERROR(INDEX(Reference!$E$5:$E$12,MATCH(B370&amp;"|"&amp;IF(C370="Mixed","External",IF(C370="Unknown","UoB",C370))&amp;"|"&amp;IF(F370&lt;=32,"32","40"),Reference!$D$5:$D$12,0)),""))</f>
        <v/>
      </c>
      <c r="J370" s="11" t="str">
        <f t="shared" si="32"/>
        <v/>
      </c>
      <c r="K370" s="12"/>
      <c r="L370" s="11" t="str">
        <f t="shared" si="33"/>
        <v/>
      </c>
      <c r="M370" s="12"/>
      <c r="N370" s="12"/>
      <c r="O370" s="11" t="str">
        <f t="shared" si="34"/>
        <v/>
      </c>
      <c r="P370" s="10" t="str">
        <f t="shared" si="35"/>
        <v/>
      </c>
    </row>
    <row r="371" spans="1:16" ht="15" customHeight="1" x14ac:dyDescent="0.2">
      <c r="A371" s="8"/>
      <c r="B371" s="8"/>
      <c r="C371" s="8"/>
      <c r="D371" s="9"/>
      <c r="E371" s="9"/>
      <c r="F371" s="8"/>
      <c r="G371" s="10" t="str">
        <f t="shared" si="30"/>
        <v/>
      </c>
      <c r="H371" s="10" t="str">
        <f t="shared" si="31"/>
        <v/>
      </c>
      <c r="I371" s="11" t="str">
        <f>IF(B371="Recreation",IFERROR(INDEX(RecPricing!$E$5:$E$10,MATCH(IF(C371="Mixed","External",IF(C371="Unknown","UoB",C371))&amp;"|"&amp;IF(F371&lt;=24,"&lt;=24",IF(F371&lt;=32,"&lt;=32","Above32")),RecPricing!$F$5:$F$10,0)),""),IFERROR(INDEX(Reference!$E$5:$E$12,MATCH(B371&amp;"|"&amp;IF(C371="Mixed","External",IF(C371="Unknown","UoB",C371))&amp;"|"&amp;IF(F371&lt;=32,"32","40"),Reference!$D$5:$D$12,0)),""))</f>
        <v/>
      </c>
      <c r="J371" s="11" t="str">
        <f t="shared" si="32"/>
        <v/>
      </c>
      <c r="K371" s="12"/>
      <c r="L371" s="11" t="str">
        <f t="shared" si="33"/>
        <v/>
      </c>
      <c r="M371" s="12"/>
      <c r="N371" s="12"/>
      <c r="O371" s="11" t="str">
        <f t="shared" si="34"/>
        <v/>
      </c>
      <c r="P371" s="10" t="str">
        <f t="shared" si="35"/>
        <v/>
      </c>
    </row>
    <row r="372" spans="1:16" ht="15" customHeight="1" x14ac:dyDescent="0.2">
      <c r="A372" s="8"/>
      <c r="B372" s="8"/>
      <c r="C372" s="8"/>
      <c r="D372" s="9"/>
      <c r="E372" s="9"/>
      <c r="F372" s="8"/>
      <c r="G372" s="10" t="str">
        <f t="shared" si="30"/>
        <v/>
      </c>
      <c r="H372" s="10" t="str">
        <f t="shared" si="31"/>
        <v/>
      </c>
      <c r="I372" s="11" t="str">
        <f>IF(B372="Recreation",IFERROR(INDEX(RecPricing!$E$5:$E$10,MATCH(IF(C372="Mixed","External",IF(C372="Unknown","UoB",C372))&amp;"|"&amp;IF(F372&lt;=24,"&lt;=24",IF(F372&lt;=32,"&lt;=32","Above32")),RecPricing!$F$5:$F$10,0)),""),IFERROR(INDEX(Reference!$E$5:$E$12,MATCH(B372&amp;"|"&amp;IF(C372="Mixed","External",IF(C372="Unknown","UoB",C372))&amp;"|"&amp;IF(F372&lt;=32,"32","40"),Reference!$D$5:$D$12,0)),""))</f>
        <v/>
      </c>
      <c r="J372" s="11" t="str">
        <f t="shared" si="32"/>
        <v/>
      </c>
      <c r="K372" s="12"/>
      <c r="L372" s="11" t="str">
        <f t="shared" si="33"/>
        <v/>
      </c>
      <c r="M372" s="12"/>
      <c r="N372" s="12"/>
      <c r="O372" s="11" t="str">
        <f t="shared" si="34"/>
        <v/>
      </c>
      <c r="P372" s="10" t="str">
        <f t="shared" si="35"/>
        <v/>
      </c>
    </row>
    <row r="373" spans="1:16" ht="15" customHeight="1" x14ac:dyDescent="0.2">
      <c r="A373" s="8"/>
      <c r="B373" s="8"/>
      <c r="C373" s="8"/>
      <c r="D373" s="9"/>
      <c r="E373" s="9"/>
      <c r="F373" s="8"/>
      <c r="G373" s="10" t="str">
        <f t="shared" si="30"/>
        <v/>
      </c>
      <c r="H373" s="10" t="str">
        <f t="shared" si="31"/>
        <v/>
      </c>
      <c r="I373" s="11" t="str">
        <f>IF(B373="Recreation",IFERROR(INDEX(RecPricing!$E$5:$E$10,MATCH(IF(C373="Mixed","External",IF(C373="Unknown","UoB",C373))&amp;"|"&amp;IF(F373&lt;=24,"&lt;=24",IF(F373&lt;=32,"&lt;=32","Above32")),RecPricing!$F$5:$F$10,0)),""),IFERROR(INDEX(Reference!$E$5:$E$12,MATCH(B373&amp;"|"&amp;IF(C373="Mixed","External",IF(C373="Unknown","UoB",C373))&amp;"|"&amp;IF(F373&lt;=32,"32","40"),Reference!$D$5:$D$12,0)),""))</f>
        <v/>
      </c>
      <c r="J373" s="11" t="str">
        <f t="shared" si="32"/>
        <v/>
      </c>
      <c r="K373" s="12"/>
      <c r="L373" s="11" t="str">
        <f t="shared" si="33"/>
        <v/>
      </c>
      <c r="M373" s="12"/>
      <c r="N373" s="12"/>
      <c r="O373" s="11" t="str">
        <f t="shared" si="34"/>
        <v/>
      </c>
      <c r="P373" s="10" t="str">
        <f t="shared" si="35"/>
        <v/>
      </c>
    </row>
    <row r="374" spans="1:16" ht="15" customHeight="1" x14ac:dyDescent="0.2">
      <c r="A374" s="8"/>
      <c r="B374" s="8"/>
      <c r="C374" s="8"/>
      <c r="D374" s="9"/>
      <c r="E374" s="9"/>
      <c r="F374" s="8"/>
      <c r="G374" s="10" t="str">
        <f t="shared" si="30"/>
        <v/>
      </c>
      <c r="H374" s="10" t="str">
        <f t="shared" si="31"/>
        <v/>
      </c>
      <c r="I374" s="11" t="str">
        <f>IF(B374="Recreation",IFERROR(INDEX(RecPricing!$E$5:$E$10,MATCH(IF(C374="Mixed","External",IF(C374="Unknown","UoB",C374))&amp;"|"&amp;IF(F374&lt;=24,"&lt;=24",IF(F374&lt;=32,"&lt;=32","Above32")),RecPricing!$F$5:$F$10,0)),""),IFERROR(INDEX(Reference!$E$5:$E$12,MATCH(B374&amp;"|"&amp;IF(C374="Mixed","External",IF(C374="Unknown","UoB",C374))&amp;"|"&amp;IF(F374&lt;=32,"32","40"),Reference!$D$5:$D$12,0)),""))</f>
        <v/>
      </c>
      <c r="J374" s="11" t="str">
        <f t="shared" si="32"/>
        <v/>
      </c>
      <c r="K374" s="12"/>
      <c r="L374" s="11" t="str">
        <f t="shared" si="33"/>
        <v/>
      </c>
      <c r="M374" s="12"/>
      <c r="N374" s="12"/>
      <c r="O374" s="11" t="str">
        <f t="shared" si="34"/>
        <v/>
      </c>
      <c r="P374" s="10" t="str">
        <f t="shared" si="35"/>
        <v/>
      </c>
    </row>
    <row r="375" spans="1:16" ht="15" customHeight="1" x14ac:dyDescent="0.2">
      <c r="A375" s="8"/>
      <c r="B375" s="8"/>
      <c r="C375" s="8"/>
      <c r="D375" s="9"/>
      <c r="E375" s="9"/>
      <c r="F375" s="8"/>
      <c r="G375" s="10" t="str">
        <f t="shared" si="30"/>
        <v/>
      </c>
      <c r="H375" s="10" t="str">
        <f t="shared" si="31"/>
        <v/>
      </c>
      <c r="I375" s="11" t="str">
        <f>IF(B375="Recreation",IFERROR(INDEX(RecPricing!$E$5:$E$10,MATCH(IF(C375="Mixed","External",IF(C375="Unknown","UoB",C375))&amp;"|"&amp;IF(F375&lt;=24,"&lt;=24",IF(F375&lt;=32,"&lt;=32","Above32")),RecPricing!$F$5:$F$10,0)),""),IFERROR(INDEX(Reference!$E$5:$E$12,MATCH(B375&amp;"|"&amp;IF(C375="Mixed","External",IF(C375="Unknown","UoB",C375))&amp;"|"&amp;IF(F375&lt;=32,"32","40"),Reference!$D$5:$D$12,0)),""))</f>
        <v/>
      </c>
      <c r="J375" s="11" t="str">
        <f t="shared" si="32"/>
        <v/>
      </c>
      <c r="K375" s="12"/>
      <c r="L375" s="11" t="str">
        <f t="shared" si="33"/>
        <v/>
      </c>
      <c r="M375" s="12"/>
      <c r="N375" s="12"/>
      <c r="O375" s="11" t="str">
        <f t="shared" si="34"/>
        <v/>
      </c>
      <c r="P375" s="10" t="str">
        <f t="shared" si="35"/>
        <v/>
      </c>
    </row>
    <row r="376" spans="1:16" ht="15" customHeight="1" x14ac:dyDescent="0.2">
      <c r="A376" s="8"/>
      <c r="B376" s="8"/>
      <c r="C376" s="8"/>
      <c r="D376" s="9"/>
      <c r="E376" s="9"/>
      <c r="F376" s="8"/>
      <c r="G376" s="10" t="str">
        <f t="shared" si="30"/>
        <v/>
      </c>
      <c r="H376" s="10" t="str">
        <f t="shared" si="31"/>
        <v/>
      </c>
      <c r="I376" s="11" t="str">
        <f>IF(B376="Recreation",IFERROR(INDEX(RecPricing!$E$5:$E$10,MATCH(IF(C376="Mixed","External",IF(C376="Unknown","UoB",C376))&amp;"|"&amp;IF(F376&lt;=24,"&lt;=24",IF(F376&lt;=32,"&lt;=32","Above32")),RecPricing!$F$5:$F$10,0)),""),IFERROR(INDEX(Reference!$E$5:$E$12,MATCH(B376&amp;"|"&amp;IF(C376="Mixed","External",IF(C376="Unknown","UoB",C376))&amp;"|"&amp;IF(F376&lt;=32,"32","40"),Reference!$D$5:$D$12,0)),""))</f>
        <v/>
      </c>
      <c r="J376" s="11" t="str">
        <f t="shared" si="32"/>
        <v/>
      </c>
      <c r="K376" s="12"/>
      <c r="L376" s="11" t="str">
        <f t="shared" si="33"/>
        <v/>
      </c>
      <c r="M376" s="12"/>
      <c r="N376" s="12"/>
      <c r="O376" s="11" t="str">
        <f t="shared" si="34"/>
        <v/>
      </c>
      <c r="P376" s="10" t="str">
        <f t="shared" si="35"/>
        <v/>
      </c>
    </row>
    <row r="377" spans="1:16" ht="15" customHeight="1" x14ac:dyDescent="0.2">
      <c r="A377" s="8"/>
      <c r="B377" s="8"/>
      <c r="C377" s="8"/>
      <c r="D377" s="9"/>
      <c r="E377" s="9"/>
      <c r="F377" s="8"/>
      <c r="G377" s="10" t="str">
        <f t="shared" si="30"/>
        <v/>
      </c>
      <c r="H377" s="10" t="str">
        <f t="shared" si="31"/>
        <v/>
      </c>
      <c r="I377" s="11" t="str">
        <f>IF(B377="Recreation",IFERROR(INDEX(RecPricing!$E$5:$E$10,MATCH(IF(C377="Mixed","External",IF(C377="Unknown","UoB",C377))&amp;"|"&amp;IF(F377&lt;=24,"&lt;=24",IF(F377&lt;=32,"&lt;=32","Above32")),RecPricing!$F$5:$F$10,0)),""),IFERROR(INDEX(Reference!$E$5:$E$12,MATCH(B377&amp;"|"&amp;IF(C377="Mixed","External",IF(C377="Unknown","UoB",C377))&amp;"|"&amp;IF(F377&lt;=32,"32","40"),Reference!$D$5:$D$12,0)),""))</f>
        <v/>
      </c>
      <c r="J377" s="11" t="str">
        <f t="shared" si="32"/>
        <v/>
      </c>
      <c r="K377" s="12"/>
      <c r="L377" s="11" t="str">
        <f t="shared" si="33"/>
        <v/>
      </c>
      <c r="M377" s="12"/>
      <c r="N377" s="12"/>
      <c r="O377" s="11" t="str">
        <f t="shared" si="34"/>
        <v/>
      </c>
      <c r="P377" s="10" t="str">
        <f t="shared" si="35"/>
        <v/>
      </c>
    </row>
    <row r="378" spans="1:16" ht="15" customHeight="1" x14ac:dyDescent="0.2">
      <c r="A378" s="8"/>
      <c r="B378" s="8"/>
      <c r="C378" s="8"/>
      <c r="D378" s="9"/>
      <c r="E378" s="9"/>
      <c r="F378" s="8"/>
      <c r="G378" s="10" t="str">
        <f t="shared" si="30"/>
        <v/>
      </c>
      <c r="H378" s="10" t="str">
        <f t="shared" si="31"/>
        <v/>
      </c>
      <c r="I378" s="11" t="str">
        <f>IF(B378="Recreation",IFERROR(INDEX(RecPricing!$E$5:$E$10,MATCH(IF(C378="Mixed","External",IF(C378="Unknown","UoB",C378))&amp;"|"&amp;IF(F378&lt;=24,"&lt;=24",IF(F378&lt;=32,"&lt;=32","Above32")),RecPricing!$F$5:$F$10,0)),""),IFERROR(INDEX(Reference!$E$5:$E$12,MATCH(B378&amp;"|"&amp;IF(C378="Mixed","External",IF(C378="Unknown","UoB",C378))&amp;"|"&amp;IF(F378&lt;=32,"32","40"),Reference!$D$5:$D$12,0)),""))</f>
        <v/>
      </c>
      <c r="J378" s="11" t="str">
        <f t="shared" si="32"/>
        <v/>
      </c>
      <c r="K378" s="12"/>
      <c r="L378" s="11" t="str">
        <f t="shared" si="33"/>
        <v/>
      </c>
      <c r="M378" s="12"/>
      <c r="N378" s="12"/>
      <c r="O378" s="11" t="str">
        <f t="shared" si="34"/>
        <v/>
      </c>
      <c r="P378" s="10" t="str">
        <f t="shared" si="35"/>
        <v/>
      </c>
    </row>
    <row r="379" spans="1:16" ht="15" customHeight="1" x14ac:dyDescent="0.2">
      <c r="A379" s="8"/>
      <c r="B379" s="8"/>
      <c r="C379" s="8"/>
      <c r="D379" s="9"/>
      <c r="E379" s="9"/>
      <c r="F379" s="8"/>
      <c r="G379" s="10" t="str">
        <f t="shared" si="30"/>
        <v/>
      </c>
      <c r="H379" s="10" t="str">
        <f t="shared" si="31"/>
        <v/>
      </c>
      <c r="I379" s="11" t="str">
        <f>IF(B379="Recreation",IFERROR(INDEX(RecPricing!$E$5:$E$10,MATCH(IF(C379="Mixed","External",IF(C379="Unknown","UoB",C379))&amp;"|"&amp;IF(F379&lt;=24,"&lt;=24",IF(F379&lt;=32,"&lt;=32","Above32")),RecPricing!$F$5:$F$10,0)),""),IFERROR(INDEX(Reference!$E$5:$E$12,MATCH(B379&amp;"|"&amp;IF(C379="Mixed","External",IF(C379="Unknown","UoB",C379))&amp;"|"&amp;IF(F379&lt;=32,"32","40"),Reference!$D$5:$D$12,0)),""))</f>
        <v/>
      </c>
      <c r="J379" s="11" t="str">
        <f t="shared" si="32"/>
        <v/>
      </c>
      <c r="K379" s="12"/>
      <c r="L379" s="11" t="str">
        <f t="shared" si="33"/>
        <v/>
      </c>
      <c r="M379" s="12"/>
      <c r="N379" s="12"/>
      <c r="O379" s="11" t="str">
        <f t="shared" si="34"/>
        <v/>
      </c>
      <c r="P379" s="10" t="str">
        <f t="shared" si="35"/>
        <v/>
      </c>
    </row>
    <row r="380" spans="1:16" ht="15" customHeight="1" x14ac:dyDescent="0.2">
      <c r="A380" s="8"/>
      <c r="B380" s="8"/>
      <c r="C380" s="8"/>
      <c r="D380" s="9"/>
      <c r="E380" s="9"/>
      <c r="F380" s="8"/>
      <c r="G380" s="10" t="str">
        <f t="shared" si="30"/>
        <v/>
      </c>
      <c r="H380" s="10" t="str">
        <f t="shared" si="31"/>
        <v/>
      </c>
      <c r="I380" s="11" t="str">
        <f>IF(B380="Recreation",IFERROR(INDEX(RecPricing!$E$5:$E$10,MATCH(IF(C380="Mixed","External",IF(C380="Unknown","UoB",C380))&amp;"|"&amp;IF(F380&lt;=24,"&lt;=24",IF(F380&lt;=32,"&lt;=32","Above32")),RecPricing!$F$5:$F$10,0)),""),IFERROR(INDEX(Reference!$E$5:$E$12,MATCH(B380&amp;"|"&amp;IF(C380="Mixed","External",IF(C380="Unknown","UoB",C380))&amp;"|"&amp;IF(F380&lt;=32,"32","40"),Reference!$D$5:$D$12,0)),""))</f>
        <v/>
      </c>
      <c r="J380" s="11" t="str">
        <f t="shared" si="32"/>
        <v/>
      </c>
      <c r="K380" s="12"/>
      <c r="L380" s="11" t="str">
        <f t="shared" si="33"/>
        <v/>
      </c>
      <c r="M380" s="12"/>
      <c r="N380" s="12"/>
      <c r="O380" s="11" t="str">
        <f t="shared" si="34"/>
        <v/>
      </c>
      <c r="P380" s="10" t="str">
        <f t="shared" si="35"/>
        <v/>
      </c>
    </row>
    <row r="381" spans="1:16" ht="15" customHeight="1" x14ac:dyDescent="0.2">
      <c r="A381" s="8"/>
      <c r="B381" s="8"/>
      <c r="C381" s="8"/>
      <c r="D381" s="9"/>
      <c r="E381" s="9"/>
      <c r="F381" s="8"/>
      <c r="G381" s="10" t="str">
        <f t="shared" si="30"/>
        <v/>
      </c>
      <c r="H381" s="10" t="str">
        <f t="shared" si="31"/>
        <v/>
      </c>
      <c r="I381" s="11" t="str">
        <f>IF(B381="Recreation",IFERROR(INDEX(RecPricing!$E$5:$E$10,MATCH(IF(C381="Mixed","External",IF(C381="Unknown","UoB",C381))&amp;"|"&amp;IF(F381&lt;=24,"&lt;=24",IF(F381&lt;=32,"&lt;=32","Above32")),RecPricing!$F$5:$F$10,0)),""),IFERROR(INDEX(Reference!$E$5:$E$12,MATCH(B381&amp;"|"&amp;IF(C381="Mixed","External",IF(C381="Unknown","UoB",C381))&amp;"|"&amp;IF(F381&lt;=32,"32","40"),Reference!$D$5:$D$12,0)),""))</f>
        <v/>
      </c>
      <c r="J381" s="11" t="str">
        <f t="shared" si="32"/>
        <v/>
      </c>
      <c r="K381" s="12"/>
      <c r="L381" s="11" t="str">
        <f t="shared" si="33"/>
        <v/>
      </c>
      <c r="M381" s="12"/>
      <c r="N381" s="12"/>
      <c r="O381" s="11" t="str">
        <f t="shared" si="34"/>
        <v/>
      </c>
      <c r="P381" s="10" t="str">
        <f t="shared" si="35"/>
        <v/>
      </c>
    </row>
    <row r="382" spans="1:16" ht="15" customHeight="1" x14ac:dyDescent="0.2">
      <c r="A382" s="8"/>
      <c r="B382" s="8"/>
      <c r="C382" s="8"/>
      <c r="D382" s="9"/>
      <c r="E382" s="9"/>
      <c r="F382" s="8"/>
      <c r="G382" s="10" t="str">
        <f t="shared" si="30"/>
        <v/>
      </c>
      <c r="H382" s="10" t="str">
        <f t="shared" si="31"/>
        <v/>
      </c>
      <c r="I382" s="11" t="str">
        <f>IF(B382="Recreation",IFERROR(INDEX(RecPricing!$E$5:$E$10,MATCH(IF(C382="Mixed","External",IF(C382="Unknown","UoB",C382))&amp;"|"&amp;IF(F382&lt;=24,"&lt;=24",IF(F382&lt;=32,"&lt;=32","Above32")),RecPricing!$F$5:$F$10,0)),""),IFERROR(INDEX(Reference!$E$5:$E$12,MATCH(B382&amp;"|"&amp;IF(C382="Mixed","External",IF(C382="Unknown","UoB",C382))&amp;"|"&amp;IF(F382&lt;=32,"32","40"),Reference!$D$5:$D$12,0)),""))</f>
        <v/>
      </c>
      <c r="J382" s="11" t="str">
        <f t="shared" si="32"/>
        <v/>
      </c>
      <c r="K382" s="12"/>
      <c r="L382" s="11" t="str">
        <f t="shared" si="33"/>
        <v/>
      </c>
      <c r="M382" s="12"/>
      <c r="N382" s="12"/>
      <c r="O382" s="11" t="str">
        <f t="shared" si="34"/>
        <v/>
      </c>
      <c r="P382" s="10" t="str">
        <f t="shared" si="35"/>
        <v/>
      </c>
    </row>
    <row r="383" spans="1:16" ht="15" customHeight="1" x14ac:dyDescent="0.2">
      <c r="A383" s="8"/>
      <c r="B383" s="8"/>
      <c r="C383" s="8"/>
      <c r="D383" s="9"/>
      <c r="E383" s="9"/>
      <c r="F383" s="8"/>
      <c r="G383" s="10" t="str">
        <f t="shared" ref="G383:G446" si="36">IF(OR(D383="",E383=""),"",E383-D383)</f>
        <v/>
      </c>
      <c r="H383" s="10" t="str">
        <f t="shared" ref="H383:H446" si="37">IF(OR(F383="",G383=""),"",F383*G383)</f>
        <v/>
      </c>
      <c r="I383" s="11" t="str">
        <f>IF(B383="Recreation",IFERROR(INDEX(RecPricing!$E$5:$E$10,MATCH(IF(C383="Mixed","External",IF(C383="Unknown","UoB",C383))&amp;"|"&amp;IF(F383&lt;=24,"&lt;=24",IF(F383&lt;=32,"&lt;=32","Above32")),RecPricing!$F$5:$F$10,0)),""),IFERROR(INDEX(Reference!$E$5:$E$12,MATCH(B383&amp;"|"&amp;IF(C383="Mixed","External",IF(C383="Unknown","UoB",C383))&amp;"|"&amp;IF(F383&lt;=32,"32","40"),Reference!$D$5:$D$12,0)),""))</f>
        <v/>
      </c>
      <c r="J383" s="11" t="str">
        <f t="shared" ref="J383:J446" si="38">IF(I383="","",IF(B383="Recreation",IF(F383&lt;=32,I383,I383*IF(F383="",0,F383)),IF(AND(I383&lt;&gt;"",G383&lt;&gt;""),I383*G383,"")))</f>
        <v/>
      </c>
      <c r="K383" s="12"/>
      <c r="L383" s="11" t="str">
        <f t="shared" ref="L383:L446" si="39">IF(J383="","",J383-IF(K383="",0,K383))</f>
        <v/>
      </c>
      <c r="M383" s="12"/>
      <c r="N383" s="12"/>
      <c r="O383" s="11" t="str">
        <f t="shared" ref="O383:O446" si="40">IF(L383="","",L383-IF(M383="",0,M383)-IF(N383="",0,N383))</f>
        <v/>
      </c>
      <c r="P383" s="10" t="str">
        <f t="shared" ref="P383:P446" si="41">IF(D383="","",IF(MONTH(D383)&gt;=8,YEAR(D383)&amp;"-"&amp;RIGHT(YEAR(D383)+1,2),YEAR(D383)-1&amp;"-"&amp;RIGHT(YEAR(D383),2)))</f>
        <v/>
      </c>
    </row>
    <row r="384" spans="1:16" ht="15" customHeight="1" x14ac:dyDescent="0.2">
      <c r="A384" s="8"/>
      <c r="B384" s="8"/>
      <c r="C384" s="8"/>
      <c r="D384" s="9"/>
      <c r="E384" s="9"/>
      <c r="F384" s="8"/>
      <c r="G384" s="10" t="str">
        <f t="shared" si="36"/>
        <v/>
      </c>
      <c r="H384" s="10" t="str">
        <f t="shared" si="37"/>
        <v/>
      </c>
      <c r="I384" s="11" t="str">
        <f>IF(B384="Recreation",IFERROR(INDEX(RecPricing!$E$5:$E$10,MATCH(IF(C384="Mixed","External",IF(C384="Unknown","UoB",C384))&amp;"|"&amp;IF(F384&lt;=24,"&lt;=24",IF(F384&lt;=32,"&lt;=32","Above32")),RecPricing!$F$5:$F$10,0)),""),IFERROR(INDEX(Reference!$E$5:$E$12,MATCH(B384&amp;"|"&amp;IF(C384="Mixed","External",IF(C384="Unknown","UoB",C384))&amp;"|"&amp;IF(F384&lt;=32,"32","40"),Reference!$D$5:$D$12,0)),""))</f>
        <v/>
      </c>
      <c r="J384" s="11" t="str">
        <f t="shared" si="38"/>
        <v/>
      </c>
      <c r="K384" s="12"/>
      <c r="L384" s="11" t="str">
        <f t="shared" si="39"/>
        <v/>
      </c>
      <c r="M384" s="12"/>
      <c r="N384" s="12"/>
      <c r="O384" s="11" t="str">
        <f t="shared" si="40"/>
        <v/>
      </c>
      <c r="P384" s="10" t="str">
        <f t="shared" si="41"/>
        <v/>
      </c>
    </row>
    <row r="385" spans="1:16" ht="15" customHeight="1" x14ac:dyDescent="0.2">
      <c r="A385" s="8"/>
      <c r="B385" s="8"/>
      <c r="C385" s="8"/>
      <c r="D385" s="9"/>
      <c r="E385" s="9"/>
      <c r="F385" s="8"/>
      <c r="G385" s="10" t="str">
        <f t="shared" si="36"/>
        <v/>
      </c>
      <c r="H385" s="10" t="str">
        <f t="shared" si="37"/>
        <v/>
      </c>
      <c r="I385" s="11" t="str">
        <f>IF(B385="Recreation",IFERROR(INDEX(RecPricing!$E$5:$E$10,MATCH(IF(C385="Mixed","External",IF(C385="Unknown","UoB",C385))&amp;"|"&amp;IF(F385&lt;=24,"&lt;=24",IF(F385&lt;=32,"&lt;=32","Above32")),RecPricing!$F$5:$F$10,0)),""),IFERROR(INDEX(Reference!$E$5:$E$12,MATCH(B385&amp;"|"&amp;IF(C385="Mixed","External",IF(C385="Unknown","UoB",C385))&amp;"|"&amp;IF(F385&lt;=32,"32","40"),Reference!$D$5:$D$12,0)),""))</f>
        <v/>
      </c>
      <c r="J385" s="11" t="str">
        <f t="shared" si="38"/>
        <v/>
      </c>
      <c r="K385" s="12"/>
      <c r="L385" s="11" t="str">
        <f t="shared" si="39"/>
        <v/>
      </c>
      <c r="M385" s="12"/>
      <c r="N385" s="12"/>
      <c r="O385" s="11" t="str">
        <f t="shared" si="40"/>
        <v/>
      </c>
      <c r="P385" s="10" t="str">
        <f t="shared" si="41"/>
        <v/>
      </c>
    </row>
    <row r="386" spans="1:16" ht="15" customHeight="1" x14ac:dyDescent="0.2">
      <c r="A386" s="8"/>
      <c r="B386" s="8"/>
      <c r="C386" s="8"/>
      <c r="D386" s="9"/>
      <c r="E386" s="9"/>
      <c r="F386" s="8"/>
      <c r="G386" s="10" t="str">
        <f t="shared" si="36"/>
        <v/>
      </c>
      <c r="H386" s="10" t="str">
        <f t="shared" si="37"/>
        <v/>
      </c>
      <c r="I386" s="11" t="str">
        <f>IF(B386="Recreation",IFERROR(INDEX(RecPricing!$E$5:$E$10,MATCH(IF(C386="Mixed","External",IF(C386="Unknown","UoB",C386))&amp;"|"&amp;IF(F386&lt;=24,"&lt;=24",IF(F386&lt;=32,"&lt;=32","Above32")),RecPricing!$F$5:$F$10,0)),""),IFERROR(INDEX(Reference!$E$5:$E$12,MATCH(B386&amp;"|"&amp;IF(C386="Mixed","External",IF(C386="Unknown","UoB",C386))&amp;"|"&amp;IF(F386&lt;=32,"32","40"),Reference!$D$5:$D$12,0)),""))</f>
        <v/>
      </c>
      <c r="J386" s="11" t="str">
        <f t="shared" si="38"/>
        <v/>
      </c>
      <c r="K386" s="12"/>
      <c r="L386" s="11" t="str">
        <f t="shared" si="39"/>
        <v/>
      </c>
      <c r="M386" s="12"/>
      <c r="N386" s="12"/>
      <c r="O386" s="11" t="str">
        <f t="shared" si="40"/>
        <v/>
      </c>
      <c r="P386" s="10" t="str">
        <f t="shared" si="41"/>
        <v/>
      </c>
    </row>
    <row r="387" spans="1:16" ht="15" customHeight="1" x14ac:dyDescent="0.2">
      <c r="A387" s="8"/>
      <c r="B387" s="8"/>
      <c r="C387" s="8"/>
      <c r="D387" s="9"/>
      <c r="E387" s="9"/>
      <c r="F387" s="8"/>
      <c r="G387" s="10" t="str">
        <f t="shared" si="36"/>
        <v/>
      </c>
      <c r="H387" s="10" t="str">
        <f t="shared" si="37"/>
        <v/>
      </c>
      <c r="I387" s="11" t="str">
        <f>IF(B387="Recreation",IFERROR(INDEX(RecPricing!$E$5:$E$10,MATCH(IF(C387="Mixed","External",IF(C387="Unknown","UoB",C387))&amp;"|"&amp;IF(F387&lt;=24,"&lt;=24",IF(F387&lt;=32,"&lt;=32","Above32")),RecPricing!$F$5:$F$10,0)),""),IFERROR(INDEX(Reference!$E$5:$E$12,MATCH(B387&amp;"|"&amp;IF(C387="Mixed","External",IF(C387="Unknown","UoB",C387))&amp;"|"&amp;IF(F387&lt;=32,"32","40"),Reference!$D$5:$D$12,0)),""))</f>
        <v/>
      </c>
      <c r="J387" s="11" t="str">
        <f t="shared" si="38"/>
        <v/>
      </c>
      <c r="K387" s="12"/>
      <c r="L387" s="11" t="str">
        <f t="shared" si="39"/>
        <v/>
      </c>
      <c r="M387" s="12"/>
      <c r="N387" s="12"/>
      <c r="O387" s="11" t="str">
        <f t="shared" si="40"/>
        <v/>
      </c>
      <c r="P387" s="10" t="str">
        <f t="shared" si="41"/>
        <v/>
      </c>
    </row>
    <row r="388" spans="1:16" ht="15" customHeight="1" x14ac:dyDescent="0.2">
      <c r="A388" s="8"/>
      <c r="B388" s="8"/>
      <c r="C388" s="8"/>
      <c r="D388" s="9"/>
      <c r="E388" s="9"/>
      <c r="F388" s="8"/>
      <c r="G388" s="10" t="str">
        <f t="shared" si="36"/>
        <v/>
      </c>
      <c r="H388" s="10" t="str">
        <f t="shared" si="37"/>
        <v/>
      </c>
      <c r="I388" s="11" t="str">
        <f>IF(B388="Recreation",IFERROR(INDEX(RecPricing!$E$5:$E$10,MATCH(IF(C388="Mixed","External",IF(C388="Unknown","UoB",C388))&amp;"|"&amp;IF(F388&lt;=24,"&lt;=24",IF(F388&lt;=32,"&lt;=32","Above32")),RecPricing!$F$5:$F$10,0)),""),IFERROR(INDEX(Reference!$E$5:$E$12,MATCH(B388&amp;"|"&amp;IF(C388="Mixed","External",IF(C388="Unknown","UoB",C388))&amp;"|"&amp;IF(F388&lt;=32,"32","40"),Reference!$D$5:$D$12,0)),""))</f>
        <v/>
      </c>
      <c r="J388" s="11" t="str">
        <f t="shared" si="38"/>
        <v/>
      </c>
      <c r="K388" s="12"/>
      <c r="L388" s="11" t="str">
        <f t="shared" si="39"/>
        <v/>
      </c>
      <c r="M388" s="12"/>
      <c r="N388" s="12"/>
      <c r="O388" s="11" t="str">
        <f t="shared" si="40"/>
        <v/>
      </c>
      <c r="P388" s="10" t="str">
        <f t="shared" si="41"/>
        <v/>
      </c>
    </row>
    <row r="389" spans="1:16" ht="15" customHeight="1" x14ac:dyDescent="0.2">
      <c r="A389" s="8"/>
      <c r="B389" s="8"/>
      <c r="C389" s="8"/>
      <c r="D389" s="9"/>
      <c r="E389" s="9"/>
      <c r="F389" s="8"/>
      <c r="G389" s="10" t="str">
        <f t="shared" si="36"/>
        <v/>
      </c>
      <c r="H389" s="10" t="str">
        <f t="shared" si="37"/>
        <v/>
      </c>
      <c r="I389" s="11" t="str">
        <f>IF(B389="Recreation",IFERROR(INDEX(RecPricing!$E$5:$E$10,MATCH(IF(C389="Mixed","External",IF(C389="Unknown","UoB",C389))&amp;"|"&amp;IF(F389&lt;=24,"&lt;=24",IF(F389&lt;=32,"&lt;=32","Above32")),RecPricing!$F$5:$F$10,0)),""),IFERROR(INDEX(Reference!$E$5:$E$12,MATCH(B389&amp;"|"&amp;IF(C389="Mixed","External",IF(C389="Unknown","UoB",C389))&amp;"|"&amp;IF(F389&lt;=32,"32","40"),Reference!$D$5:$D$12,0)),""))</f>
        <v/>
      </c>
      <c r="J389" s="11" t="str">
        <f t="shared" si="38"/>
        <v/>
      </c>
      <c r="K389" s="12"/>
      <c r="L389" s="11" t="str">
        <f t="shared" si="39"/>
        <v/>
      </c>
      <c r="M389" s="12"/>
      <c r="N389" s="12"/>
      <c r="O389" s="11" t="str">
        <f t="shared" si="40"/>
        <v/>
      </c>
      <c r="P389" s="10" t="str">
        <f t="shared" si="41"/>
        <v/>
      </c>
    </row>
    <row r="390" spans="1:16" ht="15" customHeight="1" x14ac:dyDescent="0.2">
      <c r="A390" s="8"/>
      <c r="B390" s="8"/>
      <c r="C390" s="8"/>
      <c r="D390" s="9"/>
      <c r="E390" s="9"/>
      <c r="F390" s="8"/>
      <c r="G390" s="10" t="str">
        <f t="shared" si="36"/>
        <v/>
      </c>
      <c r="H390" s="10" t="str">
        <f t="shared" si="37"/>
        <v/>
      </c>
      <c r="I390" s="11" t="str">
        <f>IF(B390="Recreation",IFERROR(INDEX(RecPricing!$E$5:$E$10,MATCH(IF(C390="Mixed","External",IF(C390="Unknown","UoB",C390))&amp;"|"&amp;IF(F390&lt;=24,"&lt;=24",IF(F390&lt;=32,"&lt;=32","Above32")),RecPricing!$F$5:$F$10,0)),""),IFERROR(INDEX(Reference!$E$5:$E$12,MATCH(B390&amp;"|"&amp;IF(C390="Mixed","External",IF(C390="Unknown","UoB",C390))&amp;"|"&amp;IF(F390&lt;=32,"32","40"),Reference!$D$5:$D$12,0)),""))</f>
        <v/>
      </c>
      <c r="J390" s="11" t="str">
        <f t="shared" si="38"/>
        <v/>
      </c>
      <c r="K390" s="12"/>
      <c r="L390" s="11" t="str">
        <f t="shared" si="39"/>
        <v/>
      </c>
      <c r="M390" s="12"/>
      <c r="N390" s="12"/>
      <c r="O390" s="11" t="str">
        <f t="shared" si="40"/>
        <v/>
      </c>
      <c r="P390" s="10" t="str">
        <f t="shared" si="41"/>
        <v/>
      </c>
    </row>
    <row r="391" spans="1:16" ht="15" customHeight="1" x14ac:dyDescent="0.2">
      <c r="A391" s="8"/>
      <c r="B391" s="8"/>
      <c r="C391" s="8"/>
      <c r="D391" s="9"/>
      <c r="E391" s="9"/>
      <c r="F391" s="8"/>
      <c r="G391" s="10" t="str">
        <f t="shared" si="36"/>
        <v/>
      </c>
      <c r="H391" s="10" t="str">
        <f t="shared" si="37"/>
        <v/>
      </c>
      <c r="I391" s="11" t="str">
        <f>IF(B391="Recreation",IFERROR(INDEX(RecPricing!$E$5:$E$10,MATCH(IF(C391="Mixed","External",IF(C391="Unknown","UoB",C391))&amp;"|"&amp;IF(F391&lt;=24,"&lt;=24",IF(F391&lt;=32,"&lt;=32","Above32")),RecPricing!$F$5:$F$10,0)),""),IFERROR(INDEX(Reference!$E$5:$E$12,MATCH(B391&amp;"|"&amp;IF(C391="Mixed","External",IF(C391="Unknown","UoB",C391))&amp;"|"&amp;IF(F391&lt;=32,"32","40"),Reference!$D$5:$D$12,0)),""))</f>
        <v/>
      </c>
      <c r="J391" s="11" t="str">
        <f t="shared" si="38"/>
        <v/>
      </c>
      <c r="K391" s="12"/>
      <c r="L391" s="11" t="str">
        <f t="shared" si="39"/>
        <v/>
      </c>
      <c r="M391" s="12"/>
      <c r="N391" s="12"/>
      <c r="O391" s="11" t="str">
        <f t="shared" si="40"/>
        <v/>
      </c>
      <c r="P391" s="10" t="str">
        <f t="shared" si="41"/>
        <v/>
      </c>
    </row>
    <row r="392" spans="1:16" ht="15" customHeight="1" x14ac:dyDescent="0.2">
      <c r="A392" s="8"/>
      <c r="B392" s="8"/>
      <c r="C392" s="8"/>
      <c r="D392" s="9"/>
      <c r="E392" s="9"/>
      <c r="F392" s="8"/>
      <c r="G392" s="10" t="str">
        <f t="shared" si="36"/>
        <v/>
      </c>
      <c r="H392" s="10" t="str">
        <f t="shared" si="37"/>
        <v/>
      </c>
      <c r="I392" s="11" t="str">
        <f>IF(B392="Recreation",IFERROR(INDEX(RecPricing!$E$5:$E$10,MATCH(IF(C392="Mixed","External",IF(C392="Unknown","UoB",C392))&amp;"|"&amp;IF(F392&lt;=24,"&lt;=24",IF(F392&lt;=32,"&lt;=32","Above32")),RecPricing!$F$5:$F$10,0)),""),IFERROR(INDEX(Reference!$E$5:$E$12,MATCH(B392&amp;"|"&amp;IF(C392="Mixed","External",IF(C392="Unknown","UoB",C392))&amp;"|"&amp;IF(F392&lt;=32,"32","40"),Reference!$D$5:$D$12,0)),""))</f>
        <v/>
      </c>
      <c r="J392" s="11" t="str">
        <f t="shared" si="38"/>
        <v/>
      </c>
      <c r="K392" s="12"/>
      <c r="L392" s="11" t="str">
        <f t="shared" si="39"/>
        <v/>
      </c>
      <c r="M392" s="12"/>
      <c r="N392" s="12"/>
      <c r="O392" s="11" t="str">
        <f t="shared" si="40"/>
        <v/>
      </c>
      <c r="P392" s="10" t="str">
        <f t="shared" si="41"/>
        <v/>
      </c>
    </row>
    <row r="393" spans="1:16" ht="15" customHeight="1" x14ac:dyDescent="0.2">
      <c r="A393" s="8"/>
      <c r="B393" s="8"/>
      <c r="C393" s="8"/>
      <c r="D393" s="9"/>
      <c r="E393" s="9"/>
      <c r="F393" s="8"/>
      <c r="G393" s="10" t="str">
        <f t="shared" si="36"/>
        <v/>
      </c>
      <c r="H393" s="10" t="str">
        <f t="shared" si="37"/>
        <v/>
      </c>
      <c r="I393" s="11" t="str">
        <f>IF(B393="Recreation",IFERROR(INDEX(RecPricing!$E$5:$E$10,MATCH(IF(C393="Mixed","External",IF(C393="Unknown","UoB",C393))&amp;"|"&amp;IF(F393&lt;=24,"&lt;=24",IF(F393&lt;=32,"&lt;=32","Above32")),RecPricing!$F$5:$F$10,0)),""),IFERROR(INDEX(Reference!$E$5:$E$12,MATCH(B393&amp;"|"&amp;IF(C393="Mixed","External",IF(C393="Unknown","UoB",C393))&amp;"|"&amp;IF(F393&lt;=32,"32","40"),Reference!$D$5:$D$12,0)),""))</f>
        <v/>
      </c>
      <c r="J393" s="11" t="str">
        <f t="shared" si="38"/>
        <v/>
      </c>
      <c r="K393" s="12"/>
      <c r="L393" s="11" t="str">
        <f t="shared" si="39"/>
        <v/>
      </c>
      <c r="M393" s="12"/>
      <c r="N393" s="12"/>
      <c r="O393" s="11" t="str">
        <f t="shared" si="40"/>
        <v/>
      </c>
      <c r="P393" s="10" t="str">
        <f t="shared" si="41"/>
        <v/>
      </c>
    </row>
    <row r="394" spans="1:16" ht="15" customHeight="1" x14ac:dyDescent="0.2">
      <c r="A394" s="8"/>
      <c r="B394" s="8"/>
      <c r="C394" s="8"/>
      <c r="D394" s="9"/>
      <c r="E394" s="9"/>
      <c r="F394" s="8"/>
      <c r="G394" s="10" t="str">
        <f t="shared" si="36"/>
        <v/>
      </c>
      <c r="H394" s="10" t="str">
        <f t="shared" si="37"/>
        <v/>
      </c>
      <c r="I394" s="11" t="str">
        <f>IF(B394="Recreation",IFERROR(INDEX(RecPricing!$E$5:$E$10,MATCH(IF(C394="Mixed","External",IF(C394="Unknown","UoB",C394))&amp;"|"&amp;IF(F394&lt;=24,"&lt;=24",IF(F394&lt;=32,"&lt;=32","Above32")),RecPricing!$F$5:$F$10,0)),""),IFERROR(INDEX(Reference!$E$5:$E$12,MATCH(B394&amp;"|"&amp;IF(C394="Mixed","External",IF(C394="Unknown","UoB",C394))&amp;"|"&amp;IF(F394&lt;=32,"32","40"),Reference!$D$5:$D$12,0)),""))</f>
        <v/>
      </c>
      <c r="J394" s="11" t="str">
        <f t="shared" si="38"/>
        <v/>
      </c>
      <c r="K394" s="12"/>
      <c r="L394" s="11" t="str">
        <f t="shared" si="39"/>
        <v/>
      </c>
      <c r="M394" s="12"/>
      <c r="N394" s="12"/>
      <c r="O394" s="11" t="str">
        <f t="shared" si="40"/>
        <v/>
      </c>
      <c r="P394" s="10" t="str">
        <f t="shared" si="41"/>
        <v/>
      </c>
    </row>
    <row r="395" spans="1:16" ht="15" customHeight="1" x14ac:dyDescent="0.2">
      <c r="A395" s="8"/>
      <c r="B395" s="8"/>
      <c r="C395" s="8"/>
      <c r="D395" s="9"/>
      <c r="E395" s="9"/>
      <c r="F395" s="8"/>
      <c r="G395" s="10" t="str">
        <f t="shared" si="36"/>
        <v/>
      </c>
      <c r="H395" s="10" t="str">
        <f t="shared" si="37"/>
        <v/>
      </c>
      <c r="I395" s="11" t="str">
        <f>IF(B395="Recreation",IFERROR(INDEX(RecPricing!$E$5:$E$10,MATCH(IF(C395="Mixed","External",IF(C395="Unknown","UoB",C395))&amp;"|"&amp;IF(F395&lt;=24,"&lt;=24",IF(F395&lt;=32,"&lt;=32","Above32")),RecPricing!$F$5:$F$10,0)),""),IFERROR(INDEX(Reference!$E$5:$E$12,MATCH(B395&amp;"|"&amp;IF(C395="Mixed","External",IF(C395="Unknown","UoB",C395))&amp;"|"&amp;IF(F395&lt;=32,"32","40"),Reference!$D$5:$D$12,0)),""))</f>
        <v/>
      </c>
      <c r="J395" s="11" t="str">
        <f t="shared" si="38"/>
        <v/>
      </c>
      <c r="K395" s="12"/>
      <c r="L395" s="11" t="str">
        <f t="shared" si="39"/>
        <v/>
      </c>
      <c r="M395" s="12"/>
      <c r="N395" s="12"/>
      <c r="O395" s="11" t="str">
        <f t="shared" si="40"/>
        <v/>
      </c>
      <c r="P395" s="10" t="str">
        <f t="shared" si="41"/>
        <v/>
      </c>
    </row>
    <row r="396" spans="1:16" ht="15" customHeight="1" x14ac:dyDescent="0.2">
      <c r="A396" s="8"/>
      <c r="B396" s="8"/>
      <c r="C396" s="8"/>
      <c r="D396" s="9"/>
      <c r="E396" s="9"/>
      <c r="F396" s="8"/>
      <c r="G396" s="10" t="str">
        <f t="shared" si="36"/>
        <v/>
      </c>
      <c r="H396" s="10" t="str">
        <f t="shared" si="37"/>
        <v/>
      </c>
      <c r="I396" s="11" t="str">
        <f>IF(B396="Recreation",IFERROR(INDEX(RecPricing!$E$5:$E$10,MATCH(IF(C396="Mixed","External",IF(C396="Unknown","UoB",C396))&amp;"|"&amp;IF(F396&lt;=24,"&lt;=24",IF(F396&lt;=32,"&lt;=32","Above32")),RecPricing!$F$5:$F$10,0)),""),IFERROR(INDEX(Reference!$E$5:$E$12,MATCH(B396&amp;"|"&amp;IF(C396="Mixed","External",IF(C396="Unknown","UoB",C396))&amp;"|"&amp;IF(F396&lt;=32,"32","40"),Reference!$D$5:$D$12,0)),""))</f>
        <v/>
      </c>
      <c r="J396" s="11" t="str">
        <f t="shared" si="38"/>
        <v/>
      </c>
      <c r="K396" s="12"/>
      <c r="L396" s="11" t="str">
        <f t="shared" si="39"/>
        <v/>
      </c>
      <c r="M396" s="12"/>
      <c r="N396" s="12"/>
      <c r="O396" s="11" t="str">
        <f t="shared" si="40"/>
        <v/>
      </c>
      <c r="P396" s="10" t="str">
        <f t="shared" si="41"/>
        <v/>
      </c>
    </row>
    <row r="397" spans="1:16" ht="15" customHeight="1" x14ac:dyDescent="0.2">
      <c r="A397" s="8"/>
      <c r="B397" s="8"/>
      <c r="C397" s="8"/>
      <c r="D397" s="9"/>
      <c r="E397" s="9"/>
      <c r="F397" s="8"/>
      <c r="G397" s="10" t="str">
        <f t="shared" si="36"/>
        <v/>
      </c>
      <c r="H397" s="10" t="str">
        <f t="shared" si="37"/>
        <v/>
      </c>
      <c r="I397" s="11" t="str">
        <f>IF(B397="Recreation",IFERROR(INDEX(RecPricing!$E$5:$E$10,MATCH(IF(C397="Mixed","External",IF(C397="Unknown","UoB",C397))&amp;"|"&amp;IF(F397&lt;=24,"&lt;=24",IF(F397&lt;=32,"&lt;=32","Above32")),RecPricing!$F$5:$F$10,0)),""),IFERROR(INDEX(Reference!$E$5:$E$12,MATCH(B397&amp;"|"&amp;IF(C397="Mixed","External",IF(C397="Unknown","UoB",C397))&amp;"|"&amp;IF(F397&lt;=32,"32","40"),Reference!$D$5:$D$12,0)),""))</f>
        <v/>
      </c>
      <c r="J397" s="11" t="str">
        <f t="shared" si="38"/>
        <v/>
      </c>
      <c r="K397" s="12"/>
      <c r="L397" s="11" t="str">
        <f t="shared" si="39"/>
        <v/>
      </c>
      <c r="M397" s="12"/>
      <c r="N397" s="12"/>
      <c r="O397" s="11" t="str">
        <f t="shared" si="40"/>
        <v/>
      </c>
      <c r="P397" s="10" t="str">
        <f t="shared" si="41"/>
        <v/>
      </c>
    </row>
    <row r="398" spans="1:16" ht="15" customHeight="1" x14ac:dyDescent="0.2">
      <c r="A398" s="8"/>
      <c r="B398" s="8"/>
      <c r="C398" s="8"/>
      <c r="D398" s="9"/>
      <c r="E398" s="9"/>
      <c r="F398" s="8"/>
      <c r="G398" s="10" t="str">
        <f t="shared" si="36"/>
        <v/>
      </c>
      <c r="H398" s="10" t="str">
        <f t="shared" si="37"/>
        <v/>
      </c>
      <c r="I398" s="11" t="str">
        <f>IF(B398="Recreation",IFERROR(INDEX(RecPricing!$E$5:$E$10,MATCH(IF(C398="Mixed","External",IF(C398="Unknown","UoB",C398))&amp;"|"&amp;IF(F398&lt;=24,"&lt;=24",IF(F398&lt;=32,"&lt;=32","Above32")),RecPricing!$F$5:$F$10,0)),""),IFERROR(INDEX(Reference!$E$5:$E$12,MATCH(B398&amp;"|"&amp;IF(C398="Mixed","External",IF(C398="Unknown","UoB",C398))&amp;"|"&amp;IF(F398&lt;=32,"32","40"),Reference!$D$5:$D$12,0)),""))</f>
        <v/>
      </c>
      <c r="J398" s="11" t="str">
        <f t="shared" si="38"/>
        <v/>
      </c>
      <c r="K398" s="12"/>
      <c r="L398" s="11" t="str">
        <f t="shared" si="39"/>
        <v/>
      </c>
      <c r="M398" s="12"/>
      <c r="N398" s="12"/>
      <c r="O398" s="11" t="str">
        <f t="shared" si="40"/>
        <v/>
      </c>
      <c r="P398" s="10" t="str">
        <f t="shared" si="41"/>
        <v/>
      </c>
    </row>
    <row r="399" spans="1:16" ht="15" customHeight="1" x14ac:dyDescent="0.2">
      <c r="A399" s="8"/>
      <c r="B399" s="8"/>
      <c r="C399" s="8"/>
      <c r="D399" s="9"/>
      <c r="E399" s="9"/>
      <c r="F399" s="8"/>
      <c r="G399" s="10" t="str">
        <f t="shared" si="36"/>
        <v/>
      </c>
      <c r="H399" s="10" t="str">
        <f t="shared" si="37"/>
        <v/>
      </c>
      <c r="I399" s="11" t="str">
        <f>IF(B399="Recreation",IFERROR(INDEX(RecPricing!$E$5:$E$10,MATCH(IF(C399="Mixed","External",IF(C399="Unknown","UoB",C399))&amp;"|"&amp;IF(F399&lt;=24,"&lt;=24",IF(F399&lt;=32,"&lt;=32","Above32")),RecPricing!$F$5:$F$10,0)),""),IFERROR(INDEX(Reference!$E$5:$E$12,MATCH(B399&amp;"|"&amp;IF(C399="Mixed","External",IF(C399="Unknown","UoB",C399))&amp;"|"&amp;IF(F399&lt;=32,"32","40"),Reference!$D$5:$D$12,0)),""))</f>
        <v/>
      </c>
      <c r="J399" s="11" t="str">
        <f t="shared" si="38"/>
        <v/>
      </c>
      <c r="K399" s="12"/>
      <c r="L399" s="11" t="str">
        <f t="shared" si="39"/>
        <v/>
      </c>
      <c r="M399" s="12"/>
      <c r="N399" s="12"/>
      <c r="O399" s="11" t="str">
        <f t="shared" si="40"/>
        <v/>
      </c>
      <c r="P399" s="10" t="str">
        <f t="shared" si="41"/>
        <v/>
      </c>
    </row>
    <row r="400" spans="1:16" ht="15" customHeight="1" x14ac:dyDescent="0.2">
      <c r="A400" s="8"/>
      <c r="B400" s="8"/>
      <c r="C400" s="8"/>
      <c r="D400" s="9"/>
      <c r="E400" s="9"/>
      <c r="F400" s="8"/>
      <c r="G400" s="10" t="str">
        <f t="shared" si="36"/>
        <v/>
      </c>
      <c r="H400" s="10" t="str">
        <f t="shared" si="37"/>
        <v/>
      </c>
      <c r="I400" s="11" t="str">
        <f>IF(B400="Recreation",IFERROR(INDEX(RecPricing!$E$5:$E$10,MATCH(IF(C400="Mixed","External",IF(C400="Unknown","UoB",C400))&amp;"|"&amp;IF(F400&lt;=24,"&lt;=24",IF(F400&lt;=32,"&lt;=32","Above32")),RecPricing!$F$5:$F$10,0)),""),IFERROR(INDEX(Reference!$E$5:$E$12,MATCH(B400&amp;"|"&amp;IF(C400="Mixed","External",IF(C400="Unknown","UoB",C400))&amp;"|"&amp;IF(F400&lt;=32,"32","40"),Reference!$D$5:$D$12,0)),""))</f>
        <v/>
      </c>
      <c r="J400" s="11" t="str">
        <f t="shared" si="38"/>
        <v/>
      </c>
      <c r="K400" s="12"/>
      <c r="L400" s="11" t="str">
        <f t="shared" si="39"/>
        <v/>
      </c>
      <c r="M400" s="12"/>
      <c r="N400" s="12"/>
      <c r="O400" s="11" t="str">
        <f t="shared" si="40"/>
        <v/>
      </c>
      <c r="P400" s="10" t="str">
        <f t="shared" si="41"/>
        <v/>
      </c>
    </row>
    <row r="401" spans="1:16" ht="15" customHeight="1" x14ac:dyDescent="0.2">
      <c r="A401" s="8"/>
      <c r="B401" s="8"/>
      <c r="C401" s="8"/>
      <c r="D401" s="9"/>
      <c r="E401" s="9"/>
      <c r="F401" s="8"/>
      <c r="G401" s="10" t="str">
        <f t="shared" si="36"/>
        <v/>
      </c>
      <c r="H401" s="10" t="str">
        <f t="shared" si="37"/>
        <v/>
      </c>
      <c r="I401" s="11" t="str">
        <f>IF(B401="Recreation",IFERROR(INDEX(RecPricing!$E$5:$E$10,MATCH(IF(C401="Mixed","External",IF(C401="Unknown","UoB",C401))&amp;"|"&amp;IF(F401&lt;=24,"&lt;=24",IF(F401&lt;=32,"&lt;=32","Above32")),RecPricing!$F$5:$F$10,0)),""),IFERROR(INDEX(Reference!$E$5:$E$12,MATCH(B401&amp;"|"&amp;IF(C401="Mixed","External",IF(C401="Unknown","UoB",C401))&amp;"|"&amp;IF(F401&lt;=32,"32","40"),Reference!$D$5:$D$12,0)),""))</f>
        <v/>
      </c>
      <c r="J401" s="11" t="str">
        <f t="shared" si="38"/>
        <v/>
      </c>
      <c r="K401" s="12"/>
      <c r="L401" s="11" t="str">
        <f t="shared" si="39"/>
        <v/>
      </c>
      <c r="M401" s="12"/>
      <c r="N401" s="12"/>
      <c r="O401" s="11" t="str">
        <f t="shared" si="40"/>
        <v/>
      </c>
      <c r="P401" s="10" t="str">
        <f t="shared" si="41"/>
        <v/>
      </c>
    </row>
    <row r="402" spans="1:16" ht="15" customHeight="1" x14ac:dyDescent="0.2">
      <c r="A402" s="8"/>
      <c r="B402" s="8"/>
      <c r="C402" s="8"/>
      <c r="D402" s="9"/>
      <c r="E402" s="9"/>
      <c r="F402" s="8"/>
      <c r="G402" s="10" t="str">
        <f t="shared" si="36"/>
        <v/>
      </c>
      <c r="H402" s="10" t="str">
        <f t="shared" si="37"/>
        <v/>
      </c>
      <c r="I402" s="11" t="str">
        <f>IF(B402="Recreation",IFERROR(INDEX(RecPricing!$E$5:$E$10,MATCH(IF(C402="Mixed","External",IF(C402="Unknown","UoB",C402))&amp;"|"&amp;IF(F402&lt;=24,"&lt;=24",IF(F402&lt;=32,"&lt;=32","Above32")),RecPricing!$F$5:$F$10,0)),""),IFERROR(INDEX(Reference!$E$5:$E$12,MATCH(B402&amp;"|"&amp;IF(C402="Mixed","External",IF(C402="Unknown","UoB",C402))&amp;"|"&amp;IF(F402&lt;=32,"32","40"),Reference!$D$5:$D$12,0)),""))</f>
        <v/>
      </c>
      <c r="J402" s="11" t="str">
        <f t="shared" si="38"/>
        <v/>
      </c>
      <c r="K402" s="12"/>
      <c r="L402" s="11" t="str">
        <f t="shared" si="39"/>
        <v/>
      </c>
      <c r="M402" s="12"/>
      <c r="N402" s="12"/>
      <c r="O402" s="11" t="str">
        <f t="shared" si="40"/>
        <v/>
      </c>
      <c r="P402" s="10" t="str">
        <f t="shared" si="41"/>
        <v/>
      </c>
    </row>
    <row r="403" spans="1:16" ht="15" customHeight="1" x14ac:dyDescent="0.2">
      <c r="A403" s="8"/>
      <c r="B403" s="8"/>
      <c r="C403" s="8"/>
      <c r="D403" s="9"/>
      <c r="E403" s="9"/>
      <c r="F403" s="8"/>
      <c r="G403" s="10" t="str">
        <f t="shared" si="36"/>
        <v/>
      </c>
      <c r="H403" s="10" t="str">
        <f t="shared" si="37"/>
        <v/>
      </c>
      <c r="I403" s="11" t="str">
        <f>IF(B403="Recreation",IFERROR(INDEX(RecPricing!$E$5:$E$10,MATCH(IF(C403="Mixed","External",IF(C403="Unknown","UoB",C403))&amp;"|"&amp;IF(F403&lt;=24,"&lt;=24",IF(F403&lt;=32,"&lt;=32","Above32")),RecPricing!$F$5:$F$10,0)),""),IFERROR(INDEX(Reference!$E$5:$E$12,MATCH(B403&amp;"|"&amp;IF(C403="Mixed","External",IF(C403="Unknown","UoB",C403))&amp;"|"&amp;IF(F403&lt;=32,"32","40"),Reference!$D$5:$D$12,0)),""))</f>
        <v/>
      </c>
      <c r="J403" s="11" t="str">
        <f t="shared" si="38"/>
        <v/>
      </c>
      <c r="K403" s="12"/>
      <c r="L403" s="11" t="str">
        <f t="shared" si="39"/>
        <v/>
      </c>
      <c r="M403" s="12"/>
      <c r="N403" s="12"/>
      <c r="O403" s="11" t="str">
        <f t="shared" si="40"/>
        <v/>
      </c>
      <c r="P403" s="10" t="str">
        <f t="shared" si="41"/>
        <v/>
      </c>
    </row>
    <row r="404" spans="1:16" ht="15" customHeight="1" x14ac:dyDescent="0.2">
      <c r="A404" s="8"/>
      <c r="B404" s="8"/>
      <c r="C404" s="8"/>
      <c r="D404" s="9"/>
      <c r="E404" s="9"/>
      <c r="F404" s="8"/>
      <c r="G404" s="10" t="str">
        <f t="shared" si="36"/>
        <v/>
      </c>
      <c r="H404" s="10" t="str">
        <f t="shared" si="37"/>
        <v/>
      </c>
      <c r="I404" s="11" t="str">
        <f>IF(B404="Recreation",IFERROR(INDEX(RecPricing!$E$5:$E$10,MATCH(IF(C404="Mixed","External",IF(C404="Unknown","UoB",C404))&amp;"|"&amp;IF(F404&lt;=24,"&lt;=24",IF(F404&lt;=32,"&lt;=32","Above32")),RecPricing!$F$5:$F$10,0)),""),IFERROR(INDEX(Reference!$E$5:$E$12,MATCH(B404&amp;"|"&amp;IF(C404="Mixed","External",IF(C404="Unknown","UoB",C404))&amp;"|"&amp;IF(F404&lt;=32,"32","40"),Reference!$D$5:$D$12,0)),""))</f>
        <v/>
      </c>
      <c r="J404" s="11" t="str">
        <f t="shared" si="38"/>
        <v/>
      </c>
      <c r="K404" s="12"/>
      <c r="L404" s="11" t="str">
        <f t="shared" si="39"/>
        <v/>
      </c>
      <c r="M404" s="12"/>
      <c r="N404" s="12"/>
      <c r="O404" s="11" t="str">
        <f t="shared" si="40"/>
        <v/>
      </c>
      <c r="P404" s="10" t="str">
        <f t="shared" si="41"/>
        <v/>
      </c>
    </row>
    <row r="405" spans="1:16" ht="15" customHeight="1" x14ac:dyDescent="0.2">
      <c r="A405" s="8"/>
      <c r="B405" s="8"/>
      <c r="C405" s="8"/>
      <c r="D405" s="9"/>
      <c r="E405" s="9"/>
      <c r="F405" s="8"/>
      <c r="G405" s="10" t="str">
        <f t="shared" si="36"/>
        <v/>
      </c>
      <c r="H405" s="10" t="str">
        <f t="shared" si="37"/>
        <v/>
      </c>
      <c r="I405" s="11" t="str">
        <f>IF(B405="Recreation",IFERROR(INDEX(RecPricing!$E$5:$E$10,MATCH(IF(C405="Mixed","External",IF(C405="Unknown","UoB",C405))&amp;"|"&amp;IF(F405&lt;=24,"&lt;=24",IF(F405&lt;=32,"&lt;=32","Above32")),RecPricing!$F$5:$F$10,0)),""),IFERROR(INDEX(Reference!$E$5:$E$12,MATCH(B405&amp;"|"&amp;IF(C405="Mixed","External",IF(C405="Unknown","UoB",C405))&amp;"|"&amp;IF(F405&lt;=32,"32","40"),Reference!$D$5:$D$12,0)),""))</f>
        <v/>
      </c>
      <c r="J405" s="11" t="str">
        <f t="shared" si="38"/>
        <v/>
      </c>
      <c r="K405" s="12"/>
      <c r="L405" s="11" t="str">
        <f t="shared" si="39"/>
        <v/>
      </c>
      <c r="M405" s="12"/>
      <c r="N405" s="12"/>
      <c r="O405" s="11" t="str">
        <f t="shared" si="40"/>
        <v/>
      </c>
      <c r="P405" s="10" t="str">
        <f t="shared" si="41"/>
        <v/>
      </c>
    </row>
    <row r="406" spans="1:16" ht="15" customHeight="1" x14ac:dyDescent="0.2">
      <c r="A406" s="8"/>
      <c r="B406" s="8"/>
      <c r="C406" s="8"/>
      <c r="D406" s="9"/>
      <c r="E406" s="9"/>
      <c r="F406" s="8"/>
      <c r="G406" s="10" t="str">
        <f t="shared" si="36"/>
        <v/>
      </c>
      <c r="H406" s="10" t="str">
        <f t="shared" si="37"/>
        <v/>
      </c>
      <c r="I406" s="11" t="str">
        <f>IF(B406="Recreation",IFERROR(INDEX(RecPricing!$E$5:$E$10,MATCH(IF(C406="Mixed","External",IF(C406="Unknown","UoB",C406))&amp;"|"&amp;IF(F406&lt;=24,"&lt;=24",IF(F406&lt;=32,"&lt;=32","Above32")),RecPricing!$F$5:$F$10,0)),""),IFERROR(INDEX(Reference!$E$5:$E$12,MATCH(B406&amp;"|"&amp;IF(C406="Mixed","External",IF(C406="Unknown","UoB",C406))&amp;"|"&amp;IF(F406&lt;=32,"32","40"),Reference!$D$5:$D$12,0)),""))</f>
        <v/>
      </c>
      <c r="J406" s="11" t="str">
        <f t="shared" si="38"/>
        <v/>
      </c>
      <c r="K406" s="12"/>
      <c r="L406" s="11" t="str">
        <f t="shared" si="39"/>
        <v/>
      </c>
      <c r="M406" s="12"/>
      <c r="N406" s="12"/>
      <c r="O406" s="11" t="str">
        <f t="shared" si="40"/>
        <v/>
      </c>
      <c r="P406" s="10" t="str">
        <f t="shared" si="41"/>
        <v/>
      </c>
    </row>
    <row r="407" spans="1:16" ht="15" customHeight="1" x14ac:dyDescent="0.2">
      <c r="A407" s="8"/>
      <c r="B407" s="8"/>
      <c r="C407" s="8"/>
      <c r="D407" s="9"/>
      <c r="E407" s="9"/>
      <c r="F407" s="8"/>
      <c r="G407" s="10" t="str">
        <f t="shared" si="36"/>
        <v/>
      </c>
      <c r="H407" s="10" t="str">
        <f t="shared" si="37"/>
        <v/>
      </c>
      <c r="I407" s="11" t="str">
        <f>IF(B407="Recreation",IFERROR(INDEX(RecPricing!$E$5:$E$10,MATCH(IF(C407="Mixed","External",IF(C407="Unknown","UoB",C407))&amp;"|"&amp;IF(F407&lt;=24,"&lt;=24",IF(F407&lt;=32,"&lt;=32","Above32")),RecPricing!$F$5:$F$10,0)),""),IFERROR(INDEX(Reference!$E$5:$E$12,MATCH(B407&amp;"|"&amp;IF(C407="Mixed","External",IF(C407="Unknown","UoB",C407))&amp;"|"&amp;IF(F407&lt;=32,"32","40"),Reference!$D$5:$D$12,0)),""))</f>
        <v/>
      </c>
      <c r="J407" s="11" t="str">
        <f t="shared" si="38"/>
        <v/>
      </c>
      <c r="K407" s="12"/>
      <c r="L407" s="11" t="str">
        <f t="shared" si="39"/>
        <v/>
      </c>
      <c r="M407" s="12"/>
      <c r="N407" s="12"/>
      <c r="O407" s="11" t="str">
        <f t="shared" si="40"/>
        <v/>
      </c>
      <c r="P407" s="10" t="str">
        <f t="shared" si="41"/>
        <v/>
      </c>
    </row>
    <row r="408" spans="1:16" ht="15" customHeight="1" x14ac:dyDescent="0.2">
      <c r="A408" s="8"/>
      <c r="B408" s="8"/>
      <c r="C408" s="8"/>
      <c r="D408" s="9"/>
      <c r="E408" s="9"/>
      <c r="F408" s="8"/>
      <c r="G408" s="10" t="str">
        <f t="shared" si="36"/>
        <v/>
      </c>
      <c r="H408" s="10" t="str">
        <f t="shared" si="37"/>
        <v/>
      </c>
      <c r="I408" s="11" t="str">
        <f>IF(B408="Recreation",IFERROR(INDEX(RecPricing!$E$5:$E$10,MATCH(IF(C408="Mixed","External",IF(C408="Unknown","UoB",C408))&amp;"|"&amp;IF(F408&lt;=24,"&lt;=24",IF(F408&lt;=32,"&lt;=32","Above32")),RecPricing!$F$5:$F$10,0)),""),IFERROR(INDEX(Reference!$E$5:$E$12,MATCH(B408&amp;"|"&amp;IF(C408="Mixed","External",IF(C408="Unknown","UoB",C408))&amp;"|"&amp;IF(F408&lt;=32,"32","40"),Reference!$D$5:$D$12,0)),""))</f>
        <v/>
      </c>
      <c r="J408" s="11" t="str">
        <f t="shared" si="38"/>
        <v/>
      </c>
      <c r="K408" s="12"/>
      <c r="L408" s="11" t="str">
        <f t="shared" si="39"/>
        <v/>
      </c>
      <c r="M408" s="12"/>
      <c r="N408" s="12"/>
      <c r="O408" s="11" t="str">
        <f t="shared" si="40"/>
        <v/>
      </c>
      <c r="P408" s="10" t="str">
        <f t="shared" si="41"/>
        <v/>
      </c>
    </row>
    <row r="409" spans="1:16" ht="15" customHeight="1" x14ac:dyDescent="0.2">
      <c r="A409" s="8"/>
      <c r="B409" s="8"/>
      <c r="C409" s="8"/>
      <c r="D409" s="9"/>
      <c r="E409" s="9"/>
      <c r="F409" s="8"/>
      <c r="G409" s="10" t="str">
        <f t="shared" si="36"/>
        <v/>
      </c>
      <c r="H409" s="10" t="str">
        <f t="shared" si="37"/>
        <v/>
      </c>
      <c r="I409" s="11" t="str">
        <f>IF(B409="Recreation",IFERROR(INDEX(RecPricing!$E$5:$E$10,MATCH(IF(C409="Mixed","External",IF(C409="Unknown","UoB",C409))&amp;"|"&amp;IF(F409&lt;=24,"&lt;=24",IF(F409&lt;=32,"&lt;=32","Above32")),RecPricing!$F$5:$F$10,0)),""),IFERROR(INDEX(Reference!$E$5:$E$12,MATCH(B409&amp;"|"&amp;IF(C409="Mixed","External",IF(C409="Unknown","UoB",C409))&amp;"|"&amp;IF(F409&lt;=32,"32","40"),Reference!$D$5:$D$12,0)),""))</f>
        <v/>
      </c>
      <c r="J409" s="11" t="str">
        <f t="shared" si="38"/>
        <v/>
      </c>
      <c r="K409" s="12"/>
      <c r="L409" s="11" t="str">
        <f t="shared" si="39"/>
        <v/>
      </c>
      <c r="M409" s="12"/>
      <c r="N409" s="12"/>
      <c r="O409" s="11" t="str">
        <f t="shared" si="40"/>
        <v/>
      </c>
      <c r="P409" s="10" t="str">
        <f t="shared" si="41"/>
        <v/>
      </c>
    </row>
    <row r="410" spans="1:16" ht="15" customHeight="1" x14ac:dyDescent="0.2">
      <c r="A410" s="8"/>
      <c r="B410" s="8"/>
      <c r="C410" s="8"/>
      <c r="D410" s="9"/>
      <c r="E410" s="9"/>
      <c r="F410" s="8"/>
      <c r="G410" s="10" t="str">
        <f t="shared" si="36"/>
        <v/>
      </c>
      <c r="H410" s="10" t="str">
        <f t="shared" si="37"/>
        <v/>
      </c>
      <c r="I410" s="11" t="str">
        <f>IF(B410="Recreation",IFERROR(INDEX(RecPricing!$E$5:$E$10,MATCH(IF(C410="Mixed","External",IF(C410="Unknown","UoB",C410))&amp;"|"&amp;IF(F410&lt;=24,"&lt;=24",IF(F410&lt;=32,"&lt;=32","Above32")),RecPricing!$F$5:$F$10,0)),""),IFERROR(INDEX(Reference!$E$5:$E$12,MATCH(B410&amp;"|"&amp;IF(C410="Mixed","External",IF(C410="Unknown","UoB",C410))&amp;"|"&amp;IF(F410&lt;=32,"32","40"),Reference!$D$5:$D$12,0)),""))</f>
        <v/>
      </c>
      <c r="J410" s="11" t="str">
        <f t="shared" si="38"/>
        <v/>
      </c>
      <c r="K410" s="12"/>
      <c r="L410" s="11" t="str">
        <f t="shared" si="39"/>
        <v/>
      </c>
      <c r="M410" s="12"/>
      <c r="N410" s="12"/>
      <c r="O410" s="11" t="str">
        <f t="shared" si="40"/>
        <v/>
      </c>
      <c r="P410" s="10" t="str">
        <f t="shared" si="41"/>
        <v/>
      </c>
    </row>
    <row r="411" spans="1:16" ht="15" customHeight="1" x14ac:dyDescent="0.2">
      <c r="A411" s="8"/>
      <c r="B411" s="8"/>
      <c r="C411" s="8"/>
      <c r="D411" s="9"/>
      <c r="E411" s="9"/>
      <c r="F411" s="8"/>
      <c r="G411" s="10" t="str">
        <f t="shared" si="36"/>
        <v/>
      </c>
      <c r="H411" s="10" t="str">
        <f t="shared" si="37"/>
        <v/>
      </c>
      <c r="I411" s="11" t="str">
        <f>IF(B411="Recreation",IFERROR(INDEX(RecPricing!$E$5:$E$10,MATCH(IF(C411="Mixed","External",IF(C411="Unknown","UoB",C411))&amp;"|"&amp;IF(F411&lt;=24,"&lt;=24",IF(F411&lt;=32,"&lt;=32","Above32")),RecPricing!$F$5:$F$10,0)),""),IFERROR(INDEX(Reference!$E$5:$E$12,MATCH(B411&amp;"|"&amp;IF(C411="Mixed","External",IF(C411="Unknown","UoB",C411))&amp;"|"&amp;IF(F411&lt;=32,"32","40"),Reference!$D$5:$D$12,0)),""))</f>
        <v/>
      </c>
      <c r="J411" s="11" t="str">
        <f t="shared" si="38"/>
        <v/>
      </c>
      <c r="K411" s="12"/>
      <c r="L411" s="11" t="str">
        <f t="shared" si="39"/>
        <v/>
      </c>
      <c r="M411" s="12"/>
      <c r="N411" s="12"/>
      <c r="O411" s="11" t="str">
        <f t="shared" si="40"/>
        <v/>
      </c>
      <c r="P411" s="10" t="str">
        <f t="shared" si="41"/>
        <v/>
      </c>
    </row>
    <row r="412" spans="1:16" ht="15" customHeight="1" x14ac:dyDescent="0.2">
      <c r="A412" s="8"/>
      <c r="B412" s="8"/>
      <c r="C412" s="8"/>
      <c r="D412" s="9"/>
      <c r="E412" s="9"/>
      <c r="F412" s="8"/>
      <c r="G412" s="10" t="str">
        <f t="shared" si="36"/>
        <v/>
      </c>
      <c r="H412" s="10" t="str">
        <f t="shared" si="37"/>
        <v/>
      </c>
      <c r="I412" s="11" t="str">
        <f>IF(B412="Recreation",IFERROR(INDEX(RecPricing!$E$5:$E$10,MATCH(IF(C412="Mixed","External",IF(C412="Unknown","UoB",C412))&amp;"|"&amp;IF(F412&lt;=24,"&lt;=24",IF(F412&lt;=32,"&lt;=32","Above32")),RecPricing!$F$5:$F$10,0)),""),IFERROR(INDEX(Reference!$E$5:$E$12,MATCH(B412&amp;"|"&amp;IF(C412="Mixed","External",IF(C412="Unknown","UoB",C412))&amp;"|"&amp;IF(F412&lt;=32,"32","40"),Reference!$D$5:$D$12,0)),""))</f>
        <v/>
      </c>
      <c r="J412" s="11" t="str">
        <f t="shared" si="38"/>
        <v/>
      </c>
      <c r="K412" s="12"/>
      <c r="L412" s="11" t="str">
        <f t="shared" si="39"/>
        <v/>
      </c>
      <c r="M412" s="12"/>
      <c r="N412" s="12"/>
      <c r="O412" s="11" t="str">
        <f t="shared" si="40"/>
        <v/>
      </c>
      <c r="P412" s="10" t="str">
        <f t="shared" si="41"/>
        <v/>
      </c>
    </row>
    <row r="413" spans="1:16" ht="15" customHeight="1" x14ac:dyDescent="0.2">
      <c r="A413" s="8"/>
      <c r="B413" s="8"/>
      <c r="C413" s="8"/>
      <c r="D413" s="9"/>
      <c r="E413" s="9"/>
      <c r="F413" s="8"/>
      <c r="G413" s="10" t="str">
        <f t="shared" si="36"/>
        <v/>
      </c>
      <c r="H413" s="10" t="str">
        <f t="shared" si="37"/>
        <v/>
      </c>
      <c r="I413" s="11" t="str">
        <f>IF(B413="Recreation",IFERROR(INDEX(RecPricing!$E$5:$E$10,MATCH(IF(C413="Mixed","External",IF(C413="Unknown","UoB",C413))&amp;"|"&amp;IF(F413&lt;=24,"&lt;=24",IF(F413&lt;=32,"&lt;=32","Above32")),RecPricing!$F$5:$F$10,0)),""),IFERROR(INDEX(Reference!$E$5:$E$12,MATCH(B413&amp;"|"&amp;IF(C413="Mixed","External",IF(C413="Unknown","UoB",C413))&amp;"|"&amp;IF(F413&lt;=32,"32","40"),Reference!$D$5:$D$12,0)),""))</f>
        <v/>
      </c>
      <c r="J413" s="11" t="str">
        <f t="shared" si="38"/>
        <v/>
      </c>
      <c r="K413" s="12"/>
      <c r="L413" s="11" t="str">
        <f t="shared" si="39"/>
        <v/>
      </c>
      <c r="M413" s="12"/>
      <c r="N413" s="12"/>
      <c r="O413" s="11" t="str">
        <f t="shared" si="40"/>
        <v/>
      </c>
      <c r="P413" s="10" t="str">
        <f t="shared" si="41"/>
        <v/>
      </c>
    </row>
    <row r="414" spans="1:16" ht="15" customHeight="1" x14ac:dyDescent="0.2">
      <c r="A414" s="8"/>
      <c r="B414" s="8"/>
      <c r="C414" s="8"/>
      <c r="D414" s="9"/>
      <c r="E414" s="9"/>
      <c r="F414" s="8"/>
      <c r="G414" s="10" t="str">
        <f t="shared" si="36"/>
        <v/>
      </c>
      <c r="H414" s="10" t="str">
        <f t="shared" si="37"/>
        <v/>
      </c>
      <c r="I414" s="11" t="str">
        <f>IF(B414="Recreation",IFERROR(INDEX(RecPricing!$E$5:$E$10,MATCH(IF(C414="Mixed","External",IF(C414="Unknown","UoB",C414))&amp;"|"&amp;IF(F414&lt;=24,"&lt;=24",IF(F414&lt;=32,"&lt;=32","Above32")),RecPricing!$F$5:$F$10,0)),""),IFERROR(INDEX(Reference!$E$5:$E$12,MATCH(B414&amp;"|"&amp;IF(C414="Mixed","External",IF(C414="Unknown","UoB",C414))&amp;"|"&amp;IF(F414&lt;=32,"32","40"),Reference!$D$5:$D$12,0)),""))</f>
        <v/>
      </c>
      <c r="J414" s="11" t="str">
        <f t="shared" si="38"/>
        <v/>
      </c>
      <c r="K414" s="12"/>
      <c r="L414" s="11" t="str">
        <f t="shared" si="39"/>
        <v/>
      </c>
      <c r="M414" s="12"/>
      <c r="N414" s="12"/>
      <c r="O414" s="11" t="str">
        <f t="shared" si="40"/>
        <v/>
      </c>
      <c r="P414" s="10" t="str">
        <f t="shared" si="41"/>
        <v/>
      </c>
    </row>
    <row r="415" spans="1:16" ht="15" customHeight="1" x14ac:dyDescent="0.2">
      <c r="A415" s="8"/>
      <c r="B415" s="8"/>
      <c r="C415" s="8"/>
      <c r="D415" s="9"/>
      <c r="E415" s="9"/>
      <c r="F415" s="8"/>
      <c r="G415" s="10" t="str">
        <f t="shared" si="36"/>
        <v/>
      </c>
      <c r="H415" s="10" t="str">
        <f t="shared" si="37"/>
        <v/>
      </c>
      <c r="I415" s="11" t="str">
        <f>IF(B415="Recreation",IFERROR(INDEX(RecPricing!$E$5:$E$10,MATCH(IF(C415="Mixed","External",IF(C415="Unknown","UoB",C415))&amp;"|"&amp;IF(F415&lt;=24,"&lt;=24",IF(F415&lt;=32,"&lt;=32","Above32")),RecPricing!$F$5:$F$10,0)),""),IFERROR(INDEX(Reference!$E$5:$E$12,MATCH(B415&amp;"|"&amp;IF(C415="Mixed","External",IF(C415="Unknown","UoB",C415))&amp;"|"&amp;IF(F415&lt;=32,"32","40"),Reference!$D$5:$D$12,0)),""))</f>
        <v/>
      </c>
      <c r="J415" s="11" t="str">
        <f t="shared" si="38"/>
        <v/>
      </c>
      <c r="K415" s="12"/>
      <c r="L415" s="11" t="str">
        <f t="shared" si="39"/>
        <v/>
      </c>
      <c r="M415" s="12"/>
      <c r="N415" s="12"/>
      <c r="O415" s="11" t="str">
        <f t="shared" si="40"/>
        <v/>
      </c>
      <c r="P415" s="10" t="str">
        <f t="shared" si="41"/>
        <v/>
      </c>
    </row>
    <row r="416" spans="1:16" ht="15" customHeight="1" x14ac:dyDescent="0.2">
      <c r="A416" s="8"/>
      <c r="B416" s="8"/>
      <c r="C416" s="8"/>
      <c r="D416" s="9"/>
      <c r="E416" s="9"/>
      <c r="F416" s="8"/>
      <c r="G416" s="10" t="str">
        <f t="shared" si="36"/>
        <v/>
      </c>
      <c r="H416" s="10" t="str">
        <f t="shared" si="37"/>
        <v/>
      </c>
      <c r="I416" s="11" t="str">
        <f>IF(B416="Recreation",IFERROR(INDEX(RecPricing!$E$5:$E$10,MATCH(IF(C416="Mixed","External",IF(C416="Unknown","UoB",C416))&amp;"|"&amp;IF(F416&lt;=24,"&lt;=24",IF(F416&lt;=32,"&lt;=32","Above32")),RecPricing!$F$5:$F$10,0)),""),IFERROR(INDEX(Reference!$E$5:$E$12,MATCH(B416&amp;"|"&amp;IF(C416="Mixed","External",IF(C416="Unknown","UoB",C416))&amp;"|"&amp;IF(F416&lt;=32,"32","40"),Reference!$D$5:$D$12,0)),""))</f>
        <v/>
      </c>
      <c r="J416" s="11" t="str">
        <f t="shared" si="38"/>
        <v/>
      </c>
      <c r="K416" s="12"/>
      <c r="L416" s="11" t="str">
        <f t="shared" si="39"/>
        <v/>
      </c>
      <c r="M416" s="12"/>
      <c r="N416" s="12"/>
      <c r="O416" s="11" t="str">
        <f t="shared" si="40"/>
        <v/>
      </c>
      <c r="P416" s="10" t="str">
        <f t="shared" si="41"/>
        <v/>
      </c>
    </row>
    <row r="417" spans="1:16" ht="15" customHeight="1" x14ac:dyDescent="0.2">
      <c r="A417" s="8"/>
      <c r="B417" s="8"/>
      <c r="C417" s="8"/>
      <c r="D417" s="9"/>
      <c r="E417" s="9"/>
      <c r="F417" s="8"/>
      <c r="G417" s="10" t="str">
        <f t="shared" si="36"/>
        <v/>
      </c>
      <c r="H417" s="10" t="str">
        <f t="shared" si="37"/>
        <v/>
      </c>
      <c r="I417" s="11" t="str">
        <f>IF(B417="Recreation",IFERROR(INDEX(RecPricing!$E$5:$E$10,MATCH(IF(C417="Mixed","External",IF(C417="Unknown","UoB",C417))&amp;"|"&amp;IF(F417&lt;=24,"&lt;=24",IF(F417&lt;=32,"&lt;=32","Above32")),RecPricing!$F$5:$F$10,0)),""),IFERROR(INDEX(Reference!$E$5:$E$12,MATCH(B417&amp;"|"&amp;IF(C417="Mixed","External",IF(C417="Unknown","UoB",C417))&amp;"|"&amp;IF(F417&lt;=32,"32","40"),Reference!$D$5:$D$12,0)),""))</f>
        <v/>
      </c>
      <c r="J417" s="11" t="str">
        <f t="shared" si="38"/>
        <v/>
      </c>
      <c r="K417" s="12"/>
      <c r="L417" s="11" t="str">
        <f t="shared" si="39"/>
        <v/>
      </c>
      <c r="M417" s="12"/>
      <c r="N417" s="12"/>
      <c r="O417" s="11" t="str">
        <f t="shared" si="40"/>
        <v/>
      </c>
      <c r="P417" s="10" t="str">
        <f t="shared" si="41"/>
        <v/>
      </c>
    </row>
    <row r="418" spans="1:16" ht="15" customHeight="1" x14ac:dyDescent="0.2">
      <c r="A418" s="8"/>
      <c r="B418" s="8"/>
      <c r="C418" s="8"/>
      <c r="D418" s="9"/>
      <c r="E418" s="9"/>
      <c r="F418" s="8"/>
      <c r="G418" s="10" t="str">
        <f t="shared" si="36"/>
        <v/>
      </c>
      <c r="H418" s="10" t="str">
        <f t="shared" si="37"/>
        <v/>
      </c>
      <c r="I418" s="11" t="str">
        <f>IF(B418="Recreation",IFERROR(INDEX(RecPricing!$E$5:$E$10,MATCH(IF(C418="Mixed","External",IF(C418="Unknown","UoB",C418))&amp;"|"&amp;IF(F418&lt;=24,"&lt;=24",IF(F418&lt;=32,"&lt;=32","Above32")),RecPricing!$F$5:$F$10,0)),""),IFERROR(INDEX(Reference!$E$5:$E$12,MATCH(B418&amp;"|"&amp;IF(C418="Mixed","External",IF(C418="Unknown","UoB",C418))&amp;"|"&amp;IF(F418&lt;=32,"32","40"),Reference!$D$5:$D$12,0)),""))</f>
        <v/>
      </c>
      <c r="J418" s="11" t="str">
        <f t="shared" si="38"/>
        <v/>
      </c>
      <c r="K418" s="12"/>
      <c r="L418" s="11" t="str">
        <f t="shared" si="39"/>
        <v/>
      </c>
      <c r="M418" s="12"/>
      <c r="N418" s="12"/>
      <c r="O418" s="11" t="str">
        <f t="shared" si="40"/>
        <v/>
      </c>
      <c r="P418" s="10" t="str">
        <f t="shared" si="41"/>
        <v/>
      </c>
    </row>
    <row r="419" spans="1:16" ht="15" customHeight="1" x14ac:dyDescent="0.2">
      <c r="A419" s="8"/>
      <c r="B419" s="8"/>
      <c r="C419" s="8"/>
      <c r="D419" s="9"/>
      <c r="E419" s="9"/>
      <c r="F419" s="8"/>
      <c r="G419" s="10" t="str">
        <f t="shared" si="36"/>
        <v/>
      </c>
      <c r="H419" s="10" t="str">
        <f t="shared" si="37"/>
        <v/>
      </c>
      <c r="I419" s="11" t="str">
        <f>IF(B419="Recreation",IFERROR(INDEX(RecPricing!$E$5:$E$10,MATCH(IF(C419="Mixed","External",IF(C419="Unknown","UoB",C419))&amp;"|"&amp;IF(F419&lt;=24,"&lt;=24",IF(F419&lt;=32,"&lt;=32","Above32")),RecPricing!$F$5:$F$10,0)),""),IFERROR(INDEX(Reference!$E$5:$E$12,MATCH(B419&amp;"|"&amp;IF(C419="Mixed","External",IF(C419="Unknown","UoB",C419))&amp;"|"&amp;IF(F419&lt;=32,"32","40"),Reference!$D$5:$D$12,0)),""))</f>
        <v/>
      </c>
      <c r="J419" s="11" t="str">
        <f t="shared" si="38"/>
        <v/>
      </c>
      <c r="K419" s="12"/>
      <c r="L419" s="11" t="str">
        <f t="shared" si="39"/>
        <v/>
      </c>
      <c r="M419" s="12"/>
      <c r="N419" s="12"/>
      <c r="O419" s="11" t="str">
        <f t="shared" si="40"/>
        <v/>
      </c>
      <c r="P419" s="10" t="str">
        <f t="shared" si="41"/>
        <v/>
      </c>
    </row>
    <row r="420" spans="1:16" ht="15" customHeight="1" x14ac:dyDescent="0.2">
      <c r="A420" s="8"/>
      <c r="B420" s="8"/>
      <c r="C420" s="8"/>
      <c r="D420" s="9"/>
      <c r="E420" s="9"/>
      <c r="F420" s="8"/>
      <c r="G420" s="10" t="str">
        <f t="shared" si="36"/>
        <v/>
      </c>
      <c r="H420" s="10" t="str">
        <f t="shared" si="37"/>
        <v/>
      </c>
      <c r="I420" s="11" t="str">
        <f>IF(B420="Recreation",IFERROR(INDEX(RecPricing!$E$5:$E$10,MATCH(IF(C420="Mixed","External",IF(C420="Unknown","UoB",C420))&amp;"|"&amp;IF(F420&lt;=24,"&lt;=24",IF(F420&lt;=32,"&lt;=32","Above32")),RecPricing!$F$5:$F$10,0)),""),IFERROR(INDEX(Reference!$E$5:$E$12,MATCH(B420&amp;"|"&amp;IF(C420="Mixed","External",IF(C420="Unknown","UoB",C420))&amp;"|"&amp;IF(F420&lt;=32,"32","40"),Reference!$D$5:$D$12,0)),""))</f>
        <v/>
      </c>
      <c r="J420" s="11" t="str">
        <f t="shared" si="38"/>
        <v/>
      </c>
      <c r="K420" s="12"/>
      <c r="L420" s="11" t="str">
        <f t="shared" si="39"/>
        <v/>
      </c>
      <c r="M420" s="12"/>
      <c r="N420" s="12"/>
      <c r="O420" s="11" t="str">
        <f t="shared" si="40"/>
        <v/>
      </c>
      <c r="P420" s="10" t="str">
        <f t="shared" si="41"/>
        <v/>
      </c>
    </row>
    <row r="421" spans="1:16" ht="15" customHeight="1" x14ac:dyDescent="0.2">
      <c r="A421" s="8"/>
      <c r="B421" s="8"/>
      <c r="C421" s="8"/>
      <c r="D421" s="9"/>
      <c r="E421" s="9"/>
      <c r="F421" s="8"/>
      <c r="G421" s="10" t="str">
        <f t="shared" si="36"/>
        <v/>
      </c>
      <c r="H421" s="10" t="str">
        <f t="shared" si="37"/>
        <v/>
      </c>
      <c r="I421" s="11" t="str">
        <f>IF(B421="Recreation",IFERROR(INDEX(RecPricing!$E$5:$E$10,MATCH(IF(C421="Mixed","External",IF(C421="Unknown","UoB",C421))&amp;"|"&amp;IF(F421&lt;=24,"&lt;=24",IF(F421&lt;=32,"&lt;=32","Above32")),RecPricing!$F$5:$F$10,0)),""),IFERROR(INDEX(Reference!$E$5:$E$12,MATCH(B421&amp;"|"&amp;IF(C421="Mixed","External",IF(C421="Unknown","UoB",C421))&amp;"|"&amp;IF(F421&lt;=32,"32","40"),Reference!$D$5:$D$12,0)),""))</f>
        <v/>
      </c>
      <c r="J421" s="11" t="str">
        <f t="shared" si="38"/>
        <v/>
      </c>
      <c r="K421" s="12"/>
      <c r="L421" s="11" t="str">
        <f t="shared" si="39"/>
        <v/>
      </c>
      <c r="M421" s="12"/>
      <c r="N421" s="12"/>
      <c r="O421" s="11" t="str">
        <f t="shared" si="40"/>
        <v/>
      </c>
      <c r="P421" s="10" t="str">
        <f t="shared" si="41"/>
        <v/>
      </c>
    </row>
    <row r="422" spans="1:16" ht="15" customHeight="1" x14ac:dyDescent="0.2">
      <c r="A422" s="8"/>
      <c r="B422" s="8"/>
      <c r="C422" s="8"/>
      <c r="D422" s="9"/>
      <c r="E422" s="9"/>
      <c r="F422" s="8"/>
      <c r="G422" s="10" t="str">
        <f t="shared" si="36"/>
        <v/>
      </c>
      <c r="H422" s="10" t="str">
        <f t="shared" si="37"/>
        <v/>
      </c>
      <c r="I422" s="11" t="str">
        <f>IF(B422="Recreation",IFERROR(INDEX(RecPricing!$E$5:$E$10,MATCH(IF(C422="Mixed","External",IF(C422="Unknown","UoB",C422))&amp;"|"&amp;IF(F422&lt;=24,"&lt;=24",IF(F422&lt;=32,"&lt;=32","Above32")),RecPricing!$F$5:$F$10,0)),""),IFERROR(INDEX(Reference!$E$5:$E$12,MATCH(B422&amp;"|"&amp;IF(C422="Mixed","External",IF(C422="Unknown","UoB",C422))&amp;"|"&amp;IF(F422&lt;=32,"32","40"),Reference!$D$5:$D$12,0)),""))</f>
        <v/>
      </c>
      <c r="J422" s="11" t="str">
        <f t="shared" si="38"/>
        <v/>
      </c>
      <c r="K422" s="12"/>
      <c r="L422" s="11" t="str">
        <f t="shared" si="39"/>
        <v/>
      </c>
      <c r="M422" s="12"/>
      <c r="N422" s="12"/>
      <c r="O422" s="11" t="str">
        <f t="shared" si="40"/>
        <v/>
      </c>
      <c r="P422" s="10" t="str">
        <f t="shared" si="41"/>
        <v/>
      </c>
    </row>
    <row r="423" spans="1:16" ht="15" customHeight="1" x14ac:dyDescent="0.2">
      <c r="A423" s="8"/>
      <c r="B423" s="8"/>
      <c r="C423" s="8"/>
      <c r="D423" s="9"/>
      <c r="E423" s="9"/>
      <c r="F423" s="8"/>
      <c r="G423" s="10" t="str">
        <f t="shared" si="36"/>
        <v/>
      </c>
      <c r="H423" s="10" t="str">
        <f t="shared" si="37"/>
        <v/>
      </c>
      <c r="I423" s="11" t="str">
        <f>IF(B423="Recreation",IFERROR(INDEX(RecPricing!$E$5:$E$10,MATCH(IF(C423="Mixed","External",IF(C423="Unknown","UoB",C423))&amp;"|"&amp;IF(F423&lt;=24,"&lt;=24",IF(F423&lt;=32,"&lt;=32","Above32")),RecPricing!$F$5:$F$10,0)),""),IFERROR(INDEX(Reference!$E$5:$E$12,MATCH(B423&amp;"|"&amp;IF(C423="Mixed","External",IF(C423="Unknown","UoB",C423))&amp;"|"&amp;IF(F423&lt;=32,"32","40"),Reference!$D$5:$D$12,0)),""))</f>
        <v/>
      </c>
      <c r="J423" s="11" t="str">
        <f t="shared" si="38"/>
        <v/>
      </c>
      <c r="K423" s="12"/>
      <c r="L423" s="11" t="str">
        <f t="shared" si="39"/>
        <v/>
      </c>
      <c r="M423" s="12"/>
      <c r="N423" s="12"/>
      <c r="O423" s="11" t="str">
        <f t="shared" si="40"/>
        <v/>
      </c>
      <c r="P423" s="10" t="str">
        <f t="shared" si="41"/>
        <v/>
      </c>
    </row>
    <row r="424" spans="1:16" ht="15" customHeight="1" x14ac:dyDescent="0.2">
      <c r="A424" s="8"/>
      <c r="B424" s="8"/>
      <c r="C424" s="8"/>
      <c r="D424" s="9"/>
      <c r="E424" s="9"/>
      <c r="F424" s="8"/>
      <c r="G424" s="10" t="str">
        <f t="shared" si="36"/>
        <v/>
      </c>
      <c r="H424" s="10" t="str">
        <f t="shared" si="37"/>
        <v/>
      </c>
      <c r="I424" s="11" t="str">
        <f>IF(B424="Recreation",IFERROR(INDEX(RecPricing!$E$5:$E$10,MATCH(IF(C424="Mixed","External",IF(C424="Unknown","UoB",C424))&amp;"|"&amp;IF(F424&lt;=24,"&lt;=24",IF(F424&lt;=32,"&lt;=32","Above32")),RecPricing!$F$5:$F$10,0)),""),IFERROR(INDEX(Reference!$E$5:$E$12,MATCH(B424&amp;"|"&amp;IF(C424="Mixed","External",IF(C424="Unknown","UoB",C424))&amp;"|"&amp;IF(F424&lt;=32,"32","40"),Reference!$D$5:$D$12,0)),""))</f>
        <v/>
      </c>
      <c r="J424" s="11" t="str">
        <f t="shared" si="38"/>
        <v/>
      </c>
      <c r="K424" s="12"/>
      <c r="L424" s="11" t="str">
        <f t="shared" si="39"/>
        <v/>
      </c>
      <c r="M424" s="12"/>
      <c r="N424" s="12"/>
      <c r="O424" s="11" t="str">
        <f t="shared" si="40"/>
        <v/>
      </c>
      <c r="P424" s="10" t="str">
        <f t="shared" si="41"/>
        <v/>
      </c>
    </row>
    <row r="425" spans="1:16" ht="15" customHeight="1" x14ac:dyDescent="0.2">
      <c r="A425" s="8"/>
      <c r="B425" s="8"/>
      <c r="C425" s="8"/>
      <c r="D425" s="9"/>
      <c r="E425" s="9"/>
      <c r="F425" s="8"/>
      <c r="G425" s="10" t="str">
        <f t="shared" si="36"/>
        <v/>
      </c>
      <c r="H425" s="10" t="str">
        <f t="shared" si="37"/>
        <v/>
      </c>
      <c r="I425" s="11" t="str">
        <f>IF(B425="Recreation",IFERROR(INDEX(RecPricing!$E$5:$E$10,MATCH(IF(C425="Mixed","External",IF(C425="Unknown","UoB",C425))&amp;"|"&amp;IF(F425&lt;=24,"&lt;=24",IF(F425&lt;=32,"&lt;=32","Above32")),RecPricing!$F$5:$F$10,0)),""),IFERROR(INDEX(Reference!$E$5:$E$12,MATCH(B425&amp;"|"&amp;IF(C425="Mixed","External",IF(C425="Unknown","UoB",C425))&amp;"|"&amp;IF(F425&lt;=32,"32","40"),Reference!$D$5:$D$12,0)),""))</f>
        <v/>
      </c>
      <c r="J425" s="11" t="str">
        <f t="shared" si="38"/>
        <v/>
      </c>
      <c r="K425" s="12"/>
      <c r="L425" s="11" t="str">
        <f t="shared" si="39"/>
        <v/>
      </c>
      <c r="M425" s="12"/>
      <c r="N425" s="12"/>
      <c r="O425" s="11" t="str">
        <f t="shared" si="40"/>
        <v/>
      </c>
      <c r="P425" s="10" t="str">
        <f t="shared" si="41"/>
        <v/>
      </c>
    </row>
    <row r="426" spans="1:16" ht="15" customHeight="1" x14ac:dyDescent="0.2">
      <c r="A426" s="8"/>
      <c r="B426" s="8"/>
      <c r="C426" s="8"/>
      <c r="D426" s="9"/>
      <c r="E426" s="9"/>
      <c r="F426" s="8"/>
      <c r="G426" s="10" t="str">
        <f t="shared" si="36"/>
        <v/>
      </c>
      <c r="H426" s="10" t="str">
        <f t="shared" si="37"/>
        <v/>
      </c>
      <c r="I426" s="11" t="str">
        <f>IF(B426="Recreation",IFERROR(INDEX(RecPricing!$E$5:$E$10,MATCH(IF(C426="Mixed","External",IF(C426="Unknown","UoB",C426))&amp;"|"&amp;IF(F426&lt;=24,"&lt;=24",IF(F426&lt;=32,"&lt;=32","Above32")),RecPricing!$F$5:$F$10,0)),""),IFERROR(INDEX(Reference!$E$5:$E$12,MATCH(B426&amp;"|"&amp;IF(C426="Mixed","External",IF(C426="Unknown","UoB",C426))&amp;"|"&amp;IF(F426&lt;=32,"32","40"),Reference!$D$5:$D$12,0)),""))</f>
        <v/>
      </c>
      <c r="J426" s="11" t="str">
        <f t="shared" si="38"/>
        <v/>
      </c>
      <c r="K426" s="12"/>
      <c r="L426" s="11" t="str">
        <f t="shared" si="39"/>
        <v/>
      </c>
      <c r="M426" s="12"/>
      <c r="N426" s="12"/>
      <c r="O426" s="11" t="str">
        <f t="shared" si="40"/>
        <v/>
      </c>
      <c r="P426" s="10" t="str">
        <f t="shared" si="41"/>
        <v/>
      </c>
    </row>
    <row r="427" spans="1:16" ht="15" customHeight="1" x14ac:dyDescent="0.2">
      <c r="A427" s="8"/>
      <c r="B427" s="8"/>
      <c r="C427" s="8"/>
      <c r="D427" s="9"/>
      <c r="E427" s="9"/>
      <c r="F427" s="8"/>
      <c r="G427" s="10" t="str">
        <f t="shared" si="36"/>
        <v/>
      </c>
      <c r="H427" s="10" t="str">
        <f t="shared" si="37"/>
        <v/>
      </c>
      <c r="I427" s="11" t="str">
        <f>IF(B427="Recreation",IFERROR(INDEX(RecPricing!$E$5:$E$10,MATCH(IF(C427="Mixed","External",IF(C427="Unknown","UoB",C427))&amp;"|"&amp;IF(F427&lt;=24,"&lt;=24",IF(F427&lt;=32,"&lt;=32","Above32")),RecPricing!$F$5:$F$10,0)),""),IFERROR(INDEX(Reference!$E$5:$E$12,MATCH(B427&amp;"|"&amp;IF(C427="Mixed","External",IF(C427="Unknown","UoB",C427))&amp;"|"&amp;IF(F427&lt;=32,"32","40"),Reference!$D$5:$D$12,0)),""))</f>
        <v/>
      </c>
      <c r="J427" s="11" t="str">
        <f t="shared" si="38"/>
        <v/>
      </c>
      <c r="K427" s="12"/>
      <c r="L427" s="11" t="str">
        <f t="shared" si="39"/>
        <v/>
      </c>
      <c r="M427" s="12"/>
      <c r="N427" s="12"/>
      <c r="O427" s="11" t="str">
        <f t="shared" si="40"/>
        <v/>
      </c>
      <c r="P427" s="10" t="str">
        <f t="shared" si="41"/>
        <v/>
      </c>
    </row>
    <row r="428" spans="1:16" ht="15" customHeight="1" x14ac:dyDescent="0.2">
      <c r="A428" s="8"/>
      <c r="B428" s="8"/>
      <c r="C428" s="8"/>
      <c r="D428" s="9"/>
      <c r="E428" s="9"/>
      <c r="F428" s="8"/>
      <c r="G428" s="10" t="str">
        <f t="shared" si="36"/>
        <v/>
      </c>
      <c r="H428" s="10" t="str">
        <f t="shared" si="37"/>
        <v/>
      </c>
      <c r="I428" s="11" t="str">
        <f>IF(B428="Recreation",IFERROR(INDEX(RecPricing!$E$5:$E$10,MATCH(IF(C428="Mixed","External",IF(C428="Unknown","UoB",C428))&amp;"|"&amp;IF(F428&lt;=24,"&lt;=24",IF(F428&lt;=32,"&lt;=32","Above32")),RecPricing!$F$5:$F$10,0)),""),IFERROR(INDEX(Reference!$E$5:$E$12,MATCH(B428&amp;"|"&amp;IF(C428="Mixed","External",IF(C428="Unknown","UoB",C428))&amp;"|"&amp;IF(F428&lt;=32,"32","40"),Reference!$D$5:$D$12,0)),""))</f>
        <v/>
      </c>
      <c r="J428" s="11" t="str">
        <f t="shared" si="38"/>
        <v/>
      </c>
      <c r="K428" s="12"/>
      <c r="L428" s="11" t="str">
        <f t="shared" si="39"/>
        <v/>
      </c>
      <c r="M428" s="12"/>
      <c r="N428" s="12"/>
      <c r="O428" s="11" t="str">
        <f t="shared" si="40"/>
        <v/>
      </c>
      <c r="P428" s="10" t="str">
        <f t="shared" si="41"/>
        <v/>
      </c>
    </row>
    <row r="429" spans="1:16" ht="15" customHeight="1" x14ac:dyDescent="0.2">
      <c r="A429" s="8"/>
      <c r="B429" s="8"/>
      <c r="C429" s="8"/>
      <c r="D429" s="9"/>
      <c r="E429" s="9"/>
      <c r="F429" s="8"/>
      <c r="G429" s="10" t="str">
        <f t="shared" si="36"/>
        <v/>
      </c>
      <c r="H429" s="10" t="str">
        <f t="shared" si="37"/>
        <v/>
      </c>
      <c r="I429" s="11" t="str">
        <f>IF(B429="Recreation",IFERROR(INDEX(RecPricing!$E$5:$E$10,MATCH(IF(C429="Mixed","External",IF(C429="Unknown","UoB",C429))&amp;"|"&amp;IF(F429&lt;=24,"&lt;=24",IF(F429&lt;=32,"&lt;=32","Above32")),RecPricing!$F$5:$F$10,0)),""),IFERROR(INDEX(Reference!$E$5:$E$12,MATCH(B429&amp;"|"&amp;IF(C429="Mixed","External",IF(C429="Unknown","UoB",C429))&amp;"|"&amp;IF(F429&lt;=32,"32","40"),Reference!$D$5:$D$12,0)),""))</f>
        <v/>
      </c>
      <c r="J429" s="11" t="str">
        <f t="shared" si="38"/>
        <v/>
      </c>
      <c r="K429" s="12"/>
      <c r="L429" s="11" t="str">
        <f t="shared" si="39"/>
        <v/>
      </c>
      <c r="M429" s="12"/>
      <c r="N429" s="12"/>
      <c r="O429" s="11" t="str">
        <f t="shared" si="40"/>
        <v/>
      </c>
      <c r="P429" s="10" t="str">
        <f t="shared" si="41"/>
        <v/>
      </c>
    </row>
    <row r="430" spans="1:16" ht="15" customHeight="1" x14ac:dyDescent="0.2">
      <c r="A430" s="8"/>
      <c r="B430" s="8"/>
      <c r="C430" s="8"/>
      <c r="D430" s="9"/>
      <c r="E430" s="9"/>
      <c r="F430" s="8"/>
      <c r="G430" s="10" t="str">
        <f t="shared" si="36"/>
        <v/>
      </c>
      <c r="H430" s="10" t="str">
        <f t="shared" si="37"/>
        <v/>
      </c>
      <c r="I430" s="11" t="str">
        <f>IF(B430="Recreation",IFERROR(INDEX(RecPricing!$E$5:$E$10,MATCH(IF(C430="Mixed","External",IF(C430="Unknown","UoB",C430))&amp;"|"&amp;IF(F430&lt;=24,"&lt;=24",IF(F430&lt;=32,"&lt;=32","Above32")),RecPricing!$F$5:$F$10,0)),""),IFERROR(INDEX(Reference!$E$5:$E$12,MATCH(B430&amp;"|"&amp;IF(C430="Mixed","External",IF(C430="Unknown","UoB",C430))&amp;"|"&amp;IF(F430&lt;=32,"32","40"),Reference!$D$5:$D$12,0)),""))</f>
        <v/>
      </c>
      <c r="J430" s="11" t="str">
        <f t="shared" si="38"/>
        <v/>
      </c>
      <c r="K430" s="12"/>
      <c r="L430" s="11" t="str">
        <f t="shared" si="39"/>
        <v/>
      </c>
      <c r="M430" s="12"/>
      <c r="N430" s="12"/>
      <c r="O430" s="11" t="str">
        <f t="shared" si="40"/>
        <v/>
      </c>
      <c r="P430" s="10" t="str">
        <f t="shared" si="41"/>
        <v/>
      </c>
    </row>
    <row r="431" spans="1:16" ht="15" customHeight="1" x14ac:dyDescent="0.2">
      <c r="A431" s="8"/>
      <c r="B431" s="8"/>
      <c r="C431" s="8"/>
      <c r="D431" s="9"/>
      <c r="E431" s="9"/>
      <c r="F431" s="8"/>
      <c r="G431" s="10" t="str">
        <f t="shared" si="36"/>
        <v/>
      </c>
      <c r="H431" s="10" t="str">
        <f t="shared" si="37"/>
        <v/>
      </c>
      <c r="I431" s="11" t="str">
        <f>IF(B431="Recreation",IFERROR(INDEX(RecPricing!$E$5:$E$10,MATCH(IF(C431="Mixed","External",IF(C431="Unknown","UoB",C431))&amp;"|"&amp;IF(F431&lt;=24,"&lt;=24",IF(F431&lt;=32,"&lt;=32","Above32")),RecPricing!$F$5:$F$10,0)),""),IFERROR(INDEX(Reference!$E$5:$E$12,MATCH(B431&amp;"|"&amp;IF(C431="Mixed","External",IF(C431="Unknown","UoB",C431))&amp;"|"&amp;IF(F431&lt;=32,"32","40"),Reference!$D$5:$D$12,0)),""))</f>
        <v/>
      </c>
      <c r="J431" s="11" t="str">
        <f t="shared" si="38"/>
        <v/>
      </c>
      <c r="K431" s="12"/>
      <c r="L431" s="11" t="str">
        <f t="shared" si="39"/>
        <v/>
      </c>
      <c r="M431" s="12"/>
      <c r="N431" s="12"/>
      <c r="O431" s="11" t="str">
        <f t="shared" si="40"/>
        <v/>
      </c>
      <c r="P431" s="10" t="str">
        <f t="shared" si="41"/>
        <v/>
      </c>
    </row>
    <row r="432" spans="1:16" ht="15" customHeight="1" x14ac:dyDescent="0.2">
      <c r="A432" s="8"/>
      <c r="B432" s="8"/>
      <c r="C432" s="8"/>
      <c r="D432" s="9"/>
      <c r="E432" s="9"/>
      <c r="F432" s="8"/>
      <c r="G432" s="10" t="str">
        <f t="shared" si="36"/>
        <v/>
      </c>
      <c r="H432" s="10" t="str">
        <f t="shared" si="37"/>
        <v/>
      </c>
      <c r="I432" s="11" t="str">
        <f>IF(B432="Recreation",IFERROR(INDEX(RecPricing!$E$5:$E$10,MATCH(IF(C432="Mixed","External",IF(C432="Unknown","UoB",C432))&amp;"|"&amp;IF(F432&lt;=24,"&lt;=24",IF(F432&lt;=32,"&lt;=32","Above32")),RecPricing!$F$5:$F$10,0)),""),IFERROR(INDEX(Reference!$E$5:$E$12,MATCH(B432&amp;"|"&amp;IF(C432="Mixed","External",IF(C432="Unknown","UoB",C432))&amp;"|"&amp;IF(F432&lt;=32,"32","40"),Reference!$D$5:$D$12,0)),""))</f>
        <v/>
      </c>
      <c r="J432" s="11" t="str">
        <f t="shared" si="38"/>
        <v/>
      </c>
      <c r="K432" s="12"/>
      <c r="L432" s="11" t="str">
        <f t="shared" si="39"/>
        <v/>
      </c>
      <c r="M432" s="12"/>
      <c r="N432" s="12"/>
      <c r="O432" s="11" t="str">
        <f t="shared" si="40"/>
        <v/>
      </c>
      <c r="P432" s="10" t="str">
        <f t="shared" si="41"/>
        <v/>
      </c>
    </row>
    <row r="433" spans="1:16" ht="15" customHeight="1" x14ac:dyDescent="0.2">
      <c r="A433" s="8"/>
      <c r="B433" s="8"/>
      <c r="C433" s="8"/>
      <c r="D433" s="9"/>
      <c r="E433" s="9"/>
      <c r="F433" s="8"/>
      <c r="G433" s="10" t="str">
        <f t="shared" si="36"/>
        <v/>
      </c>
      <c r="H433" s="10" t="str">
        <f t="shared" si="37"/>
        <v/>
      </c>
      <c r="I433" s="11" t="str">
        <f>IF(B433="Recreation",IFERROR(INDEX(RecPricing!$E$5:$E$10,MATCH(IF(C433="Mixed","External",IF(C433="Unknown","UoB",C433))&amp;"|"&amp;IF(F433&lt;=24,"&lt;=24",IF(F433&lt;=32,"&lt;=32","Above32")),RecPricing!$F$5:$F$10,0)),""),IFERROR(INDEX(Reference!$E$5:$E$12,MATCH(B433&amp;"|"&amp;IF(C433="Mixed","External",IF(C433="Unknown","UoB",C433))&amp;"|"&amp;IF(F433&lt;=32,"32","40"),Reference!$D$5:$D$12,0)),""))</f>
        <v/>
      </c>
      <c r="J433" s="11" t="str">
        <f t="shared" si="38"/>
        <v/>
      </c>
      <c r="K433" s="12"/>
      <c r="L433" s="11" t="str">
        <f t="shared" si="39"/>
        <v/>
      </c>
      <c r="M433" s="12"/>
      <c r="N433" s="12"/>
      <c r="O433" s="11" t="str">
        <f t="shared" si="40"/>
        <v/>
      </c>
      <c r="P433" s="10" t="str">
        <f t="shared" si="41"/>
        <v/>
      </c>
    </row>
    <row r="434" spans="1:16" ht="15" customHeight="1" x14ac:dyDescent="0.2">
      <c r="A434" s="8"/>
      <c r="B434" s="8"/>
      <c r="C434" s="8"/>
      <c r="D434" s="9"/>
      <c r="E434" s="9"/>
      <c r="F434" s="8"/>
      <c r="G434" s="10" t="str">
        <f t="shared" si="36"/>
        <v/>
      </c>
      <c r="H434" s="10" t="str">
        <f t="shared" si="37"/>
        <v/>
      </c>
      <c r="I434" s="11" t="str">
        <f>IF(B434="Recreation",IFERROR(INDEX(RecPricing!$E$5:$E$10,MATCH(IF(C434="Mixed","External",IF(C434="Unknown","UoB",C434))&amp;"|"&amp;IF(F434&lt;=24,"&lt;=24",IF(F434&lt;=32,"&lt;=32","Above32")),RecPricing!$F$5:$F$10,0)),""),IFERROR(INDEX(Reference!$E$5:$E$12,MATCH(B434&amp;"|"&amp;IF(C434="Mixed","External",IF(C434="Unknown","UoB",C434))&amp;"|"&amp;IF(F434&lt;=32,"32","40"),Reference!$D$5:$D$12,0)),""))</f>
        <v/>
      </c>
      <c r="J434" s="11" t="str">
        <f t="shared" si="38"/>
        <v/>
      </c>
      <c r="K434" s="12"/>
      <c r="L434" s="11" t="str">
        <f t="shared" si="39"/>
        <v/>
      </c>
      <c r="M434" s="12"/>
      <c r="N434" s="12"/>
      <c r="O434" s="11" t="str">
        <f t="shared" si="40"/>
        <v/>
      </c>
      <c r="P434" s="10" t="str">
        <f t="shared" si="41"/>
        <v/>
      </c>
    </row>
    <row r="435" spans="1:16" ht="15" customHeight="1" x14ac:dyDescent="0.2">
      <c r="A435" s="8"/>
      <c r="B435" s="8"/>
      <c r="C435" s="8"/>
      <c r="D435" s="9"/>
      <c r="E435" s="9"/>
      <c r="F435" s="8"/>
      <c r="G435" s="10" t="str">
        <f t="shared" si="36"/>
        <v/>
      </c>
      <c r="H435" s="10" t="str">
        <f t="shared" si="37"/>
        <v/>
      </c>
      <c r="I435" s="11" t="str">
        <f>IF(B435="Recreation",IFERROR(INDEX(RecPricing!$E$5:$E$10,MATCH(IF(C435="Mixed","External",IF(C435="Unknown","UoB",C435))&amp;"|"&amp;IF(F435&lt;=24,"&lt;=24",IF(F435&lt;=32,"&lt;=32","Above32")),RecPricing!$F$5:$F$10,0)),""),IFERROR(INDEX(Reference!$E$5:$E$12,MATCH(B435&amp;"|"&amp;IF(C435="Mixed","External",IF(C435="Unknown","UoB",C435))&amp;"|"&amp;IF(F435&lt;=32,"32","40"),Reference!$D$5:$D$12,0)),""))</f>
        <v/>
      </c>
      <c r="J435" s="11" t="str">
        <f t="shared" si="38"/>
        <v/>
      </c>
      <c r="K435" s="12"/>
      <c r="L435" s="11" t="str">
        <f t="shared" si="39"/>
        <v/>
      </c>
      <c r="M435" s="12"/>
      <c r="N435" s="12"/>
      <c r="O435" s="11" t="str">
        <f t="shared" si="40"/>
        <v/>
      </c>
      <c r="P435" s="10" t="str">
        <f t="shared" si="41"/>
        <v/>
      </c>
    </row>
    <row r="436" spans="1:16" ht="15" customHeight="1" x14ac:dyDescent="0.2">
      <c r="A436" s="8"/>
      <c r="B436" s="8"/>
      <c r="C436" s="8"/>
      <c r="D436" s="9"/>
      <c r="E436" s="9"/>
      <c r="F436" s="8"/>
      <c r="G436" s="10" t="str">
        <f t="shared" si="36"/>
        <v/>
      </c>
      <c r="H436" s="10" t="str">
        <f t="shared" si="37"/>
        <v/>
      </c>
      <c r="I436" s="11" t="str">
        <f>IF(B436="Recreation",IFERROR(INDEX(RecPricing!$E$5:$E$10,MATCH(IF(C436="Mixed","External",IF(C436="Unknown","UoB",C436))&amp;"|"&amp;IF(F436&lt;=24,"&lt;=24",IF(F436&lt;=32,"&lt;=32","Above32")),RecPricing!$F$5:$F$10,0)),""),IFERROR(INDEX(Reference!$E$5:$E$12,MATCH(B436&amp;"|"&amp;IF(C436="Mixed","External",IF(C436="Unknown","UoB",C436))&amp;"|"&amp;IF(F436&lt;=32,"32","40"),Reference!$D$5:$D$12,0)),""))</f>
        <v/>
      </c>
      <c r="J436" s="11" t="str">
        <f t="shared" si="38"/>
        <v/>
      </c>
      <c r="K436" s="12"/>
      <c r="L436" s="11" t="str">
        <f t="shared" si="39"/>
        <v/>
      </c>
      <c r="M436" s="12"/>
      <c r="N436" s="12"/>
      <c r="O436" s="11" t="str">
        <f t="shared" si="40"/>
        <v/>
      </c>
      <c r="P436" s="10" t="str">
        <f t="shared" si="41"/>
        <v/>
      </c>
    </row>
    <row r="437" spans="1:16" ht="15" customHeight="1" x14ac:dyDescent="0.2">
      <c r="A437" s="8"/>
      <c r="B437" s="8"/>
      <c r="C437" s="8"/>
      <c r="D437" s="9"/>
      <c r="E437" s="9"/>
      <c r="F437" s="8"/>
      <c r="G437" s="10" t="str">
        <f t="shared" si="36"/>
        <v/>
      </c>
      <c r="H437" s="10" t="str">
        <f t="shared" si="37"/>
        <v/>
      </c>
      <c r="I437" s="11" t="str">
        <f>IF(B437="Recreation",IFERROR(INDEX(RecPricing!$E$5:$E$10,MATCH(IF(C437="Mixed","External",IF(C437="Unknown","UoB",C437))&amp;"|"&amp;IF(F437&lt;=24,"&lt;=24",IF(F437&lt;=32,"&lt;=32","Above32")),RecPricing!$F$5:$F$10,0)),""),IFERROR(INDEX(Reference!$E$5:$E$12,MATCH(B437&amp;"|"&amp;IF(C437="Mixed","External",IF(C437="Unknown","UoB",C437))&amp;"|"&amp;IF(F437&lt;=32,"32","40"),Reference!$D$5:$D$12,0)),""))</f>
        <v/>
      </c>
      <c r="J437" s="11" t="str">
        <f t="shared" si="38"/>
        <v/>
      </c>
      <c r="K437" s="12"/>
      <c r="L437" s="11" t="str">
        <f t="shared" si="39"/>
        <v/>
      </c>
      <c r="M437" s="12"/>
      <c r="N437" s="12"/>
      <c r="O437" s="11" t="str">
        <f t="shared" si="40"/>
        <v/>
      </c>
      <c r="P437" s="10" t="str">
        <f t="shared" si="41"/>
        <v/>
      </c>
    </row>
    <row r="438" spans="1:16" ht="15" customHeight="1" x14ac:dyDescent="0.2">
      <c r="A438" s="8"/>
      <c r="B438" s="8"/>
      <c r="C438" s="8"/>
      <c r="D438" s="9"/>
      <c r="E438" s="9"/>
      <c r="F438" s="8"/>
      <c r="G438" s="10" t="str">
        <f t="shared" si="36"/>
        <v/>
      </c>
      <c r="H438" s="10" t="str">
        <f t="shared" si="37"/>
        <v/>
      </c>
      <c r="I438" s="11" t="str">
        <f>IF(B438="Recreation",IFERROR(INDEX(RecPricing!$E$5:$E$10,MATCH(IF(C438="Mixed","External",IF(C438="Unknown","UoB",C438))&amp;"|"&amp;IF(F438&lt;=24,"&lt;=24",IF(F438&lt;=32,"&lt;=32","Above32")),RecPricing!$F$5:$F$10,0)),""),IFERROR(INDEX(Reference!$E$5:$E$12,MATCH(B438&amp;"|"&amp;IF(C438="Mixed","External",IF(C438="Unknown","UoB",C438))&amp;"|"&amp;IF(F438&lt;=32,"32","40"),Reference!$D$5:$D$12,0)),""))</f>
        <v/>
      </c>
      <c r="J438" s="11" t="str">
        <f t="shared" si="38"/>
        <v/>
      </c>
      <c r="K438" s="12"/>
      <c r="L438" s="11" t="str">
        <f t="shared" si="39"/>
        <v/>
      </c>
      <c r="M438" s="12"/>
      <c r="N438" s="12"/>
      <c r="O438" s="11" t="str">
        <f t="shared" si="40"/>
        <v/>
      </c>
      <c r="P438" s="10" t="str">
        <f t="shared" si="41"/>
        <v/>
      </c>
    </row>
    <row r="439" spans="1:16" ht="15" customHeight="1" x14ac:dyDescent="0.2">
      <c r="A439" s="8"/>
      <c r="B439" s="8"/>
      <c r="C439" s="8"/>
      <c r="D439" s="9"/>
      <c r="E439" s="9"/>
      <c r="F439" s="8"/>
      <c r="G439" s="10" t="str">
        <f t="shared" si="36"/>
        <v/>
      </c>
      <c r="H439" s="10" t="str">
        <f t="shared" si="37"/>
        <v/>
      </c>
      <c r="I439" s="11" t="str">
        <f>IF(B439="Recreation",IFERROR(INDEX(RecPricing!$E$5:$E$10,MATCH(IF(C439="Mixed","External",IF(C439="Unknown","UoB",C439))&amp;"|"&amp;IF(F439&lt;=24,"&lt;=24",IF(F439&lt;=32,"&lt;=32","Above32")),RecPricing!$F$5:$F$10,0)),""),IFERROR(INDEX(Reference!$E$5:$E$12,MATCH(B439&amp;"|"&amp;IF(C439="Mixed","External",IF(C439="Unknown","UoB",C439))&amp;"|"&amp;IF(F439&lt;=32,"32","40"),Reference!$D$5:$D$12,0)),""))</f>
        <v/>
      </c>
      <c r="J439" s="11" t="str">
        <f t="shared" si="38"/>
        <v/>
      </c>
      <c r="K439" s="12"/>
      <c r="L439" s="11" t="str">
        <f t="shared" si="39"/>
        <v/>
      </c>
      <c r="M439" s="12"/>
      <c r="N439" s="12"/>
      <c r="O439" s="11" t="str">
        <f t="shared" si="40"/>
        <v/>
      </c>
      <c r="P439" s="10" t="str">
        <f t="shared" si="41"/>
        <v/>
      </c>
    </row>
    <row r="440" spans="1:16" ht="15" customHeight="1" x14ac:dyDescent="0.2">
      <c r="A440" s="8"/>
      <c r="B440" s="8"/>
      <c r="C440" s="8"/>
      <c r="D440" s="9"/>
      <c r="E440" s="9"/>
      <c r="F440" s="8"/>
      <c r="G440" s="10" t="str">
        <f t="shared" si="36"/>
        <v/>
      </c>
      <c r="H440" s="10" t="str">
        <f t="shared" si="37"/>
        <v/>
      </c>
      <c r="I440" s="11" t="str">
        <f>IF(B440="Recreation",IFERROR(INDEX(RecPricing!$E$5:$E$10,MATCH(IF(C440="Mixed","External",IF(C440="Unknown","UoB",C440))&amp;"|"&amp;IF(F440&lt;=24,"&lt;=24",IF(F440&lt;=32,"&lt;=32","Above32")),RecPricing!$F$5:$F$10,0)),""),IFERROR(INDEX(Reference!$E$5:$E$12,MATCH(B440&amp;"|"&amp;IF(C440="Mixed","External",IF(C440="Unknown","UoB",C440))&amp;"|"&amp;IF(F440&lt;=32,"32","40"),Reference!$D$5:$D$12,0)),""))</f>
        <v/>
      </c>
      <c r="J440" s="11" t="str">
        <f t="shared" si="38"/>
        <v/>
      </c>
      <c r="K440" s="12"/>
      <c r="L440" s="11" t="str">
        <f t="shared" si="39"/>
        <v/>
      </c>
      <c r="M440" s="12"/>
      <c r="N440" s="12"/>
      <c r="O440" s="11" t="str">
        <f t="shared" si="40"/>
        <v/>
      </c>
      <c r="P440" s="10" t="str">
        <f t="shared" si="41"/>
        <v/>
      </c>
    </row>
    <row r="441" spans="1:16" ht="15" customHeight="1" x14ac:dyDescent="0.2">
      <c r="A441" s="8"/>
      <c r="B441" s="8"/>
      <c r="C441" s="8"/>
      <c r="D441" s="9"/>
      <c r="E441" s="9"/>
      <c r="F441" s="8"/>
      <c r="G441" s="10" t="str">
        <f t="shared" si="36"/>
        <v/>
      </c>
      <c r="H441" s="10" t="str">
        <f t="shared" si="37"/>
        <v/>
      </c>
      <c r="I441" s="11" t="str">
        <f>IF(B441="Recreation",IFERROR(INDEX(RecPricing!$E$5:$E$10,MATCH(IF(C441="Mixed","External",IF(C441="Unknown","UoB",C441))&amp;"|"&amp;IF(F441&lt;=24,"&lt;=24",IF(F441&lt;=32,"&lt;=32","Above32")),RecPricing!$F$5:$F$10,0)),""),IFERROR(INDEX(Reference!$E$5:$E$12,MATCH(B441&amp;"|"&amp;IF(C441="Mixed","External",IF(C441="Unknown","UoB",C441))&amp;"|"&amp;IF(F441&lt;=32,"32","40"),Reference!$D$5:$D$12,0)),""))</f>
        <v/>
      </c>
      <c r="J441" s="11" t="str">
        <f t="shared" si="38"/>
        <v/>
      </c>
      <c r="K441" s="12"/>
      <c r="L441" s="11" t="str">
        <f t="shared" si="39"/>
        <v/>
      </c>
      <c r="M441" s="12"/>
      <c r="N441" s="12"/>
      <c r="O441" s="11" t="str">
        <f t="shared" si="40"/>
        <v/>
      </c>
      <c r="P441" s="10" t="str">
        <f t="shared" si="41"/>
        <v/>
      </c>
    </row>
    <row r="442" spans="1:16" ht="15" customHeight="1" x14ac:dyDescent="0.2">
      <c r="A442" s="8"/>
      <c r="B442" s="8"/>
      <c r="C442" s="8"/>
      <c r="D442" s="9"/>
      <c r="E442" s="9"/>
      <c r="F442" s="8"/>
      <c r="G442" s="10" t="str">
        <f t="shared" si="36"/>
        <v/>
      </c>
      <c r="H442" s="10" t="str">
        <f t="shared" si="37"/>
        <v/>
      </c>
      <c r="I442" s="11" t="str">
        <f>IF(B442="Recreation",IFERROR(INDEX(RecPricing!$E$5:$E$10,MATCH(IF(C442="Mixed","External",IF(C442="Unknown","UoB",C442))&amp;"|"&amp;IF(F442&lt;=24,"&lt;=24",IF(F442&lt;=32,"&lt;=32","Above32")),RecPricing!$F$5:$F$10,0)),""),IFERROR(INDEX(Reference!$E$5:$E$12,MATCH(B442&amp;"|"&amp;IF(C442="Mixed","External",IF(C442="Unknown","UoB",C442))&amp;"|"&amp;IF(F442&lt;=32,"32","40"),Reference!$D$5:$D$12,0)),""))</f>
        <v/>
      </c>
      <c r="J442" s="11" t="str">
        <f t="shared" si="38"/>
        <v/>
      </c>
      <c r="K442" s="12"/>
      <c r="L442" s="11" t="str">
        <f t="shared" si="39"/>
        <v/>
      </c>
      <c r="M442" s="12"/>
      <c r="N442" s="12"/>
      <c r="O442" s="11" t="str">
        <f t="shared" si="40"/>
        <v/>
      </c>
      <c r="P442" s="10" t="str">
        <f t="shared" si="41"/>
        <v/>
      </c>
    </row>
    <row r="443" spans="1:16" ht="15" customHeight="1" x14ac:dyDescent="0.2">
      <c r="A443" s="8"/>
      <c r="B443" s="8"/>
      <c r="C443" s="8"/>
      <c r="D443" s="9"/>
      <c r="E443" s="9"/>
      <c r="F443" s="8"/>
      <c r="G443" s="10" t="str">
        <f t="shared" si="36"/>
        <v/>
      </c>
      <c r="H443" s="10" t="str">
        <f t="shared" si="37"/>
        <v/>
      </c>
      <c r="I443" s="11" t="str">
        <f>IF(B443="Recreation",IFERROR(INDEX(RecPricing!$E$5:$E$10,MATCH(IF(C443="Mixed","External",IF(C443="Unknown","UoB",C443))&amp;"|"&amp;IF(F443&lt;=24,"&lt;=24",IF(F443&lt;=32,"&lt;=32","Above32")),RecPricing!$F$5:$F$10,0)),""),IFERROR(INDEX(Reference!$E$5:$E$12,MATCH(B443&amp;"|"&amp;IF(C443="Mixed","External",IF(C443="Unknown","UoB",C443))&amp;"|"&amp;IF(F443&lt;=32,"32","40"),Reference!$D$5:$D$12,0)),""))</f>
        <v/>
      </c>
      <c r="J443" s="11" t="str">
        <f t="shared" si="38"/>
        <v/>
      </c>
      <c r="K443" s="12"/>
      <c r="L443" s="11" t="str">
        <f t="shared" si="39"/>
        <v/>
      </c>
      <c r="M443" s="12"/>
      <c r="N443" s="12"/>
      <c r="O443" s="11" t="str">
        <f t="shared" si="40"/>
        <v/>
      </c>
      <c r="P443" s="10" t="str">
        <f t="shared" si="41"/>
        <v/>
      </c>
    </row>
    <row r="444" spans="1:16" ht="15" customHeight="1" x14ac:dyDescent="0.2">
      <c r="A444" s="8"/>
      <c r="B444" s="8"/>
      <c r="C444" s="8"/>
      <c r="D444" s="9"/>
      <c r="E444" s="9"/>
      <c r="F444" s="8"/>
      <c r="G444" s="10" t="str">
        <f t="shared" si="36"/>
        <v/>
      </c>
      <c r="H444" s="10" t="str">
        <f t="shared" si="37"/>
        <v/>
      </c>
      <c r="I444" s="11" t="str">
        <f>IF(B444="Recreation",IFERROR(INDEX(RecPricing!$E$5:$E$10,MATCH(IF(C444="Mixed","External",IF(C444="Unknown","UoB",C444))&amp;"|"&amp;IF(F444&lt;=24,"&lt;=24",IF(F444&lt;=32,"&lt;=32","Above32")),RecPricing!$F$5:$F$10,0)),""),IFERROR(INDEX(Reference!$E$5:$E$12,MATCH(B444&amp;"|"&amp;IF(C444="Mixed","External",IF(C444="Unknown","UoB",C444))&amp;"|"&amp;IF(F444&lt;=32,"32","40"),Reference!$D$5:$D$12,0)),""))</f>
        <v/>
      </c>
      <c r="J444" s="11" t="str">
        <f t="shared" si="38"/>
        <v/>
      </c>
      <c r="K444" s="12"/>
      <c r="L444" s="11" t="str">
        <f t="shared" si="39"/>
        <v/>
      </c>
      <c r="M444" s="12"/>
      <c r="N444" s="12"/>
      <c r="O444" s="11" t="str">
        <f t="shared" si="40"/>
        <v/>
      </c>
      <c r="P444" s="10" t="str">
        <f t="shared" si="41"/>
        <v/>
      </c>
    </row>
    <row r="445" spans="1:16" ht="15" customHeight="1" x14ac:dyDescent="0.2">
      <c r="A445" s="8"/>
      <c r="B445" s="8"/>
      <c r="C445" s="8"/>
      <c r="D445" s="9"/>
      <c r="E445" s="9"/>
      <c r="F445" s="8"/>
      <c r="G445" s="10" t="str">
        <f t="shared" si="36"/>
        <v/>
      </c>
      <c r="H445" s="10" t="str">
        <f t="shared" si="37"/>
        <v/>
      </c>
      <c r="I445" s="11" t="str">
        <f>IF(B445="Recreation",IFERROR(INDEX(RecPricing!$E$5:$E$10,MATCH(IF(C445="Mixed","External",IF(C445="Unknown","UoB",C445))&amp;"|"&amp;IF(F445&lt;=24,"&lt;=24",IF(F445&lt;=32,"&lt;=32","Above32")),RecPricing!$F$5:$F$10,0)),""),IFERROR(INDEX(Reference!$E$5:$E$12,MATCH(B445&amp;"|"&amp;IF(C445="Mixed","External",IF(C445="Unknown","UoB",C445))&amp;"|"&amp;IF(F445&lt;=32,"32","40"),Reference!$D$5:$D$12,0)),""))</f>
        <v/>
      </c>
      <c r="J445" s="11" t="str">
        <f t="shared" si="38"/>
        <v/>
      </c>
      <c r="K445" s="12"/>
      <c r="L445" s="11" t="str">
        <f t="shared" si="39"/>
        <v/>
      </c>
      <c r="M445" s="12"/>
      <c r="N445" s="12"/>
      <c r="O445" s="11" t="str">
        <f t="shared" si="40"/>
        <v/>
      </c>
      <c r="P445" s="10" t="str">
        <f t="shared" si="41"/>
        <v/>
      </c>
    </row>
    <row r="446" spans="1:16" ht="15" customHeight="1" x14ac:dyDescent="0.2">
      <c r="A446" s="8"/>
      <c r="B446" s="8"/>
      <c r="C446" s="8"/>
      <c r="D446" s="9"/>
      <c r="E446" s="9"/>
      <c r="F446" s="8"/>
      <c r="G446" s="10" t="str">
        <f t="shared" si="36"/>
        <v/>
      </c>
      <c r="H446" s="10" t="str">
        <f t="shared" si="37"/>
        <v/>
      </c>
      <c r="I446" s="11" t="str">
        <f>IF(B446="Recreation",IFERROR(INDEX(RecPricing!$E$5:$E$10,MATCH(IF(C446="Mixed","External",IF(C446="Unknown","UoB",C446))&amp;"|"&amp;IF(F446&lt;=24,"&lt;=24",IF(F446&lt;=32,"&lt;=32","Above32")),RecPricing!$F$5:$F$10,0)),""),IFERROR(INDEX(Reference!$E$5:$E$12,MATCH(B446&amp;"|"&amp;IF(C446="Mixed","External",IF(C446="Unknown","UoB",C446))&amp;"|"&amp;IF(F446&lt;=32,"32","40"),Reference!$D$5:$D$12,0)),""))</f>
        <v/>
      </c>
      <c r="J446" s="11" t="str">
        <f t="shared" si="38"/>
        <v/>
      </c>
      <c r="K446" s="12"/>
      <c r="L446" s="11" t="str">
        <f t="shared" si="39"/>
        <v/>
      </c>
      <c r="M446" s="12"/>
      <c r="N446" s="12"/>
      <c r="O446" s="11" t="str">
        <f t="shared" si="40"/>
        <v/>
      </c>
      <c r="P446" s="10" t="str">
        <f t="shared" si="41"/>
        <v/>
      </c>
    </row>
    <row r="447" spans="1:16" ht="15" customHeight="1" x14ac:dyDescent="0.2">
      <c r="A447" s="8"/>
      <c r="B447" s="8"/>
      <c r="C447" s="8"/>
      <c r="D447" s="9"/>
      <c r="E447" s="9"/>
      <c r="F447" s="8"/>
      <c r="G447" s="10" t="str">
        <f t="shared" ref="G447:G510" si="42">IF(OR(D447="",E447=""),"",E447-D447)</f>
        <v/>
      </c>
      <c r="H447" s="10" t="str">
        <f t="shared" ref="H447:H510" si="43">IF(OR(F447="",G447=""),"",F447*G447)</f>
        <v/>
      </c>
      <c r="I447" s="11" t="str">
        <f>IF(B447="Recreation",IFERROR(INDEX(RecPricing!$E$5:$E$10,MATCH(IF(C447="Mixed","External",IF(C447="Unknown","UoB",C447))&amp;"|"&amp;IF(F447&lt;=24,"&lt;=24",IF(F447&lt;=32,"&lt;=32","Above32")),RecPricing!$F$5:$F$10,0)),""),IFERROR(INDEX(Reference!$E$5:$E$12,MATCH(B447&amp;"|"&amp;IF(C447="Mixed","External",IF(C447="Unknown","UoB",C447))&amp;"|"&amp;IF(F447&lt;=32,"32","40"),Reference!$D$5:$D$12,0)),""))</f>
        <v/>
      </c>
      <c r="J447" s="11" t="str">
        <f t="shared" ref="J447:J510" si="44">IF(I447="","",IF(B447="Recreation",IF(F447&lt;=32,I447,I447*IF(F447="",0,F447)),IF(AND(I447&lt;&gt;"",G447&lt;&gt;""),I447*G447,"")))</f>
        <v/>
      </c>
      <c r="K447" s="12"/>
      <c r="L447" s="11" t="str">
        <f t="shared" ref="L447:L510" si="45">IF(J447="","",J447-IF(K447="",0,K447))</f>
        <v/>
      </c>
      <c r="M447" s="12"/>
      <c r="N447" s="12"/>
      <c r="O447" s="11" t="str">
        <f t="shared" ref="O447:O510" si="46">IF(L447="","",L447-IF(M447="",0,M447)-IF(N447="",0,N447))</f>
        <v/>
      </c>
      <c r="P447" s="10" t="str">
        <f t="shared" ref="P447:P510" si="47">IF(D447="","",IF(MONTH(D447)&gt;=8,YEAR(D447)&amp;"-"&amp;RIGHT(YEAR(D447)+1,2),YEAR(D447)-1&amp;"-"&amp;RIGHT(YEAR(D447),2)))</f>
        <v/>
      </c>
    </row>
    <row r="448" spans="1:16" ht="15" customHeight="1" x14ac:dyDescent="0.2">
      <c r="A448" s="8"/>
      <c r="B448" s="8"/>
      <c r="C448" s="8"/>
      <c r="D448" s="9"/>
      <c r="E448" s="9"/>
      <c r="F448" s="8"/>
      <c r="G448" s="10" t="str">
        <f t="shared" si="42"/>
        <v/>
      </c>
      <c r="H448" s="10" t="str">
        <f t="shared" si="43"/>
        <v/>
      </c>
      <c r="I448" s="11" t="str">
        <f>IF(B448="Recreation",IFERROR(INDEX(RecPricing!$E$5:$E$10,MATCH(IF(C448="Mixed","External",IF(C448="Unknown","UoB",C448))&amp;"|"&amp;IF(F448&lt;=24,"&lt;=24",IF(F448&lt;=32,"&lt;=32","Above32")),RecPricing!$F$5:$F$10,0)),""),IFERROR(INDEX(Reference!$E$5:$E$12,MATCH(B448&amp;"|"&amp;IF(C448="Mixed","External",IF(C448="Unknown","UoB",C448))&amp;"|"&amp;IF(F448&lt;=32,"32","40"),Reference!$D$5:$D$12,0)),""))</f>
        <v/>
      </c>
      <c r="J448" s="11" t="str">
        <f t="shared" si="44"/>
        <v/>
      </c>
      <c r="K448" s="12"/>
      <c r="L448" s="11" t="str">
        <f t="shared" si="45"/>
        <v/>
      </c>
      <c r="M448" s="12"/>
      <c r="N448" s="12"/>
      <c r="O448" s="11" t="str">
        <f t="shared" si="46"/>
        <v/>
      </c>
      <c r="P448" s="10" t="str">
        <f t="shared" si="47"/>
        <v/>
      </c>
    </row>
    <row r="449" spans="1:16" ht="15" customHeight="1" x14ac:dyDescent="0.2">
      <c r="A449" s="8"/>
      <c r="B449" s="8"/>
      <c r="C449" s="8"/>
      <c r="D449" s="9"/>
      <c r="E449" s="9"/>
      <c r="F449" s="8"/>
      <c r="G449" s="10" t="str">
        <f t="shared" si="42"/>
        <v/>
      </c>
      <c r="H449" s="10" t="str">
        <f t="shared" si="43"/>
        <v/>
      </c>
      <c r="I449" s="11" t="str">
        <f>IF(B449="Recreation",IFERROR(INDEX(RecPricing!$E$5:$E$10,MATCH(IF(C449="Mixed","External",IF(C449="Unknown","UoB",C449))&amp;"|"&amp;IF(F449&lt;=24,"&lt;=24",IF(F449&lt;=32,"&lt;=32","Above32")),RecPricing!$F$5:$F$10,0)),""),IFERROR(INDEX(Reference!$E$5:$E$12,MATCH(B449&amp;"|"&amp;IF(C449="Mixed","External",IF(C449="Unknown","UoB",C449))&amp;"|"&amp;IF(F449&lt;=32,"32","40"),Reference!$D$5:$D$12,0)),""))</f>
        <v/>
      </c>
      <c r="J449" s="11" t="str">
        <f t="shared" si="44"/>
        <v/>
      </c>
      <c r="K449" s="12"/>
      <c r="L449" s="11" t="str">
        <f t="shared" si="45"/>
        <v/>
      </c>
      <c r="M449" s="12"/>
      <c r="N449" s="12"/>
      <c r="O449" s="11" t="str">
        <f t="shared" si="46"/>
        <v/>
      </c>
      <c r="P449" s="10" t="str">
        <f t="shared" si="47"/>
        <v/>
      </c>
    </row>
    <row r="450" spans="1:16" ht="15" customHeight="1" x14ac:dyDescent="0.2">
      <c r="A450" s="8"/>
      <c r="B450" s="8"/>
      <c r="C450" s="8"/>
      <c r="D450" s="9"/>
      <c r="E450" s="9"/>
      <c r="F450" s="8"/>
      <c r="G450" s="10" t="str">
        <f t="shared" si="42"/>
        <v/>
      </c>
      <c r="H450" s="10" t="str">
        <f t="shared" si="43"/>
        <v/>
      </c>
      <c r="I450" s="11" t="str">
        <f>IF(B450="Recreation",IFERROR(INDEX(RecPricing!$E$5:$E$10,MATCH(IF(C450="Mixed","External",IF(C450="Unknown","UoB",C450))&amp;"|"&amp;IF(F450&lt;=24,"&lt;=24",IF(F450&lt;=32,"&lt;=32","Above32")),RecPricing!$F$5:$F$10,0)),""),IFERROR(INDEX(Reference!$E$5:$E$12,MATCH(B450&amp;"|"&amp;IF(C450="Mixed","External",IF(C450="Unknown","UoB",C450))&amp;"|"&amp;IF(F450&lt;=32,"32","40"),Reference!$D$5:$D$12,0)),""))</f>
        <v/>
      </c>
      <c r="J450" s="11" t="str">
        <f t="shared" si="44"/>
        <v/>
      </c>
      <c r="K450" s="12"/>
      <c r="L450" s="11" t="str">
        <f t="shared" si="45"/>
        <v/>
      </c>
      <c r="M450" s="12"/>
      <c r="N450" s="12"/>
      <c r="O450" s="11" t="str">
        <f t="shared" si="46"/>
        <v/>
      </c>
      <c r="P450" s="10" t="str">
        <f t="shared" si="47"/>
        <v/>
      </c>
    </row>
    <row r="451" spans="1:16" ht="15" customHeight="1" x14ac:dyDescent="0.2">
      <c r="A451" s="8"/>
      <c r="B451" s="8"/>
      <c r="C451" s="8"/>
      <c r="D451" s="9"/>
      <c r="E451" s="9"/>
      <c r="F451" s="8"/>
      <c r="G451" s="10" t="str">
        <f t="shared" si="42"/>
        <v/>
      </c>
      <c r="H451" s="10" t="str">
        <f t="shared" si="43"/>
        <v/>
      </c>
      <c r="I451" s="11" t="str">
        <f>IF(B451="Recreation",IFERROR(INDEX(RecPricing!$E$5:$E$10,MATCH(IF(C451="Mixed","External",IF(C451="Unknown","UoB",C451))&amp;"|"&amp;IF(F451&lt;=24,"&lt;=24",IF(F451&lt;=32,"&lt;=32","Above32")),RecPricing!$F$5:$F$10,0)),""),IFERROR(INDEX(Reference!$E$5:$E$12,MATCH(B451&amp;"|"&amp;IF(C451="Mixed","External",IF(C451="Unknown","UoB",C451))&amp;"|"&amp;IF(F451&lt;=32,"32","40"),Reference!$D$5:$D$12,0)),""))</f>
        <v/>
      </c>
      <c r="J451" s="11" t="str">
        <f t="shared" si="44"/>
        <v/>
      </c>
      <c r="K451" s="12"/>
      <c r="L451" s="11" t="str">
        <f t="shared" si="45"/>
        <v/>
      </c>
      <c r="M451" s="12"/>
      <c r="N451" s="12"/>
      <c r="O451" s="11" t="str">
        <f t="shared" si="46"/>
        <v/>
      </c>
      <c r="P451" s="10" t="str">
        <f t="shared" si="47"/>
        <v/>
      </c>
    </row>
    <row r="452" spans="1:16" ht="15" customHeight="1" x14ac:dyDescent="0.2">
      <c r="A452" s="8"/>
      <c r="B452" s="8"/>
      <c r="C452" s="8"/>
      <c r="D452" s="9"/>
      <c r="E452" s="9"/>
      <c r="F452" s="8"/>
      <c r="G452" s="10" t="str">
        <f t="shared" si="42"/>
        <v/>
      </c>
      <c r="H452" s="10" t="str">
        <f t="shared" si="43"/>
        <v/>
      </c>
      <c r="I452" s="11" t="str">
        <f>IF(B452="Recreation",IFERROR(INDEX(RecPricing!$E$5:$E$10,MATCH(IF(C452="Mixed","External",IF(C452="Unknown","UoB",C452))&amp;"|"&amp;IF(F452&lt;=24,"&lt;=24",IF(F452&lt;=32,"&lt;=32","Above32")),RecPricing!$F$5:$F$10,0)),""),IFERROR(INDEX(Reference!$E$5:$E$12,MATCH(B452&amp;"|"&amp;IF(C452="Mixed","External",IF(C452="Unknown","UoB",C452))&amp;"|"&amp;IF(F452&lt;=32,"32","40"),Reference!$D$5:$D$12,0)),""))</f>
        <v/>
      </c>
      <c r="J452" s="11" t="str">
        <f t="shared" si="44"/>
        <v/>
      </c>
      <c r="K452" s="12"/>
      <c r="L452" s="11" t="str">
        <f t="shared" si="45"/>
        <v/>
      </c>
      <c r="M452" s="12"/>
      <c r="N452" s="12"/>
      <c r="O452" s="11" t="str">
        <f t="shared" si="46"/>
        <v/>
      </c>
      <c r="P452" s="10" t="str">
        <f t="shared" si="47"/>
        <v/>
      </c>
    </row>
    <row r="453" spans="1:16" ht="15" customHeight="1" x14ac:dyDescent="0.2">
      <c r="A453" s="8"/>
      <c r="B453" s="8"/>
      <c r="C453" s="8"/>
      <c r="D453" s="9"/>
      <c r="E453" s="9"/>
      <c r="F453" s="8"/>
      <c r="G453" s="10" t="str">
        <f t="shared" si="42"/>
        <v/>
      </c>
      <c r="H453" s="10" t="str">
        <f t="shared" si="43"/>
        <v/>
      </c>
      <c r="I453" s="11" t="str">
        <f>IF(B453="Recreation",IFERROR(INDEX(RecPricing!$E$5:$E$10,MATCH(IF(C453="Mixed","External",IF(C453="Unknown","UoB",C453))&amp;"|"&amp;IF(F453&lt;=24,"&lt;=24",IF(F453&lt;=32,"&lt;=32","Above32")),RecPricing!$F$5:$F$10,0)),""),IFERROR(INDEX(Reference!$E$5:$E$12,MATCH(B453&amp;"|"&amp;IF(C453="Mixed","External",IF(C453="Unknown","UoB",C453))&amp;"|"&amp;IF(F453&lt;=32,"32","40"),Reference!$D$5:$D$12,0)),""))</f>
        <v/>
      </c>
      <c r="J453" s="11" t="str">
        <f t="shared" si="44"/>
        <v/>
      </c>
      <c r="K453" s="12"/>
      <c r="L453" s="11" t="str">
        <f t="shared" si="45"/>
        <v/>
      </c>
      <c r="M453" s="12"/>
      <c r="N453" s="12"/>
      <c r="O453" s="11" t="str">
        <f t="shared" si="46"/>
        <v/>
      </c>
      <c r="P453" s="10" t="str">
        <f t="shared" si="47"/>
        <v/>
      </c>
    </row>
    <row r="454" spans="1:16" ht="15" customHeight="1" x14ac:dyDescent="0.2">
      <c r="A454" s="8"/>
      <c r="B454" s="8"/>
      <c r="C454" s="8"/>
      <c r="D454" s="9"/>
      <c r="E454" s="9"/>
      <c r="F454" s="8"/>
      <c r="G454" s="10" t="str">
        <f t="shared" si="42"/>
        <v/>
      </c>
      <c r="H454" s="10" t="str">
        <f t="shared" si="43"/>
        <v/>
      </c>
      <c r="I454" s="11" t="str">
        <f>IF(B454="Recreation",IFERROR(INDEX(RecPricing!$E$5:$E$10,MATCH(IF(C454="Mixed","External",IF(C454="Unknown","UoB",C454))&amp;"|"&amp;IF(F454&lt;=24,"&lt;=24",IF(F454&lt;=32,"&lt;=32","Above32")),RecPricing!$F$5:$F$10,0)),""),IFERROR(INDEX(Reference!$E$5:$E$12,MATCH(B454&amp;"|"&amp;IF(C454="Mixed","External",IF(C454="Unknown","UoB",C454))&amp;"|"&amp;IF(F454&lt;=32,"32","40"),Reference!$D$5:$D$12,0)),""))</f>
        <v/>
      </c>
      <c r="J454" s="11" t="str">
        <f t="shared" si="44"/>
        <v/>
      </c>
      <c r="K454" s="12"/>
      <c r="L454" s="11" t="str">
        <f t="shared" si="45"/>
        <v/>
      </c>
      <c r="M454" s="12"/>
      <c r="N454" s="12"/>
      <c r="O454" s="11" t="str">
        <f t="shared" si="46"/>
        <v/>
      </c>
      <c r="P454" s="10" t="str">
        <f t="shared" si="47"/>
        <v/>
      </c>
    </row>
    <row r="455" spans="1:16" ht="15" customHeight="1" x14ac:dyDescent="0.2">
      <c r="A455" s="8"/>
      <c r="B455" s="8"/>
      <c r="C455" s="8"/>
      <c r="D455" s="9"/>
      <c r="E455" s="9"/>
      <c r="F455" s="8"/>
      <c r="G455" s="10" t="str">
        <f t="shared" si="42"/>
        <v/>
      </c>
      <c r="H455" s="10" t="str">
        <f t="shared" si="43"/>
        <v/>
      </c>
      <c r="I455" s="11" t="str">
        <f>IF(B455="Recreation",IFERROR(INDEX(RecPricing!$E$5:$E$10,MATCH(IF(C455="Mixed","External",IF(C455="Unknown","UoB",C455))&amp;"|"&amp;IF(F455&lt;=24,"&lt;=24",IF(F455&lt;=32,"&lt;=32","Above32")),RecPricing!$F$5:$F$10,0)),""),IFERROR(INDEX(Reference!$E$5:$E$12,MATCH(B455&amp;"|"&amp;IF(C455="Mixed","External",IF(C455="Unknown","UoB",C455))&amp;"|"&amp;IF(F455&lt;=32,"32","40"),Reference!$D$5:$D$12,0)),""))</f>
        <v/>
      </c>
      <c r="J455" s="11" t="str">
        <f t="shared" si="44"/>
        <v/>
      </c>
      <c r="K455" s="12"/>
      <c r="L455" s="11" t="str">
        <f t="shared" si="45"/>
        <v/>
      </c>
      <c r="M455" s="12"/>
      <c r="N455" s="12"/>
      <c r="O455" s="11" t="str">
        <f t="shared" si="46"/>
        <v/>
      </c>
      <c r="P455" s="10" t="str">
        <f t="shared" si="47"/>
        <v/>
      </c>
    </row>
    <row r="456" spans="1:16" ht="15" customHeight="1" x14ac:dyDescent="0.2">
      <c r="A456" s="8"/>
      <c r="B456" s="8"/>
      <c r="C456" s="8"/>
      <c r="D456" s="9"/>
      <c r="E456" s="9"/>
      <c r="F456" s="8"/>
      <c r="G456" s="10" t="str">
        <f t="shared" si="42"/>
        <v/>
      </c>
      <c r="H456" s="10" t="str">
        <f t="shared" si="43"/>
        <v/>
      </c>
      <c r="I456" s="11" t="str">
        <f>IF(B456="Recreation",IFERROR(INDEX(RecPricing!$E$5:$E$10,MATCH(IF(C456="Mixed","External",IF(C456="Unknown","UoB",C456))&amp;"|"&amp;IF(F456&lt;=24,"&lt;=24",IF(F456&lt;=32,"&lt;=32","Above32")),RecPricing!$F$5:$F$10,0)),""),IFERROR(INDEX(Reference!$E$5:$E$12,MATCH(B456&amp;"|"&amp;IF(C456="Mixed","External",IF(C456="Unknown","UoB",C456))&amp;"|"&amp;IF(F456&lt;=32,"32","40"),Reference!$D$5:$D$12,0)),""))</f>
        <v/>
      </c>
      <c r="J456" s="11" t="str">
        <f t="shared" si="44"/>
        <v/>
      </c>
      <c r="K456" s="12"/>
      <c r="L456" s="11" t="str">
        <f t="shared" si="45"/>
        <v/>
      </c>
      <c r="M456" s="12"/>
      <c r="N456" s="12"/>
      <c r="O456" s="11" t="str">
        <f t="shared" si="46"/>
        <v/>
      </c>
      <c r="P456" s="10" t="str">
        <f t="shared" si="47"/>
        <v/>
      </c>
    </row>
    <row r="457" spans="1:16" ht="15" customHeight="1" x14ac:dyDescent="0.2">
      <c r="A457" s="8"/>
      <c r="B457" s="8"/>
      <c r="C457" s="8"/>
      <c r="D457" s="9"/>
      <c r="E457" s="9"/>
      <c r="F457" s="8"/>
      <c r="G457" s="10" t="str">
        <f t="shared" si="42"/>
        <v/>
      </c>
      <c r="H457" s="10" t="str">
        <f t="shared" si="43"/>
        <v/>
      </c>
      <c r="I457" s="11" t="str">
        <f>IF(B457="Recreation",IFERROR(INDEX(RecPricing!$E$5:$E$10,MATCH(IF(C457="Mixed","External",IF(C457="Unknown","UoB",C457))&amp;"|"&amp;IF(F457&lt;=24,"&lt;=24",IF(F457&lt;=32,"&lt;=32","Above32")),RecPricing!$F$5:$F$10,0)),""),IFERROR(INDEX(Reference!$E$5:$E$12,MATCH(B457&amp;"|"&amp;IF(C457="Mixed","External",IF(C457="Unknown","UoB",C457))&amp;"|"&amp;IF(F457&lt;=32,"32","40"),Reference!$D$5:$D$12,0)),""))</f>
        <v/>
      </c>
      <c r="J457" s="11" t="str">
        <f t="shared" si="44"/>
        <v/>
      </c>
      <c r="K457" s="12"/>
      <c r="L457" s="11" t="str">
        <f t="shared" si="45"/>
        <v/>
      </c>
      <c r="M457" s="12"/>
      <c r="N457" s="12"/>
      <c r="O457" s="11" t="str">
        <f t="shared" si="46"/>
        <v/>
      </c>
      <c r="P457" s="10" t="str">
        <f t="shared" si="47"/>
        <v/>
      </c>
    </row>
    <row r="458" spans="1:16" ht="15" customHeight="1" x14ac:dyDescent="0.2">
      <c r="A458" s="8"/>
      <c r="B458" s="8"/>
      <c r="C458" s="8"/>
      <c r="D458" s="9"/>
      <c r="E458" s="9"/>
      <c r="F458" s="8"/>
      <c r="G458" s="10" t="str">
        <f t="shared" si="42"/>
        <v/>
      </c>
      <c r="H458" s="10" t="str">
        <f t="shared" si="43"/>
        <v/>
      </c>
      <c r="I458" s="11" t="str">
        <f>IF(B458="Recreation",IFERROR(INDEX(RecPricing!$E$5:$E$10,MATCH(IF(C458="Mixed","External",IF(C458="Unknown","UoB",C458))&amp;"|"&amp;IF(F458&lt;=24,"&lt;=24",IF(F458&lt;=32,"&lt;=32","Above32")),RecPricing!$F$5:$F$10,0)),""),IFERROR(INDEX(Reference!$E$5:$E$12,MATCH(B458&amp;"|"&amp;IF(C458="Mixed","External",IF(C458="Unknown","UoB",C458))&amp;"|"&amp;IF(F458&lt;=32,"32","40"),Reference!$D$5:$D$12,0)),""))</f>
        <v/>
      </c>
      <c r="J458" s="11" t="str">
        <f t="shared" si="44"/>
        <v/>
      </c>
      <c r="K458" s="12"/>
      <c r="L458" s="11" t="str">
        <f t="shared" si="45"/>
        <v/>
      </c>
      <c r="M458" s="12"/>
      <c r="N458" s="12"/>
      <c r="O458" s="11" t="str">
        <f t="shared" si="46"/>
        <v/>
      </c>
      <c r="P458" s="10" t="str">
        <f t="shared" si="47"/>
        <v/>
      </c>
    </row>
    <row r="459" spans="1:16" ht="15" customHeight="1" x14ac:dyDescent="0.2">
      <c r="A459" s="8"/>
      <c r="B459" s="8"/>
      <c r="C459" s="8"/>
      <c r="D459" s="9"/>
      <c r="E459" s="9"/>
      <c r="F459" s="8"/>
      <c r="G459" s="10" t="str">
        <f t="shared" si="42"/>
        <v/>
      </c>
      <c r="H459" s="10" t="str">
        <f t="shared" si="43"/>
        <v/>
      </c>
      <c r="I459" s="11" t="str">
        <f>IF(B459="Recreation",IFERROR(INDEX(RecPricing!$E$5:$E$10,MATCH(IF(C459="Mixed","External",IF(C459="Unknown","UoB",C459))&amp;"|"&amp;IF(F459&lt;=24,"&lt;=24",IF(F459&lt;=32,"&lt;=32","Above32")),RecPricing!$F$5:$F$10,0)),""),IFERROR(INDEX(Reference!$E$5:$E$12,MATCH(B459&amp;"|"&amp;IF(C459="Mixed","External",IF(C459="Unknown","UoB",C459))&amp;"|"&amp;IF(F459&lt;=32,"32","40"),Reference!$D$5:$D$12,0)),""))</f>
        <v/>
      </c>
      <c r="J459" s="11" t="str">
        <f t="shared" si="44"/>
        <v/>
      </c>
      <c r="K459" s="12"/>
      <c r="L459" s="11" t="str">
        <f t="shared" si="45"/>
        <v/>
      </c>
      <c r="M459" s="12"/>
      <c r="N459" s="12"/>
      <c r="O459" s="11" t="str">
        <f t="shared" si="46"/>
        <v/>
      </c>
      <c r="P459" s="10" t="str">
        <f t="shared" si="47"/>
        <v/>
      </c>
    </row>
    <row r="460" spans="1:16" ht="15" customHeight="1" x14ac:dyDescent="0.2">
      <c r="A460" s="8"/>
      <c r="B460" s="8"/>
      <c r="C460" s="8"/>
      <c r="D460" s="9"/>
      <c r="E460" s="9"/>
      <c r="F460" s="8"/>
      <c r="G460" s="10" t="str">
        <f t="shared" si="42"/>
        <v/>
      </c>
      <c r="H460" s="10" t="str">
        <f t="shared" si="43"/>
        <v/>
      </c>
      <c r="I460" s="11" t="str">
        <f>IF(B460="Recreation",IFERROR(INDEX(RecPricing!$E$5:$E$10,MATCH(IF(C460="Mixed","External",IF(C460="Unknown","UoB",C460))&amp;"|"&amp;IF(F460&lt;=24,"&lt;=24",IF(F460&lt;=32,"&lt;=32","Above32")),RecPricing!$F$5:$F$10,0)),""),IFERROR(INDEX(Reference!$E$5:$E$12,MATCH(B460&amp;"|"&amp;IF(C460="Mixed","External",IF(C460="Unknown","UoB",C460))&amp;"|"&amp;IF(F460&lt;=32,"32","40"),Reference!$D$5:$D$12,0)),""))</f>
        <v/>
      </c>
      <c r="J460" s="11" t="str">
        <f t="shared" si="44"/>
        <v/>
      </c>
      <c r="K460" s="12"/>
      <c r="L460" s="11" t="str">
        <f t="shared" si="45"/>
        <v/>
      </c>
      <c r="M460" s="12"/>
      <c r="N460" s="12"/>
      <c r="O460" s="11" t="str">
        <f t="shared" si="46"/>
        <v/>
      </c>
      <c r="P460" s="10" t="str">
        <f t="shared" si="47"/>
        <v/>
      </c>
    </row>
    <row r="461" spans="1:16" ht="15" customHeight="1" x14ac:dyDescent="0.2">
      <c r="A461" s="8"/>
      <c r="B461" s="8"/>
      <c r="C461" s="8"/>
      <c r="D461" s="9"/>
      <c r="E461" s="9"/>
      <c r="F461" s="8"/>
      <c r="G461" s="10" t="str">
        <f t="shared" si="42"/>
        <v/>
      </c>
      <c r="H461" s="10" t="str">
        <f t="shared" si="43"/>
        <v/>
      </c>
      <c r="I461" s="11" t="str">
        <f>IF(B461="Recreation",IFERROR(INDEX(RecPricing!$E$5:$E$10,MATCH(IF(C461="Mixed","External",IF(C461="Unknown","UoB",C461))&amp;"|"&amp;IF(F461&lt;=24,"&lt;=24",IF(F461&lt;=32,"&lt;=32","Above32")),RecPricing!$F$5:$F$10,0)),""),IFERROR(INDEX(Reference!$E$5:$E$12,MATCH(B461&amp;"|"&amp;IF(C461="Mixed","External",IF(C461="Unknown","UoB",C461))&amp;"|"&amp;IF(F461&lt;=32,"32","40"),Reference!$D$5:$D$12,0)),""))</f>
        <v/>
      </c>
      <c r="J461" s="11" t="str">
        <f t="shared" si="44"/>
        <v/>
      </c>
      <c r="K461" s="12"/>
      <c r="L461" s="11" t="str">
        <f t="shared" si="45"/>
        <v/>
      </c>
      <c r="M461" s="12"/>
      <c r="N461" s="12"/>
      <c r="O461" s="11" t="str">
        <f t="shared" si="46"/>
        <v/>
      </c>
      <c r="P461" s="10" t="str">
        <f t="shared" si="47"/>
        <v/>
      </c>
    </row>
    <row r="462" spans="1:16" ht="15" customHeight="1" x14ac:dyDescent="0.2">
      <c r="A462" s="8"/>
      <c r="B462" s="8"/>
      <c r="C462" s="8"/>
      <c r="D462" s="9"/>
      <c r="E462" s="9"/>
      <c r="F462" s="8"/>
      <c r="G462" s="10" t="str">
        <f t="shared" si="42"/>
        <v/>
      </c>
      <c r="H462" s="10" t="str">
        <f t="shared" si="43"/>
        <v/>
      </c>
      <c r="I462" s="11" t="str">
        <f>IF(B462="Recreation",IFERROR(INDEX(RecPricing!$E$5:$E$10,MATCH(IF(C462="Mixed","External",IF(C462="Unknown","UoB",C462))&amp;"|"&amp;IF(F462&lt;=24,"&lt;=24",IF(F462&lt;=32,"&lt;=32","Above32")),RecPricing!$F$5:$F$10,0)),""),IFERROR(INDEX(Reference!$E$5:$E$12,MATCH(B462&amp;"|"&amp;IF(C462="Mixed","External",IF(C462="Unknown","UoB",C462))&amp;"|"&amp;IF(F462&lt;=32,"32","40"),Reference!$D$5:$D$12,0)),""))</f>
        <v/>
      </c>
      <c r="J462" s="11" t="str">
        <f t="shared" si="44"/>
        <v/>
      </c>
      <c r="K462" s="12"/>
      <c r="L462" s="11" t="str">
        <f t="shared" si="45"/>
        <v/>
      </c>
      <c r="M462" s="12"/>
      <c r="N462" s="12"/>
      <c r="O462" s="11" t="str">
        <f t="shared" si="46"/>
        <v/>
      </c>
      <c r="P462" s="10" t="str">
        <f t="shared" si="47"/>
        <v/>
      </c>
    </row>
    <row r="463" spans="1:16" ht="15" customHeight="1" x14ac:dyDescent="0.2">
      <c r="A463" s="8"/>
      <c r="B463" s="8"/>
      <c r="C463" s="8"/>
      <c r="D463" s="9"/>
      <c r="E463" s="9"/>
      <c r="F463" s="8"/>
      <c r="G463" s="10" t="str">
        <f t="shared" si="42"/>
        <v/>
      </c>
      <c r="H463" s="10" t="str">
        <f t="shared" si="43"/>
        <v/>
      </c>
      <c r="I463" s="11" t="str">
        <f>IF(B463="Recreation",IFERROR(INDEX(RecPricing!$E$5:$E$10,MATCH(IF(C463="Mixed","External",IF(C463="Unknown","UoB",C463))&amp;"|"&amp;IF(F463&lt;=24,"&lt;=24",IF(F463&lt;=32,"&lt;=32","Above32")),RecPricing!$F$5:$F$10,0)),""),IFERROR(INDEX(Reference!$E$5:$E$12,MATCH(B463&amp;"|"&amp;IF(C463="Mixed","External",IF(C463="Unknown","UoB",C463))&amp;"|"&amp;IF(F463&lt;=32,"32","40"),Reference!$D$5:$D$12,0)),""))</f>
        <v/>
      </c>
      <c r="J463" s="11" t="str">
        <f t="shared" si="44"/>
        <v/>
      </c>
      <c r="K463" s="12"/>
      <c r="L463" s="11" t="str">
        <f t="shared" si="45"/>
        <v/>
      </c>
      <c r="M463" s="12"/>
      <c r="N463" s="12"/>
      <c r="O463" s="11" t="str">
        <f t="shared" si="46"/>
        <v/>
      </c>
      <c r="P463" s="10" t="str">
        <f t="shared" si="47"/>
        <v/>
      </c>
    </row>
    <row r="464" spans="1:16" ht="15" customHeight="1" x14ac:dyDescent="0.2">
      <c r="A464" s="8"/>
      <c r="B464" s="8"/>
      <c r="C464" s="8"/>
      <c r="D464" s="9"/>
      <c r="E464" s="9"/>
      <c r="F464" s="8"/>
      <c r="G464" s="10" t="str">
        <f t="shared" si="42"/>
        <v/>
      </c>
      <c r="H464" s="10" t="str">
        <f t="shared" si="43"/>
        <v/>
      </c>
      <c r="I464" s="11" t="str">
        <f>IF(B464="Recreation",IFERROR(INDEX(RecPricing!$E$5:$E$10,MATCH(IF(C464="Mixed","External",IF(C464="Unknown","UoB",C464))&amp;"|"&amp;IF(F464&lt;=24,"&lt;=24",IF(F464&lt;=32,"&lt;=32","Above32")),RecPricing!$F$5:$F$10,0)),""),IFERROR(INDEX(Reference!$E$5:$E$12,MATCH(B464&amp;"|"&amp;IF(C464="Mixed","External",IF(C464="Unknown","UoB",C464))&amp;"|"&amp;IF(F464&lt;=32,"32","40"),Reference!$D$5:$D$12,0)),""))</f>
        <v/>
      </c>
      <c r="J464" s="11" t="str">
        <f t="shared" si="44"/>
        <v/>
      </c>
      <c r="K464" s="12"/>
      <c r="L464" s="11" t="str">
        <f t="shared" si="45"/>
        <v/>
      </c>
      <c r="M464" s="12"/>
      <c r="N464" s="12"/>
      <c r="O464" s="11" t="str">
        <f t="shared" si="46"/>
        <v/>
      </c>
      <c r="P464" s="10" t="str">
        <f t="shared" si="47"/>
        <v/>
      </c>
    </row>
    <row r="465" spans="1:16" ht="15" customHeight="1" x14ac:dyDescent="0.2">
      <c r="A465" s="8"/>
      <c r="B465" s="8"/>
      <c r="C465" s="8"/>
      <c r="D465" s="9"/>
      <c r="E465" s="9"/>
      <c r="F465" s="8"/>
      <c r="G465" s="10" t="str">
        <f t="shared" si="42"/>
        <v/>
      </c>
      <c r="H465" s="10" t="str">
        <f t="shared" si="43"/>
        <v/>
      </c>
      <c r="I465" s="11" t="str">
        <f>IF(B465="Recreation",IFERROR(INDEX(RecPricing!$E$5:$E$10,MATCH(IF(C465="Mixed","External",IF(C465="Unknown","UoB",C465))&amp;"|"&amp;IF(F465&lt;=24,"&lt;=24",IF(F465&lt;=32,"&lt;=32","Above32")),RecPricing!$F$5:$F$10,0)),""),IFERROR(INDEX(Reference!$E$5:$E$12,MATCH(B465&amp;"|"&amp;IF(C465="Mixed","External",IF(C465="Unknown","UoB",C465))&amp;"|"&amp;IF(F465&lt;=32,"32","40"),Reference!$D$5:$D$12,0)),""))</f>
        <v/>
      </c>
      <c r="J465" s="11" t="str">
        <f t="shared" si="44"/>
        <v/>
      </c>
      <c r="K465" s="12"/>
      <c r="L465" s="11" t="str">
        <f t="shared" si="45"/>
        <v/>
      </c>
      <c r="M465" s="12"/>
      <c r="N465" s="12"/>
      <c r="O465" s="11" t="str">
        <f t="shared" si="46"/>
        <v/>
      </c>
      <c r="P465" s="10" t="str">
        <f t="shared" si="47"/>
        <v/>
      </c>
    </row>
    <row r="466" spans="1:16" ht="15" customHeight="1" x14ac:dyDescent="0.2">
      <c r="A466" s="8"/>
      <c r="B466" s="8"/>
      <c r="C466" s="8"/>
      <c r="D466" s="9"/>
      <c r="E466" s="9"/>
      <c r="F466" s="8"/>
      <c r="G466" s="10" t="str">
        <f t="shared" si="42"/>
        <v/>
      </c>
      <c r="H466" s="10" t="str">
        <f t="shared" si="43"/>
        <v/>
      </c>
      <c r="I466" s="11" t="str">
        <f>IF(B466="Recreation",IFERROR(INDEX(RecPricing!$E$5:$E$10,MATCH(IF(C466="Mixed","External",IF(C466="Unknown","UoB",C466))&amp;"|"&amp;IF(F466&lt;=24,"&lt;=24",IF(F466&lt;=32,"&lt;=32","Above32")),RecPricing!$F$5:$F$10,0)),""),IFERROR(INDEX(Reference!$E$5:$E$12,MATCH(B466&amp;"|"&amp;IF(C466="Mixed","External",IF(C466="Unknown","UoB",C466))&amp;"|"&amp;IF(F466&lt;=32,"32","40"),Reference!$D$5:$D$12,0)),""))</f>
        <v/>
      </c>
      <c r="J466" s="11" t="str">
        <f t="shared" si="44"/>
        <v/>
      </c>
      <c r="K466" s="12"/>
      <c r="L466" s="11" t="str">
        <f t="shared" si="45"/>
        <v/>
      </c>
      <c r="M466" s="12"/>
      <c r="N466" s="12"/>
      <c r="O466" s="11" t="str">
        <f t="shared" si="46"/>
        <v/>
      </c>
      <c r="P466" s="10" t="str">
        <f t="shared" si="47"/>
        <v/>
      </c>
    </row>
    <row r="467" spans="1:16" ht="15" customHeight="1" x14ac:dyDescent="0.2">
      <c r="A467" s="8"/>
      <c r="B467" s="8"/>
      <c r="C467" s="8"/>
      <c r="D467" s="9"/>
      <c r="E467" s="9"/>
      <c r="F467" s="8"/>
      <c r="G467" s="10" t="str">
        <f t="shared" si="42"/>
        <v/>
      </c>
      <c r="H467" s="10" t="str">
        <f t="shared" si="43"/>
        <v/>
      </c>
      <c r="I467" s="11" t="str">
        <f>IF(B467="Recreation",IFERROR(INDEX(RecPricing!$E$5:$E$10,MATCH(IF(C467="Mixed","External",IF(C467="Unknown","UoB",C467))&amp;"|"&amp;IF(F467&lt;=24,"&lt;=24",IF(F467&lt;=32,"&lt;=32","Above32")),RecPricing!$F$5:$F$10,0)),""),IFERROR(INDEX(Reference!$E$5:$E$12,MATCH(B467&amp;"|"&amp;IF(C467="Mixed","External",IF(C467="Unknown","UoB",C467))&amp;"|"&amp;IF(F467&lt;=32,"32","40"),Reference!$D$5:$D$12,0)),""))</f>
        <v/>
      </c>
      <c r="J467" s="11" t="str">
        <f t="shared" si="44"/>
        <v/>
      </c>
      <c r="K467" s="12"/>
      <c r="L467" s="11" t="str">
        <f t="shared" si="45"/>
        <v/>
      </c>
      <c r="M467" s="12"/>
      <c r="N467" s="12"/>
      <c r="O467" s="11" t="str">
        <f t="shared" si="46"/>
        <v/>
      </c>
      <c r="P467" s="10" t="str">
        <f t="shared" si="47"/>
        <v/>
      </c>
    </row>
    <row r="468" spans="1:16" ht="15" customHeight="1" x14ac:dyDescent="0.2">
      <c r="A468" s="8"/>
      <c r="B468" s="8"/>
      <c r="C468" s="8"/>
      <c r="D468" s="9"/>
      <c r="E468" s="9"/>
      <c r="F468" s="8"/>
      <c r="G468" s="10" t="str">
        <f t="shared" si="42"/>
        <v/>
      </c>
      <c r="H468" s="10" t="str">
        <f t="shared" si="43"/>
        <v/>
      </c>
      <c r="I468" s="11" t="str">
        <f>IF(B468="Recreation",IFERROR(INDEX(RecPricing!$E$5:$E$10,MATCH(IF(C468="Mixed","External",IF(C468="Unknown","UoB",C468))&amp;"|"&amp;IF(F468&lt;=24,"&lt;=24",IF(F468&lt;=32,"&lt;=32","Above32")),RecPricing!$F$5:$F$10,0)),""),IFERROR(INDEX(Reference!$E$5:$E$12,MATCH(B468&amp;"|"&amp;IF(C468="Mixed","External",IF(C468="Unknown","UoB",C468))&amp;"|"&amp;IF(F468&lt;=32,"32","40"),Reference!$D$5:$D$12,0)),""))</f>
        <v/>
      </c>
      <c r="J468" s="11" t="str">
        <f t="shared" si="44"/>
        <v/>
      </c>
      <c r="K468" s="12"/>
      <c r="L468" s="11" t="str">
        <f t="shared" si="45"/>
        <v/>
      </c>
      <c r="M468" s="12"/>
      <c r="N468" s="12"/>
      <c r="O468" s="11" t="str">
        <f t="shared" si="46"/>
        <v/>
      </c>
      <c r="P468" s="10" t="str">
        <f t="shared" si="47"/>
        <v/>
      </c>
    </row>
    <row r="469" spans="1:16" ht="15" customHeight="1" x14ac:dyDescent="0.2">
      <c r="A469" s="8"/>
      <c r="B469" s="8"/>
      <c r="C469" s="8"/>
      <c r="D469" s="9"/>
      <c r="E469" s="9"/>
      <c r="F469" s="8"/>
      <c r="G469" s="10" t="str">
        <f t="shared" si="42"/>
        <v/>
      </c>
      <c r="H469" s="10" t="str">
        <f t="shared" si="43"/>
        <v/>
      </c>
      <c r="I469" s="11" t="str">
        <f>IF(B469="Recreation",IFERROR(INDEX(RecPricing!$E$5:$E$10,MATCH(IF(C469="Mixed","External",IF(C469="Unknown","UoB",C469))&amp;"|"&amp;IF(F469&lt;=24,"&lt;=24",IF(F469&lt;=32,"&lt;=32","Above32")),RecPricing!$F$5:$F$10,0)),""),IFERROR(INDEX(Reference!$E$5:$E$12,MATCH(B469&amp;"|"&amp;IF(C469="Mixed","External",IF(C469="Unknown","UoB",C469))&amp;"|"&amp;IF(F469&lt;=32,"32","40"),Reference!$D$5:$D$12,0)),""))</f>
        <v/>
      </c>
      <c r="J469" s="11" t="str">
        <f t="shared" si="44"/>
        <v/>
      </c>
      <c r="K469" s="12"/>
      <c r="L469" s="11" t="str">
        <f t="shared" si="45"/>
        <v/>
      </c>
      <c r="M469" s="12"/>
      <c r="N469" s="12"/>
      <c r="O469" s="11" t="str">
        <f t="shared" si="46"/>
        <v/>
      </c>
      <c r="P469" s="10" t="str">
        <f t="shared" si="47"/>
        <v/>
      </c>
    </row>
    <row r="470" spans="1:16" ht="15" customHeight="1" x14ac:dyDescent="0.2">
      <c r="A470" s="8"/>
      <c r="B470" s="8"/>
      <c r="C470" s="8"/>
      <c r="D470" s="9"/>
      <c r="E470" s="9"/>
      <c r="F470" s="8"/>
      <c r="G470" s="10" t="str">
        <f t="shared" si="42"/>
        <v/>
      </c>
      <c r="H470" s="10" t="str">
        <f t="shared" si="43"/>
        <v/>
      </c>
      <c r="I470" s="11" t="str">
        <f>IF(B470="Recreation",IFERROR(INDEX(RecPricing!$E$5:$E$10,MATCH(IF(C470="Mixed","External",IF(C470="Unknown","UoB",C470))&amp;"|"&amp;IF(F470&lt;=24,"&lt;=24",IF(F470&lt;=32,"&lt;=32","Above32")),RecPricing!$F$5:$F$10,0)),""),IFERROR(INDEX(Reference!$E$5:$E$12,MATCH(B470&amp;"|"&amp;IF(C470="Mixed","External",IF(C470="Unknown","UoB",C470))&amp;"|"&amp;IF(F470&lt;=32,"32","40"),Reference!$D$5:$D$12,0)),""))</f>
        <v/>
      </c>
      <c r="J470" s="11" t="str">
        <f t="shared" si="44"/>
        <v/>
      </c>
      <c r="K470" s="12"/>
      <c r="L470" s="11" t="str">
        <f t="shared" si="45"/>
        <v/>
      </c>
      <c r="M470" s="12"/>
      <c r="N470" s="12"/>
      <c r="O470" s="11" t="str">
        <f t="shared" si="46"/>
        <v/>
      </c>
      <c r="P470" s="10" t="str">
        <f t="shared" si="47"/>
        <v/>
      </c>
    </row>
    <row r="471" spans="1:16" ht="15" customHeight="1" x14ac:dyDescent="0.2">
      <c r="A471" s="8"/>
      <c r="B471" s="8"/>
      <c r="C471" s="8"/>
      <c r="D471" s="9"/>
      <c r="E471" s="9"/>
      <c r="F471" s="8"/>
      <c r="G471" s="10" t="str">
        <f t="shared" si="42"/>
        <v/>
      </c>
      <c r="H471" s="10" t="str">
        <f t="shared" si="43"/>
        <v/>
      </c>
      <c r="I471" s="11" t="str">
        <f>IF(B471="Recreation",IFERROR(INDEX(RecPricing!$E$5:$E$10,MATCH(IF(C471="Mixed","External",IF(C471="Unknown","UoB",C471))&amp;"|"&amp;IF(F471&lt;=24,"&lt;=24",IF(F471&lt;=32,"&lt;=32","Above32")),RecPricing!$F$5:$F$10,0)),""),IFERROR(INDEX(Reference!$E$5:$E$12,MATCH(B471&amp;"|"&amp;IF(C471="Mixed","External",IF(C471="Unknown","UoB",C471))&amp;"|"&amp;IF(F471&lt;=32,"32","40"),Reference!$D$5:$D$12,0)),""))</f>
        <v/>
      </c>
      <c r="J471" s="11" t="str">
        <f t="shared" si="44"/>
        <v/>
      </c>
      <c r="K471" s="12"/>
      <c r="L471" s="11" t="str">
        <f t="shared" si="45"/>
        <v/>
      </c>
      <c r="M471" s="12"/>
      <c r="N471" s="12"/>
      <c r="O471" s="11" t="str">
        <f t="shared" si="46"/>
        <v/>
      </c>
      <c r="P471" s="10" t="str">
        <f t="shared" si="47"/>
        <v/>
      </c>
    </row>
    <row r="472" spans="1:16" ht="15" customHeight="1" x14ac:dyDescent="0.2">
      <c r="A472" s="8"/>
      <c r="B472" s="8"/>
      <c r="C472" s="8"/>
      <c r="D472" s="9"/>
      <c r="E472" s="9"/>
      <c r="F472" s="8"/>
      <c r="G472" s="10" t="str">
        <f t="shared" si="42"/>
        <v/>
      </c>
      <c r="H472" s="10" t="str">
        <f t="shared" si="43"/>
        <v/>
      </c>
      <c r="I472" s="11" t="str">
        <f>IF(B472="Recreation",IFERROR(INDEX(RecPricing!$E$5:$E$10,MATCH(IF(C472="Mixed","External",IF(C472="Unknown","UoB",C472))&amp;"|"&amp;IF(F472&lt;=24,"&lt;=24",IF(F472&lt;=32,"&lt;=32","Above32")),RecPricing!$F$5:$F$10,0)),""),IFERROR(INDEX(Reference!$E$5:$E$12,MATCH(B472&amp;"|"&amp;IF(C472="Mixed","External",IF(C472="Unknown","UoB",C472))&amp;"|"&amp;IF(F472&lt;=32,"32","40"),Reference!$D$5:$D$12,0)),""))</f>
        <v/>
      </c>
      <c r="J472" s="11" t="str">
        <f t="shared" si="44"/>
        <v/>
      </c>
      <c r="K472" s="12"/>
      <c r="L472" s="11" t="str">
        <f t="shared" si="45"/>
        <v/>
      </c>
      <c r="M472" s="12"/>
      <c r="N472" s="12"/>
      <c r="O472" s="11" t="str">
        <f t="shared" si="46"/>
        <v/>
      </c>
      <c r="P472" s="10" t="str">
        <f t="shared" si="47"/>
        <v/>
      </c>
    </row>
    <row r="473" spans="1:16" ht="15" customHeight="1" x14ac:dyDescent="0.2">
      <c r="A473" s="8"/>
      <c r="B473" s="8"/>
      <c r="C473" s="8"/>
      <c r="D473" s="9"/>
      <c r="E473" s="9"/>
      <c r="F473" s="8"/>
      <c r="G473" s="10" t="str">
        <f t="shared" si="42"/>
        <v/>
      </c>
      <c r="H473" s="10" t="str">
        <f t="shared" si="43"/>
        <v/>
      </c>
      <c r="I473" s="11" t="str">
        <f>IF(B473="Recreation",IFERROR(INDEX(RecPricing!$E$5:$E$10,MATCH(IF(C473="Mixed","External",IF(C473="Unknown","UoB",C473))&amp;"|"&amp;IF(F473&lt;=24,"&lt;=24",IF(F473&lt;=32,"&lt;=32","Above32")),RecPricing!$F$5:$F$10,0)),""),IFERROR(INDEX(Reference!$E$5:$E$12,MATCH(B473&amp;"|"&amp;IF(C473="Mixed","External",IF(C473="Unknown","UoB",C473))&amp;"|"&amp;IF(F473&lt;=32,"32","40"),Reference!$D$5:$D$12,0)),""))</f>
        <v/>
      </c>
      <c r="J473" s="11" t="str">
        <f t="shared" si="44"/>
        <v/>
      </c>
      <c r="K473" s="12"/>
      <c r="L473" s="11" t="str">
        <f t="shared" si="45"/>
        <v/>
      </c>
      <c r="M473" s="12"/>
      <c r="N473" s="12"/>
      <c r="O473" s="11" t="str">
        <f t="shared" si="46"/>
        <v/>
      </c>
      <c r="P473" s="10" t="str">
        <f t="shared" si="47"/>
        <v/>
      </c>
    </row>
    <row r="474" spans="1:16" ht="15" customHeight="1" x14ac:dyDescent="0.2">
      <c r="A474" s="8"/>
      <c r="B474" s="8"/>
      <c r="C474" s="8"/>
      <c r="D474" s="9"/>
      <c r="E474" s="9"/>
      <c r="F474" s="8"/>
      <c r="G474" s="10" t="str">
        <f t="shared" si="42"/>
        <v/>
      </c>
      <c r="H474" s="10" t="str">
        <f t="shared" si="43"/>
        <v/>
      </c>
      <c r="I474" s="11" t="str">
        <f>IF(B474="Recreation",IFERROR(INDEX(RecPricing!$E$5:$E$10,MATCH(IF(C474="Mixed","External",IF(C474="Unknown","UoB",C474))&amp;"|"&amp;IF(F474&lt;=24,"&lt;=24",IF(F474&lt;=32,"&lt;=32","Above32")),RecPricing!$F$5:$F$10,0)),""),IFERROR(INDEX(Reference!$E$5:$E$12,MATCH(B474&amp;"|"&amp;IF(C474="Mixed","External",IF(C474="Unknown","UoB",C474))&amp;"|"&amp;IF(F474&lt;=32,"32","40"),Reference!$D$5:$D$12,0)),""))</f>
        <v/>
      </c>
      <c r="J474" s="11" t="str">
        <f t="shared" si="44"/>
        <v/>
      </c>
      <c r="K474" s="12"/>
      <c r="L474" s="11" t="str">
        <f t="shared" si="45"/>
        <v/>
      </c>
      <c r="M474" s="12"/>
      <c r="N474" s="12"/>
      <c r="O474" s="11" t="str">
        <f t="shared" si="46"/>
        <v/>
      </c>
      <c r="P474" s="10" t="str">
        <f t="shared" si="47"/>
        <v/>
      </c>
    </row>
    <row r="475" spans="1:16" ht="15" customHeight="1" x14ac:dyDescent="0.2">
      <c r="A475" s="8"/>
      <c r="B475" s="8"/>
      <c r="C475" s="8"/>
      <c r="D475" s="9"/>
      <c r="E475" s="9"/>
      <c r="F475" s="8"/>
      <c r="G475" s="10" t="str">
        <f t="shared" si="42"/>
        <v/>
      </c>
      <c r="H475" s="10" t="str">
        <f t="shared" si="43"/>
        <v/>
      </c>
      <c r="I475" s="11" t="str">
        <f>IF(B475="Recreation",IFERROR(INDEX(RecPricing!$E$5:$E$10,MATCH(IF(C475="Mixed","External",IF(C475="Unknown","UoB",C475))&amp;"|"&amp;IF(F475&lt;=24,"&lt;=24",IF(F475&lt;=32,"&lt;=32","Above32")),RecPricing!$F$5:$F$10,0)),""),IFERROR(INDEX(Reference!$E$5:$E$12,MATCH(B475&amp;"|"&amp;IF(C475="Mixed","External",IF(C475="Unknown","UoB",C475))&amp;"|"&amp;IF(F475&lt;=32,"32","40"),Reference!$D$5:$D$12,0)),""))</f>
        <v/>
      </c>
      <c r="J475" s="11" t="str">
        <f t="shared" si="44"/>
        <v/>
      </c>
      <c r="K475" s="12"/>
      <c r="L475" s="11" t="str">
        <f t="shared" si="45"/>
        <v/>
      </c>
      <c r="M475" s="12"/>
      <c r="N475" s="12"/>
      <c r="O475" s="11" t="str">
        <f t="shared" si="46"/>
        <v/>
      </c>
      <c r="P475" s="10" t="str">
        <f t="shared" si="47"/>
        <v/>
      </c>
    </row>
    <row r="476" spans="1:16" ht="15" customHeight="1" x14ac:dyDescent="0.2">
      <c r="A476" s="8"/>
      <c r="B476" s="8"/>
      <c r="C476" s="8"/>
      <c r="D476" s="9"/>
      <c r="E476" s="9"/>
      <c r="F476" s="8"/>
      <c r="G476" s="10" t="str">
        <f t="shared" si="42"/>
        <v/>
      </c>
      <c r="H476" s="10" t="str">
        <f t="shared" si="43"/>
        <v/>
      </c>
      <c r="I476" s="11" t="str">
        <f>IF(B476="Recreation",IFERROR(INDEX(RecPricing!$E$5:$E$10,MATCH(IF(C476="Mixed","External",IF(C476="Unknown","UoB",C476))&amp;"|"&amp;IF(F476&lt;=24,"&lt;=24",IF(F476&lt;=32,"&lt;=32","Above32")),RecPricing!$F$5:$F$10,0)),""),IFERROR(INDEX(Reference!$E$5:$E$12,MATCH(B476&amp;"|"&amp;IF(C476="Mixed","External",IF(C476="Unknown","UoB",C476))&amp;"|"&amp;IF(F476&lt;=32,"32","40"),Reference!$D$5:$D$12,0)),""))</f>
        <v/>
      </c>
      <c r="J476" s="11" t="str">
        <f t="shared" si="44"/>
        <v/>
      </c>
      <c r="K476" s="12"/>
      <c r="L476" s="11" t="str">
        <f t="shared" si="45"/>
        <v/>
      </c>
      <c r="M476" s="12"/>
      <c r="N476" s="12"/>
      <c r="O476" s="11" t="str">
        <f t="shared" si="46"/>
        <v/>
      </c>
      <c r="P476" s="10" t="str">
        <f t="shared" si="47"/>
        <v/>
      </c>
    </row>
    <row r="477" spans="1:16" ht="15" customHeight="1" x14ac:dyDescent="0.2">
      <c r="A477" s="8"/>
      <c r="B477" s="8"/>
      <c r="C477" s="8"/>
      <c r="D477" s="9"/>
      <c r="E477" s="9"/>
      <c r="F477" s="8"/>
      <c r="G477" s="10" t="str">
        <f t="shared" si="42"/>
        <v/>
      </c>
      <c r="H477" s="10" t="str">
        <f t="shared" si="43"/>
        <v/>
      </c>
      <c r="I477" s="11" t="str">
        <f>IF(B477="Recreation",IFERROR(INDEX(RecPricing!$E$5:$E$10,MATCH(IF(C477="Mixed","External",IF(C477="Unknown","UoB",C477))&amp;"|"&amp;IF(F477&lt;=24,"&lt;=24",IF(F477&lt;=32,"&lt;=32","Above32")),RecPricing!$F$5:$F$10,0)),""),IFERROR(INDEX(Reference!$E$5:$E$12,MATCH(B477&amp;"|"&amp;IF(C477="Mixed","External",IF(C477="Unknown","UoB",C477))&amp;"|"&amp;IF(F477&lt;=32,"32","40"),Reference!$D$5:$D$12,0)),""))</f>
        <v/>
      </c>
      <c r="J477" s="11" t="str">
        <f t="shared" si="44"/>
        <v/>
      </c>
      <c r="K477" s="12"/>
      <c r="L477" s="11" t="str">
        <f t="shared" si="45"/>
        <v/>
      </c>
      <c r="M477" s="12"/>
      <c r="N477" s="12"/>
      <c r="O477" s="11" t="str">
        <f t="shared" si="46"/>
        <v/>
      </c>
      <c r="P477" s="10" t="str">
        <f t="shared" si="47"/>
        <v/>
      </c>
    </row>
    <row r="478" spans="1:16" ht="15" customHeight="1" x14ac:dyDescent="0.2">
      <c r="A478" s="8"/>
      <c r="B478" s="8"/>
      <c r="C478" s="8"/>
      <c r="D478" s="9"/>
      <c r="E478" s="9"/>
      <c r="F478" s="8"/>
      <c r="G478" s="10" t="str">
        <f t="shared" si="42"/>
        <v/>
      </c>
      <c r="H478" s="10" t="str">
        <f t="shared" si="43"/>
        <v/>
      </c>
      <c r="I478" s="11" t="str">
        <f>IF(B478="Recreation",IFERROR(INDEX(RecPricing!$E$5:$E$10,MATCH(IF(C478="Mixed","External",IF(C478="Unknown","UoB",C478))&amp;"|"&amp;IF(F478&lt;=24,"&lt;=24",IF(F478&lt;=32,"&lt;=32","Above32")),RecPricing!$F$5:$F$10,0)),""),IFERROR(INDEX(Reference!$E$5:$E$12,MATCH(B478&amp;"|"&amp;IF(C478="Mixed","External",IF(C478="Unknown","UoB",C478))&amp;"|"&amp;IF(F478&lt;=32,"32","40"),Reference!$D$5:$D$12,0)),""))</f>
        <v/>
      </c>
      <c r="J478" s="11" t="str">
        <f t="shared" si="44"/>
        <v/>
      </c>
      <c r="K478" s="12"/>
      <c r="L478" s="11" t="str">
        <f t="shared" si="45"/>
        <v/>
      </c>
      <c r="M478" s="12"/>
      <c r="N478" s="12"/>
      <c r="O478" s="11" t="str">
        <f t="shared" si="46"/>
        <v/>
      </c>
      <c r="P478" s="10" t="str">
        <f t="shared" si="47"/>
        <v/>
      </c>
    </row>
    <row r="479" spans="1:16" ht="15" customHeight="1" x14ac:dyDescent="0.2">
      <c r="A479" s="8"/>
      <c r="B479" s="8"/>
      <c r="C479" s="8"/>
      <c r="D479" s="9"/>
      <c r="E479" s="9"/>
      <c r="F479" s="8"/>
      <c r="G479" s="10" t="str">
        <f t="shared" si="42"/>
        <v/>
      </c>
      <c r="H479" s="10" t="str">
        <f t="shared" si="43"/>
        <v/>
      </c>
      <c r="I479" s="11" t="str">
        <f>IF(B479="Recreation",IFERROR(INDEX(RecPricing!$E$5:$E$10,MATCH(IF(C479="Mixed","External",IF(C479="Unknown","UoB",C479))&amp;"|"&amp;IF(F479&lt;=24,"&lt;=24",IF(F479&lt;=32,"&lt;=32","Above32")),RecPricing!$F$5:$F$10,0)),""),IFERROR(INDEX(Reference!$E$5:$E$12,MATCH(B479&amp;"|"&amp;IF(C479="Mixed","External",IF(C479="Unknown","UoB",C479))&amp;"|"&amp;IF(F479&lt;=32,"32","40"),Reference!$D$5:$D$12,0)),""))</f>
        <v/>
      </c>
      <c r="J479" s="11" t="str">
        <f t="shared" si="44"/>
        <v/>
      </c>
      <c r="K479" s="12"/>
      <c r="L479" s="11" t="str">
        <f t="shared" si="45"/>
        <v/>
      </c>
      <c r="M479" s="12"/>
      <c r="N479" s="12"/>
      <c r="O479" s="11" t="str">
        <f t="shared" si="46"/>
        <v/>
      </c>
      <c r="P479" s="10" t="str">
        <f t="shared" si="47"/>
        <v/>
      </c>
    </row>
    <row r="480" spans="1:16" ht="15" customHeight="1" x14ac:dyDescent="0.2">
      <c r="A480" s="8"/>
      <c r="B480" s="8"/>
      <c r="C480" s="8"/>
      <c r="D480" s="9"/>
      <c r="E480" s="9"/>
      <c r="F480" s="8"/>
      <c r="G480" s="10" t="str">
        <f t="shared" si="42"/>
        <v/>
      </c>
      <c r="H480" s="10" t="str">
        <f t="shared" si="43"/>
        <v/>
      </c>
      <c r="I480" s="11" t="str">
        <f>IF(B480="Recreation",IFERROR(INDEX(RecPricing!$E$5:$E$10,MATCH(IF(C480="Mixed","External",IF(C480="Unknown","UoB",C480))&amp;"|"&amp;IF(F480&lt;=24,"&lt;=24",IF(F480&lt;=32,"&lt;=32","Above32")),RecPricing!$F$5:$F$10,0)),""),IFERROR(INDEX(Reference!$E$5:$E$12,MATCH(B480&amp;"|"&amp;IF(C480="Mixed","External",IF(C480="Unknown","UoB",C480))&amp;"|"&amp;IF(F480&lt;=32,"32","40"),Reference!$D$5:$D$12,0)),""))</f>
        <v/>
      </c>
      <c r="J480" s="11" t="str">
        <f t="shared" si="44"/>
        <v/>
      </c>
      <c r="K480" s="12"/>
      <c r="L480" s="11" t="str">
        <f t="shared" si="45"/>
        <v/>
      </c>
      <c r="M480" s="12"/>
      <c r="N480" s="12"/>
      <c r="O480" s="11" t="str">
        <f t="shared" si="46"/>
        <v/>
      </c>
      <c r="P480" s="10" t="str">
        <f t="shared" si="47"/>
        <v/>
      </c>
    </row>
    <row r="481" spans="1:16" ht="15" customHeight="1" x14ac:dyDescent="0.2">
      <c r="A481" s="8"/>
      <c r="B481" s="8"/>
      <c r="C481" s="8"/>
      <c r="D481" s="9"/>
      <c r="E481" s="9"/>
      <c r="F481" s="8"/>
      <c r="G481" s="10" t="str">
        <f t="shared" si="42"/>
        <v/>
      </c>
      <c r="H481" s="10" t="str">
        <f t="shared" si="43"/>
        <v/>
      </c>
      <c r="I481" s="11" t="str">
        <f>IF(B481="Recreation",IFERROR(INDEX(RecPricing!$E$5:$E$10,MATCH(IF(C481="Mixed","External",IF(C481="Unknown","UoB",C481))&amp;"|"&amp;IF(F481&lt;=24,"&lt;=24",IF(F481&lt;=32,"&lt;=32","Above32")),RecPricing!$F$5:$F$10,0)),""),IFERROR(INDEX(Reference!$E$5:$E$12,MATCH(B481&amp;"|"&amp;IF(C481="Mixed","External",IF(C481="Unknown","UoB",C481))&amp;"|"&amp;IF(F481&lt;=32,"32","40"),Reference!$D$5:$D$12,0)),""))</f>
        <v/>
      </c>
      <c r="J481" s="11" t="str">
        <f t="shared" si="44"/>
        <v/>
      </c>
      <c r="K481" s="12"/>
      <c r="L481" s="11" t="str">
        <f t="shared" si="45"/>
        <v/>
      </c>
      <c r="M481" s="12"/>
      <c r="N481" s="12"/>
      <c r="O481" s="11" t="str">
        <f t="shared" si="46"/>
        <v/>
      </c>
      <c r="P481" s="10" t="str">
        <f t="shared" si="47"/>
        <v/>
      </c>
    </row>
    <row r="482" spans="1:16" ht="15" customHeight="1" x14ac:dyDescent="0.2">
      <c r="A482" s="8"/>
      <c r="B482" s="8"/>
      <c r="C482" s="8"/>
      <c r="D482" s="9"/>
      <c r="E482" s="9"/>
      <c r="F482" s="8"/>
      <c r="G482" s="10" t="str">
        <f t="shared" si="42"/>
        <v/>
      </c>
      <c r="H482" s="10" t="str">
        <f t="shared" si="43"/>
        <v/>
      </c>
      <c r="I482" s="11" t="str">
        <f>IF(B482="Recreation",IFERROR(INDEX(RecPricing!$E$5:$E$10,MATCH(IF(C482="Mixed","External",IF(C482="Unknown","UoB",C482))&amp;"|"&amp;IF(F482&lt;=24,"&lt;=24",IF(F482&lt;=32,"&lt;=32","Above32")),RecPricing!$F$5:$F$10,0)),""),IFERROR(INDEX(Reference!$E$5:$E$12,MATCH(B482&amp;"|"&amp;IF(C482="Mixed","External",IF(C482="Unknown","UoB",C482))&amp;"|"&amp;IF(F482&lt;=32,"32","40"),Reference!$D$5:$D$12,0)),""))</f>
        <v/>
      </c>
      <c r="J482" s="11" t="str">
        <f t="shared" si="44"/>
        <v/>
      </c>
      <c r="K482" s="12"/>
      <c r="L482" s="11" t="str">
        <f t="shared" si="45"/>
        <v/>
      </c>
      <c r="M482" s="12"/>
      <c r="N482" s="12"/>
      <c r="O482" s="11" t="str">
        <f t="shared" si="46"/>
        <v/>
      </c>
      <c r="P482" s="10" t="str">
        <f t="shared" si="47"/>
        <v/>
      </c>
    </row>
    <row r="483" spans="1:16" ht="15" customHeight="1" x14ac:dyDescent="0.2">
      <c r="A483" s="8"/>
      <c r="B483" s="8"/>
      <c r="C483" s="8"/>
      <c r="D483" s="9"/>
      <c r="E483" s="9"/>
      <c r="F483" s="8"/>
      <c r="G483" s="10" t="str">
        <f t="shared" si="42"/>
        <v/>
      </c>
      <c r="H483" s="10" t="str">
        <f t="shared" si="43"/>
        <v/>
      </c>
      <c r="I483" s="11" t="str">
        <f>IF(B483="Recreation",IFERROR(INDEX(RecPricing!$E$5:$E$10,MATCH(IF(C483="Mixed","External",IF(C483="Unknown","UoB",C483))&amp;"|"&amp;IF(F483&lt;=24,"&lt;=24",IF(F483&lt;=32,"&lt;=32","Above32")),RecPricing!$F$5:$F$10,0)),""),IFERROR(INDEX(Reference!$E$5:$E$12,MATCH(B483&amp;"|"&amp;IF(C483="Mixed","External",IF(C483="Unknown","UoB",C483))&amp;"|"&amp;IF(F483&lt;=32,"32","40"),Reference!$D$5:$D$12,0)),""))</f>
        <v/>
      </c>
      <c r="J483" s="11" t="str">
        <f t="shared" si="44"/>
        <v/>
      </c>
      <c r="K483" s="12"/>
      <c r="L483" s="11" t="str">
        <f t="shared" si="45"/>
        <v/>
      </c>
      <c r="M483" s="12"/>
      <c r="N483" s="12"/>
      <c r="O483" s="11" t="str">
        <f t="shared" si="46"/>
        <v/>
      </c>
      <c r="P483" s="10" t="str">
        <f t="shared" si="47"/>
        <v/>
      </c>
    </row>
    <row r="484" spans="1:16" ht="15" customHeight="1" x14ac:dyDescent="0.2">
      <c r="A484" s="8"/>
      <c r="B484" s="8"/>
      <c r="C484" s="8"/>
      <c r="D484" s="9"/>
      <c r="E484" s="9"/>
      <c r="F484" s="8"/>
      <c r="G484" s="10" t="str">
        <f t="shared" si="42"/>
        <v/>
      </c>
      <c r="H484" s="10" t="str">
        <f t="shared" si="43"/>
        <v/>
      </c>
      <c r="I484" s="11" t="str">
        <f>IF(B484="Recreation",IFERROR(INDEX(RecPricing!$E$5:$E$10,MATCH(IF(C484="Mixed","External",IF(C484="Unknown","UoB",C484))&amp;"|"&amp;IF(F484&lt;=24,"&lt;=24",IF(F484&lt;=32,"&lt;=32","Above32")),RecPricing!$F$5:$F$10,0)),""),IFERROR(INDEX(Reference!$E$5:$E$12,MATCH(B484&amp;"|"&amp;IF(C484="Mixed","External",IF(C484="Unknown","UoB",C484))&amp;"|"&amp;IF(F484&lt;=32,"32","40"),Reference!$D$5:$D$12,0)),""))</f>
        <v/>
      </c>
      <c r="J484" s="11" t="str">
        <f t="shared" si="44"/>
        <v/>
      </c>
      <c r="K484" s="12"/>
      <c r="L484" s="11" t="str">
        <f t="shared" si="45"/>
        <v/>
      </c>
      <c r="M484" s="12"/>
      <c r="N484" s="12"/>
      <c r="O484" s="11" t="str">
        <f t="shared" si="46"/>
        <v/>
      </c>
      <c r="P484" s="10" t="str">
        <f t="shared" si="47"/>
        <v/>
      </c>
    </row>
    <row r="485" spans="1:16" ht="15" customHeight="1" x14ac:dyDescent="0.2">
      <c r="A485" s="8"/>
      <c r="B485" s="8"/>
      <c r="C485" s="8"/>
      <c r="D485" s="9"/>
      <c r="E485" s="9"/>
      <c r="F485" s="8"/>
      <c r="G485" s="10" t="str">
        <f t="shared" si="42"/>
        <v/>
      </c>
      <c r="H485" s="10" t="str">
        <f t="shared" si="43"/>
        <v/>
      </c>
      <c r="I485" s="11" t="str">
        <f>IF(B485="Recreation",IFERROR(INDEX(RecPricing!$E$5:$E$10,MATCH(IF(C485="Mixed","External",IF(C485="Unknown","UoB",C485))&amp;"|"&amp;IF(F485&lt;=24,"&lt;=24",IF(F485&lt;=32,"&lt;=32","Above32")),RecPricing!$F$5:$F$10,0)),""),IFERROR(INDEX(Reference!$E$5:$E$12,MATCH(B485&amp;"|"&amp;IF(C485="Mixed","External",IF(C485="Unknown","UoB",C485))&amp;"|"&amp;IF(F485&lt;=32,"32","40"),Reference!$D$5:$D$12,0)),""))</f>
        <v/>
      </c>
      <c r="J485" s="11" t="str">
        <f t="shared" si="44"/>
        <v/>
      </c>
      <c r="K485" s="12"/>
      <c r="L485" s="11" t="str">
        <f t="shared" si="45"/>
        <v/>
      </c>
      <c r="M485" s="12"/>
      <c r="N485" s="12"/>
      <c r="O485" s="11" t="str">
        <f t="shared" si="46"/>
        <v/>
      </c>
      <c r="P485" s="10" t="str">
        <f t="shared" si="47"/>
        <v/>
      </c>
    </row>
    <row r="486" spans="1:16" ht="15" customHeight="1" x14ac:dyDescent="0.2">
      <c r="A486" s="8"/>
      <c r="B486" s="8"/>
      <c r="C486" s="8"/>
      <c r="D486" s="9"/>
      <c r="E486" s="9"/>
      <c r="F486" s="8"/>
      <c r="G486" s="10" t="str">
        <f t="shared" si="42"/>
        <v/>
      </c>
      <c r="H486" s="10" t="str">
        <f t="shared" si="43"/>
        <v/>
      </c>
      <c r="I486" s="11" t="str">
        <f>IF(B486="Recreation",IFERROR(INDEX(RecPricing!$E$5:$E$10,MATCH(IF(C486="Mixed","External",IF(C486="Unknown","UoB",C486))&amp;"|"&amp;IF(F486&lt;=24,"&lt;=24",IF(F486&lt;=32,"&lt;=32","Above32")),RecPricing!$F$5:$F$10,0)),""),IFERROR(INDEX(Reference!$E$5:$E$12,MATCH(B486&amp;"|"&amp;IF(C486="Mixed","External",IF(C486="Unknown","UoB",C486))&amp;"|"&amp;IF(F486&lt;=32,"32","40"),Reference!$D$5:$D$12,0)),""))</f>
        <v/>
      </c>
      <c r="J486" s="11" t="str">
        <f t="shared" si="44"/>
        <v/>
      </c>
      <c r="K486" s="12"/>
      <c r="L486" s="11" t="str">
        <f t="shared" si="45"/>
        <v/>
      </c>
      <c r="M486" s="12"/>
      <c r="N486" s="12"/>
      <c r="O486" s="11" t="str">
        <f t="shared" si="46"/>
        <v/>
      </c>
      <c r="P486" s="10" t="str">
        <f t="shared" si="47"/>
        <v/>
      </c>
    </row>
    <row r="487" spans="1:16" ht="15" customHeight="1" x14ac:dyDescent="0.2">
      <c r="A487" s="8"/>
      <c r="B487" s="8"/>
      <c r="C487" s="8"/>
      <c r="D487" s="9"/>
      <c r="E487" s="9"/>
      <c r="F487" s="8"/>
      <c r="G487" s="10" t="str">
        <f t="shared" si="42"/>
        <v/>
      </c>
      <c r="H487" s="10" t="str">
        <f t="shared" si="43"/>
        <v/>
      </c>
      <c r="I487" s="11" t="str">
        <f>IF(B487="Recreation",IFERROR(INDEX(RecPricing!$E$5:$E$10,MATCH(IF(C487="Mixed","External",IF(C487="Unknown","UoB",C487))&amp;"|"&amp;IF(F487&lt;=24,"&lt;=24",IF(F487&lt;=32,"&lt;=32","Above32")),RecPricing!$F$5:$F$10,0)),""),IFERROR(INDEX(Reference!$E$5:$E$12,MATCH(B487&amp;"|"&amp;IF(C487="Mixed","External",IF(C487="Unknown","UoB",C487))&amp;"|"&amp;IF(F487&lt;=32,"32","40"),Reference!$D$5:$D$12,0)),""))</f>
        <v/>
      </c>
      <c r="J487" s="11" t="str">
        <f t="shared" si="44"/>
        <v/>
      </c>
      <c r="K487" s="12"/>
      <c r="L487" s="11" t="str">
        <f t="shared" si="45"/>
        <v/>
      </c>
      <c r="M487" s="12"/>
      <c r="N487" s="12"/>
      <c r="O487" s="11" t="str">
        <f t="shared" si="46"/>
        <v/>
      </c>
      <c r="P487" s="10" t="str">
        <f t="shared" si="47"/>
        <v/>
      </c>
    </row>
    <row r="488" spans="1:16" ht="15" customHeight="1" x14ac:dyDescent="0.2">
      <c r="A488" s="8"/>
      <c r="B488" s="8"/>
      <c r="C488" s="8"/>
      <c r="D488" s="9"/>
      <c r="E488" s="9"/>
      <c r="F488" s="8"/>
      <c r="G488" s="10" t="str">
        <f t="shared" si="42"/>
        <v/>
      </c>
      <c r="H488" s="10" t="str">
        <f t="shared" si="43"/>
        <v/>
      </c>
      <c r="I488" s="11" t="str">
        <f>IF(B488="Recreation",IFERROR(INDEX(RecPricing!$E$5:$E$10,MATCH(IF(C488="Mixed","External",IF(C488="Unknown","UoB",C488))&amp;"|"&amp;IF(F488&lt;=24,"&lt;=24",IF(F488&lt;=32,"&lt;=32","Above32")),RecPricing!$F$5:$F$10,0)),""),IFERROR(INDEX(Reference!$E$5:$E$12,MATCH(B488&amp;"|"&amp;IF(C488="Mixed","External",IF(C488="Unknown","UoB",C488))&amp;"|"&amp;IF(F488&lt;=32,"32","40"),Reference!$D$5:$D$12,0)),""))</f>
        <v/>
      </c>
      <c r="J488" s="11" t="str">
        <f t="shared" si="44"/>
        <v/>
      </c>
      <c r="K488" s="12"/>
      <c r="L488" s="11" t="str">
        <f t="shared" si="45"/>
        <v/>
      </c>
      <c r="M488" s="12"/>
      <c r="N488" s="12"/>
      <c r="O488" s="11" t="str">
        <f t="shared" si="46"/>
        <v/>
      </c>
      <c r="P488" s="10" t="str">
        <f t="shared" si="47"/>
        <v/>
      </c>
    </row>
    <row r="489" spans="1:16" ht="15" customHeight="1" x14ac:dyDescent="0.2">
      <c r="A489" s="8"/>
      <c r="B489" s="8"/>
      <c r="C489" s="8"/>
      <c r="D489" s="9"/>
      <c r="E489" s="9"/>
      <c r="F489" s="8"/>
      <c r="G489" s="10" t="str">
        <f t="shared" si="42"/>
        <v/>
      </c>
      <c r="H489" s="10" t="str">
        <f t="shared" si="43"/>
        <v/>
      </c>
      <c r="I489" s="11" t="str">
        <f>IF(B489="Recreation",IFERROR(INDEX(RecPricing!$E$5:$E$10,MATCH(IF(C489="Mixed","External",IF(C489="Unknown","UoB",C489))&amp;"|"&amp;IF(F489&lt;=24,"&lt;=24",IF(F489&lt;=32,"&lt;=32","Above32")),RecPricing!$F$5:$F$10,0)),""),IFERROR(INDEX(Reference!$E$5:$E$12,MATCH(B489&amp;"|"&amp;IF(C489="Mixed","External",IF(C489="Unknown","UoB",C489))&amp;"|"&amp;IF(F489&lt;=32,"32","40"),Reference!$D$5:$D$12,0)),""))</f>
        <v/>
      </c>
      <c r="J489" s="11" t="str">
        <f t="shared" si="44"/>
        <v/>
      </c>
      <c r="K489" s="12"/>
      <c r="L489" s="11" t="str">
        <f t="shared" si="45"/>
        <v/>
      </c>
      <c r="M489" s="12"/>
      <c r="N489" s="12"/>
      <c r="O489" s="11" t="str">
        <f t="shared" si="46"/>
        <v/>
      </c>
      <c r="P489" s="10" t="str">
        <f t="shared" si="47"/>
        <v/>
      </c>
    </row>
    <row r="490" spans="1:16" ht="15" customHeight="1" x14ac:dyDescent="0.2">
      <c r="A490" s="8"/>
      <c r="B490" s="8"/>
      <c r="C490" s="8"/>
      <c r="D490" s="9"/>
      <c r="E490" s="9"/>
      <c r="F490" s="8"/>
      <c r="G490" s="10" t="str">
        <f t="shared" si="42"/>
        <v/>
      </c>
      <c r="H490" s="10" t="str">
        <f t="shared" si="43"/>
        <v/>
      </c>
      <c r="I490" s="11" t="str">
        <f>IF(B490="Recreation",IFERROR(INDEX(RecPricing!$E$5:$E$10,MATCH(IF(C490="Mixed","External",IF(C490="Unknown","UoB",C490))&amp;"|"&amp;IF(F490&lt;=24,"&lt;=24",IF(F490&lt;=32,"&lt;=32","Above32")),RecPricing!$F$5:$F$10,0)),""),IFERROR(INDEX(Reference!$E$5:$E$12,MATCH(B490&amp;"|"&amp;IF(C490="Mixed","External",IF(C490="Unknown","UoB",C490))&amp;"|"&amp;IF(F490&lt;=32,"32","40"),Reference!$D$5:$D$12,0)),""))</f>
        <v/>
      </c>
      <c r="J490" s="11" t="str">
        <f t="shared" si="44"/>
        <v/>
      </c>
      <c r="K490" s="12"/>
      <c r="L490" s="11" t="str">
        <f t="shared" si="45"/>
        <v/>
      </c>
      <c r="M490" s="12"/>
      <c r="N490" s="12"/>
      <c r="O490" s="11" t="str">
        <f t="shared" si="46"/>
        <v/>
      </c>
      <c r="P490" s="10" t="str">
        <f t="shared" si="47"/>
        <v/>
      </c>
    </row>
    <row r="491" spans="1:16" ht="15" customHeight="1" x14ac:dyDescent="0.2">
      <c r="A491" s="8"/>
      <c r="B491" s="8"/>
      <c r="C491" s="8"/>
      <c r="D491" s="9"/>
      <c r="E491" s="9"/>
      <c r="F491" s="8"/>
      <c r="G491" s="10" t="str">
        <f t="shared" si="42"/>
        <v/>
      </c>
      <c r="H491" s="10" t="str">
        <f t="shared" si="43"/>
        <v/>
      </c>
      <c r="I491" s="11" t="str">
        <f>IF(B491="Recreation",IFERROR(INDEX(RecPricing!$E$5:$E$10,MATCH(IF(C491="Mixed","External",IF(C491="Unknown","UoB",C491))&amp;"|"&amp;IF(F491&lt;=24,"&lt;=24",IF(F491&lt;=32,"&lt;=32","Above32")),RecPricing!$F$5:$F$10,0)),""),IFERROR(INDEX(Reference!$E$5:$E$12,MATCH(B491&amp;"|"&amp;IF(C491="Mixed","External",IF(C491="Unknown","UoB",C491))&amp;"|"&amp;IF(F491&lt;=32,"32","40"),Reference!$D$5:$D$12,0)),""))</f>
        <v/>
      </c>
      <c r="J491" s="11" t="str">
        <f t="shared" si="44"/>
        <v/>
      </c>
      <c r="K491" s="12"/>
      <c r="L491" s="11" t="str">
        <f t="shared" si="45"/>
        <v/>
      </c>
      <c r="M491" s="12"/>
      <c r="N491" s="12"/>
      <c r="O491" s="11" t="str">
        <f t="shared" si="46"/>
        <v/>
      </c>
      <c r="P491" s="10" t="str">
        <f t="shared" si="47"/>
        <v/>
      </c>
    </row>
    <row r="492" spans="1:16" ht="15" customHeight="1" x14ac:dyDescent="0.2">
      <c r="A492" s="8"/>
      <c r="B492" s="8"/>
      <c r="C492" s="8"/>
      <c r="D492" s="9"/>
      <c r="E492" s="9"/>
      <c r="F492" s="8"/>
      <c r="G492" s="10" t="str">
        <f t="shared" si="42"/>
        <v/>
      </c>
      <c r="H492" s="10" t="str">
        <f t="shared" si="43"/>
        <v/>
      </c>
      <c r="I492" s="11" t="str">
        <f>IF(B492="Recreation",IFERROR(INDEX(RecPricing!$E$5:$E$10,MATCH(IF(C492="Mixed","External",IF(C492="Unknown","UoB",C492))&amp;"|"&amp;IF(F492&lt;=24,"&lt;=24",IF(F492&lt;=32,"&lt;=32","Above32")),RecPricing!$F$5:$F$10,0)),""),IFERROR(INDEX(Reference!$E$5:$E$12,MATCH(B492&amp;"|"&amp;IF(C492="Mixed","External",IF(C492="Unknown","UoB",C492))&amp;"|"&amp;IF(F492&lt;=32,"32","40"),Reference!$D$5:$D$12,0)),""))</f>
        <v/>
      </c>
      <c r="J492" s="11" t="str">
        <f t="shared" si="44"/>
        <v/>
      </c>
      <c r="K492" s="12"/>
      <c r="L492" s="11" t="str">
        <f t="shared" si="45"/>
        <v/>
      </c>
      <c r="M492" s="12"/>
      <c r="N492" s="12"/>
      <c r="O492" s="11" t="str">
        <f t="shared" si="46"/>
        <v/>
      </c>
      <c r="P492" s="10" t="str">
        <f t="shared" si="47"/>
        <v/>
      </c>
    </row>
    <row r="493" spans="1:16" ht="15" customHeight="1" x14ac:dyDescent="0.2">
      <c r="A493" s="8"/>
      <c r="B493" s="8"/>
      <c r="C493" s="8"/>
      <c r="D493" s="9"/>
      <c r="E493" s="9"/>
      <c r="F493" s="8"/>
      <c r="G493" s="10" t="str">
        <f t="shared" si="42"/>
        <v/>
      </c>
      <c r="H493" s="10" t="str">
        <f t="shared" si="43"/>
        <v/>
      </c>
      <c r="I493" s="11" t="str">
        <f>IF(B493="Recreation",IFERROR(INDEX(RecPricing!$E$5:$E$10,MATCH(IF(C493="Mixed","External",IF(C493="Unknown","UoB",C493))&amp;"|"&amp;IF(F493&lt;=24,"&lt;=24",IF(F493&lt;=32,"&lt;=32","Above32")),RecPricing!$F$5:$F$10,0)),""),IFERROR(INDEX(Reference!$E$5:$E$12,MATCH(B493&amp;"|"&amp;IF(C493="Mixed","External",IF(C493="Unknown","UoB",C493))&amp;"|"&amp;IF(F493&lt;=32,"32","40"),Reference!$D$5:$D$12,0)),""))</f>
        <v/>
      </c>
      <c r="J493" s="11" t="str">
        <f t="shared" si="44"/>
        <v/>
      </c>
      <c r="K493" s="12"/>
      <c r="L493" s="11" t="str">
        <f t="shared" si="45"/>
        <v/>
      </c>
      <c r="M493" s="12"/>
      <c r="N493" s="12"/>
      <c r="O493" s="11" t="str">
        <f t="shared" si="46"/>
        <v/>
      </c>
      <c r="P493" s="10" t="str">
        <f t="shared" si="47"/>
        <v/>
      </c>
    </row>
    <row r="494" spans="1:16" ht="15" customHeight="1" x14ac:dyDescent="0.2">
      <c r="A494" s="8"/>
      <c r="B494" s="8"/>
      <c r="C494" s="8"/>
      <c r="D494" s="9"/>
      <c r="E494" s="9"/>
      <c r="F494" s="8"/>
      <c r="G494" s="10" t="str">
        <f t="shared" si="42"/>
        <v/>
      </c>
      <c r="H494" s="10" t="str">
        <f t="shared" si="43"/>
        <v/>
      </c>
      <c r="I494" s="11" t="str">
        <f>IF(B494="Recreation",IFERROR(INDEX(RecPricing!$E$5:$E$10,MATCH(IF(C494="Mixed","External",IF(C494="Unknown","UoB",C494))&amp;"|"&amp;IF(F494&lt;=24,"&lt;=24",IF(F494&lt;=32,"&lt;=32","Above32")),RecPricing!$F$5:$F$10,0)),""),IFERROR(INDEX(Reference!$E$5:$E$12,MATCH(B494&amp;"|"&amp;IF(C494="Mixed","External",IF(C494="Unknown","UoB",C494))&amp;"|"&amp;IF(F494&lt;=32,"32","40"),Reference!$D$5:$D$12,0)),""))</f>
        <v/>
      </c>
      <c r="J494" s="11" t="str">
        <f t="shared" si="44"/>
        <v/>
      </c>
      <c r="K494" s="12"/>
      <c r="L494" s="11" t="str">
        <f t="shared" si="45"/>
        <v/>
      </c>
      <c r="M494" s="12"/>
      <c r="N494" s="12"/>
      <c r="O494" s="11" t="str">
        <f t="shared" si="46"/>
        <v/>
      </c>
      <c r="P494" s="10" t="str">
        <f t="shared" si="47"/>
        <v/>
      </c>
    </row>
    <row r="495" spans="1:16" ht="15" customHeight="1" x14ac:dyDescent="0.2">
      <c r="A495" s="8"/>
      <c r="B495" s="8"/>
      <c r="C495" s="8"/>
      <c r="D495" s="9"/>
      <c r="E495" s="9"/>
      <c r="F495" s="8"/>
      <c r="G495" s="10" t="str">
        <f t="shared" si="42"/>
        <v/>
      </c>
      <c r="H495" s="10" t="str">
        <f t="shared" si="43"/>
        <v/>
      </c>
      <c r="I495" s="11" t="str">
        <f>IF(B495="Recreation",IFERROR(INDEX(RecPricing!$E$5:$E$10,MATCH(IF(C495="Mixed","External",IF(C495="Unknown","UoB",C495))&amp;"|"&amp;IF(F495&lt;=24,"&lt;=24",IF(F495&lt;=32,"&lt;=32","Above32")),RecPricing!$F$5:$F$10,0)),""),IFERROR(INDEX(Reference!$E$5:$E$12,MATCH(B495&amp;"|"&amp;IF(C495="Mixed","External",IF(C495="Unknown","UoB",C495))&amp;"|"&amp;IF(F495&lt;=32,"32","40"),Reference!$D$5:$D$12,0)),""))</f>
        <v/>
      </c>
      <c r="J495" s="11" t="str">
        <f t="shared" si="44"/>
        <v/>
      </c>
      <c r="K495" s="12"/>
      <c r="L495" s="11" t="str">
        <f t="shared" si="45"/>
        <v/>
      </c>
      <c r="M495" s="12"/>
      <c r="N495" s="12"/>
      <c r="O495" s="11" t="str">
        <f t="shared" si="46"/>
        <v/>
      </c>
      <c r="P495" s="10" t="str">
        <f t="shared" si="47"/>
        <v/>
      </c>
    </row>
    <row r="496" spans="1:16" ht="15" customHeight="1" x14ac:dyDescent="0.2">
      <c r="A496" s="8"/>
      <c r="B496" s="8"/>
      <c r="C496" s="8"/>
      <c r="D496" s="9"/>
      <c r="E496" s="9"/>
      <c r="F496" s="8"/>
      <c r="G496" s="10" t="str">
        <f t="shared" si="42"/>
        <v/>
      </c>
      <c r="H496" s="10" t="str">
        <f t="shared" si="43"/>
        <v/>
      </c>
      <c r="I496" s="11" t="str">
        <f>IF(B496="Recreation",IFERROR(INDEX(RecPricing!$E$5:$E$10,MATCH(IF(C496="Mixed","External",IF(C496="Unknown","UoB",C496))&amp;"|"&amp;IF(F496&lt;=24,"&lt;=24",IF(F496&lt;=32,"&lt;=32","Above32")),RecPricing!$F$5:$F$10,0)),""),IFERROR(INDEX(Reference!$E$5:$E$12,MATCH(B496&amp;"|"&amp;IF(C496="Mixed","External",IF(C496="Unknown","UoB",C496))&amp;"|"&amp;IF(F496&lt;=32,"32","40"),Reference!$D$5:$D$12,0)),""))</f>
        <v/>
      </c>
      <c r="J496" s="11" t="str">
        <f t="shared" si="44"/>
        <v/>
      </c>
      <c r="K496" s="12"/>
      <c r="L496" s="11" t="str">
        <f t="shared" si="45"/>
        <v/>
      </c>
      <c r="M496" s="12"/>
      <c r="N496" s="12"/>
      <c r="O496" s="11" t="str">
        <f t="shared" si="46"/>
        <v/>
      </c>
      <c r="P496" s="10" t="str">
        <f t="shared" si="47"/>
        <v/>
      </c>
    </row>
    <row r="497" spans="1:16" ht="15" customHeight="1" x14ac:dyDescent="0.2">
      <c r="A497" s="8"/>
      <c r="B497" s="8"/>
      <c r="C497" s="8"/>
      <c r="D497" s="9"/>
      <c r="E497" s="9"/>
      <c r="F497" s="8"/>
      <c r="G497" s="10" t="str">
        <f t="shared" si="42"/>
        <v/>
      </c>
      <c r="H497" s="10" t="str">
        <f t="shared" si="43"/>
        <v/>
      </c>
      <c r="I497" s="11" t="str">
        <f>IF(B497="Recreation",IFERROR(INDEX(RecPricing!$E$5:$E$10,MATCH(IF(C497="Mixed","External",IF(C497="Unknown","UoB",C497))&amp;"|"&amp;IF(F497&lt;=24,"&lt;=24",IF(F497&lt;=32,"&lt;=32","Above32")),RecPricing!$F$5:$F$10,0)),""),IFERROR(INDEX(Reference!$E$5:$E$12,MATCH(B497&amp;"|"&amp;IF(C497="Mixed","External",IF(C497="Unknown","UoB",C497))&amp;"|"&amp;IF(F497&lt;=32,"32","40"),Reference!$D$5:$D$12,0)),""))</f>
        <v/>
      </c>
      <c r="J497" s="11" t="str">
        <f t="shared" si="44"/>
        <v/>
      </c>
      <c r="K497" s="12"/>
      <c r="L497" s="11" t="str">
        <f t="shared" si="45"/>
        <v/>
      </c>
      <c r="M497" s="12"/>
      <c r="N497" s="12"/>
      <c r="O497" s="11" t="str">
        <f t="shared" si="46"/>
        <v/>
      </c>
      <c r="P497" s="10" t="str">
        <f t="shared" si="47"/>
        <v/>
      </c>
    </row>
    <row r="498" spans="1:16" ht="15" customHeight="1" x14ac:dyDescent="0.2">
      <c r="A498" s="8"/>
      <c r="B498" s="8"/>
      <c r="C498" s="8"/>
      <c r="D498" s="9"/>
      <c r="E498" s="9"/>
      <c r="F498" s="8"/>
      <c r="G498" s="10" t="str">
        <f t="shared" si="42"/>
        <v/>
      </c>
      <c r="H498" s="10" t="str">
        <f t="shared" si="43"/>
        <v/>
      </c>
      <c r="I498" s="11" t="str">
        <f>IF(B498="Recreation",IFERROR(INDEX(RecPricing!$E$5:$E$10,MATCH(IF(C498="Mixed","External",IF(C498="Unknown","UoB",C498))&amp;"|"&amp;IF(F498&lt;=24,"&lt;=24",IF(F498&lt;=32,"&lt;=32","Above32")),RecPricing!$F$5:$F$10,0)),""),IFERROR(INDEX(Reference!$E$5:$E$12,MATCH(B498&amp;"|"&amp;IF(C498="Mixed","External",IF(C498="Unknown","UoB",C498))&amp;"|"&amp;IF(F498&lt;=32,"32","40"),Reference!$D$5:$D$12,0)),""))</f>
        <v/>
      </c>
      <c r="J498" s="11" t="str">
        <f t="shared" si="44"/>
        <v/>
      </c>
      <c r="K498" s="12"/>
      <c r="L498" s="11" t="str">
        <f t="shared" si="45"/>
        <v/>
      </c>
      <c r="M498" s="12"/>
      <c r="N498" s="12"/>
      <c r="O498" s="11" t="str">
        <f t="shared" si="46"/>
        <v/>
      </c>
      <c r="P498" s="10" t="str">
        <f t="shared" si="47"/>
        <v/>
      </c>
    </row>
    <row r="499" spans="1:16" ht="15" customHeight="1" x14ac:dyDescent="0.2">
      <c r="A499" s="8"/>
      <c r="B499" s="8"/>
      <c r="C499" s="8"/>
      <c r="D499" s="9"/>
      <c r="E499" s="9"/>
      <c r="F499" s="8"/>
      <c r="G499" s="10" t="str">
        <f t="shared" si="42"/>
        <v/>
      </c>
      <c r="H499" s="10" t="str">
        <f t="shared" si="43"/>
        <v/>
      </c>
      <c r="I499" s="11" t="str">
        <f>IF(B499="Recreation",IFERROR(INDEX(RecPricing!$E$5:$E$10,MATCH(IF(C499="Mixed","External",IF(C499="Unknown","UoB",C499))&amp;"|"&amp;IF(F499&lt;=24,"&lt;=24",IF(F499&lt;=32,"&lt;=32","Above32")),RecPricing!$F$5:$F$10,0)),""),IFERROR(INDEX(Reference!$E$5:$E$12,MATCH(B499&amp;"|"&amp;IF(C499="Mixed","External",IF(C499="Unknown","UoB",C499))&amp;"|"&amp;IF(F499&lt;=32,"32","40"),Reference!$D$5:$D$12,0)),""))</f>
        <v/>
      </c>
      <c r="J499" s="11" t="str">
        <f t="shared" si="44"/>
        <v/>
      </c>
      <c r="K499" s="12"/>
      <c r="L499" s="11" t="str">
        <f t="shared" si="45"/>
        <v/>
      </c>
      <c r="M499" s="12"/>
      <c r="N499" s="12"/>
      <c r="O499" s="11" t="str">
        <f t="shared" si="46"/>
        <v/>
      </c>
      <c r="P499" s="10" t="str">
        <f t="shared" si="47"/>
        <v/>
      </c>
    </row>
    <row r="500" spans="1:16" ht="15" customHeight="1" x14ac:dyDescent="0.2">
      <c r="A500" s="8"/>
      <c r="B500" s="8"/>
      <c r="C500" s="8"/>
      <c r="D500" s="9"/>
      <c r="E500" s="9"/>
      <c r="F500" s="8"/>
      <c r="G500" s="10" t="str">
        <f t="shared" si="42"/>
        <v/>
      </c>
      <c r="H500" s="10" t="str">
        <f t="shared" si="43"/>
        <v/>
      </c>
      <c r="I500" s="11" t="str">
        <f>IF(B500="Recreation",IFERROR(INDEX(RecPricing!$E$5:$E$10,MATCH(IF(C500="Mixed","External",IF(C500="Unknown","UoB",C500))&amp;"|"&amp;IF(F500&lt;=24,"&lt;=24",IF(F500&lt;=32,"&lt;=32","Above32")),RecPricing!$F$5:$F$10,0)),""),IFERROR(INDEX(Reference!$E$5:$E$12,MATCH(B500&amp;"|"&amp;IF(C500="Mixed","External",IF(C500="Unknown","UoB",C500))&amp;"|"&amp;IF(F500&lt;=32,"32","40"),Reference!$D$5:$D$12,0)),""))</f>
        <v/>
      </c>
      <c r="J500" s="11" t="str">
        <f t="shared" si="44"/>
        <v/>
      </c>
      <c r="K500" s="12"/>
      <c r="L500" s="11" t="str">
        <f t="shared" si="45"/>
        <v/>
      </c>
      <c r="M500" s="12"/>
      <c r="N500" s="12"/>
      <c r="O500" s="11" t="str">
        <f t="shared" si="46"/>
        <v/>
      </c>
      <c r="P500" s="10" t="str">
        <f t="shared" si="47"/>
        <v/>
      </c>
    </row>
    <row r="501" spans="1:16" ht="15" customHeight="1" x14ac:dyDescent="0.2">
      <c r="A501" s="8"/>
      <c r="B501" s="8"/>
      <c r="C501" s="8"/>
      <c r="D501" s="9"/>
      <c r="E501" s="9"/>
      <c r="F501" s="8"/>
      <c r="G501" s="10" t="str">
        <f t="shared" si="42"/>
        <v/>
      </c>
      <c r="H501" s="10" t="str">
        <f t="shared" si="43"/>
        <v/>
      </c>
      <c r="I501" s="11" t="str">
        <f>IF(B501="Recreation",IFERROR(INDEX(RecPricing!$E$5:$E$10,MATCH(IF(C501="Mixed","External",IF(C501="Unknown","UoB",C501))&amp;"|"&amp;IF(F501&lt;=24,"&lt;=24",IF(F501&lt;=32,"&lt;=32","Above32")),RecPricing!$F$5:$F$10,0)),""),IFERROR(INDEX(Reference!$E$5:$E$12,MATCH(B501&amp;"|"&amp;IF(C501="Mixed","External",IF(C501="Unknown","UoB",C501))&amp;"|"&amp;IF(F501&lt;=32,"32","40"),Reference!$D$5:$D$12,0)),""))</f>
        <v/>
      </c>
      <c r="J501" s="11" t="str">
        <f t="shared" si="44"/>
        <v/>
      </c>
      <c r="K501" s="12"/>
      <c r="L501" s="11" t="str">
        <f t="shared" si="45"/>
        <v/>
      </c>
      <c r="M501" s="12"/>
      <c r="N501" s="12"/>
      <c r="O501" s="11" t="str">
        <f t="shared" si="46"/>
        <v/>
      </c>
      <c r="P501" s="10" t="str">
        <f t="shared" si="47"/>
        <v/>
      </c>
    </row>
    <row r="502" spans="1:16" ht="15" customHeight="1" x14ac:dyDescent="0.2">
      <c r="A502" s="8"/>
      <c r="B502" s="8"/>
      <c r="C502" s="8"/>
      <c r="D502" s="9"/>
      <c r="E502" s="9"/>
      <c r="F502" s="8"/>
      <c r="G502" s="10" t="str">
        <f t="shared" si="42"/>
        <v/>
      </c>
      <c r="H502" s="10" t="str">
        <f t="shared" si="43"/>
        <v/>
      </c>
      <c r="I502" s="11" t="str">
        <f>IF(B502="Recreation",IFERROR(INDEX(RecPricing!$E$5:$E$10,MATCH(IF(C502="Mixed","External",IF(C502="Unknown","UoB",C502))&amp;"|"&amp;IF(F502&lt;=24,"&lt;=24",IF(F502&lt;=32,"&lt;=32","Above32")),RecPricing!$F$5:$F$10,0)),""),IFERROR(INDEX(Reference!$E$5:$E$12,MATCH(B502&amp;"|"&amp;IF(C502="Mixed","External",IF(C502="Unknown","UoB",C502))&amp;"|"&amp;IF(F502&lt;=32,"32","40"),Reference!$D$5:$D$12,0)),""))</f>
        <v/>
      </c>
      <c r="J502" s="11" t="str">
        <f t="shared" si="44"/>
        <v/>
      </c>
      <c r="K502" s="12"/>
      <c r="L502" s="11" t="str">
        <f t="shared" si="45"/>
        <v/>
      </c>
      <c r="M502" s="12"/>
      <c r="N502" s="12"/>
      <c r="O502" s="11" t="str">
        <f t="shared" si="46"/>
        <v/>
      </c>
      <c r="P502" s="10" t="str">
        <f t="shared" si="47"/>
        <v/>
      </c>
    </row>
    <row r="503" spans="1:16" ht="15" customHeight="1" x14ac:dyDescent="0.2">
      <c r="A503" s="8"/>
      <c r="B503" s="8"/>
      <c r="C503" s="8"/>
      <c r="D503" s="9"/>
      <c r="E503" s="9"/>
      <c r="F503" s="8"/>
      <c r="G503" s="10" t="str">
        <f t="shared" si="42"/>
        <v/>
      </c>
      <c r="H503" s="10" t="str">
        <f t="shared" si="43"/>
        <v/>
      </c>
      <c r="I503" s="11" t="str">
        <f>IF(B503="Recreation",IFERROR(INDEX(RecPricing!$E$5:$E$10,MATCH(IF(C503="Mixed","External",IF(C503="Unknown","UoB",C503))&amp;"|"&amp;IF(F503&lt;=24,"&lt;=24",IF(F503&lt;=32,"&lt;=32","Above32")),RecPricing!$F$5:$F$10,0)),""),IFERROR(INDEX(Reference!$E$5:$E$12,MATCH(B503&amp;"|"&amp;IF(C503="Mixed","External",IF(C503="Unknown","UoB",C503))&amp;"|"&amp;IF(F503&lt;=32,"32","40"),Reference!$D$5:$D$12,0)),""))</f>
        <v/>
      </c>
      <c r="J503" s="11" t="str">
        <f t="shared" si="44"/>
        <v/>
      </c>
      <c r="K503" s="12"/>
      <c r="L503" s="11" t="str">
        <f t="shared" si="45"/>
        <v/>
      </c>
      <c r="M503" s="12"/>
      <c r="N503" s="12"/>
      <c r="O503" s="11" t="str">
        <f t="shared" si="46"/>
        <v/>
      </c>
      <c r="P503" s="10" t="str">
        <f t="shared" si="47"/>
        <v/>
      </c>
    </row>
    <row r="504" spans="1:16" ht="15" customHeight="1" x14ac:dyDescent="0.2">
      <c r="A504" s="8"/>
      <c r="B504" s="8"/>
      <c r="C504" s="8"/>
      <c r="D504" s="9"/>
      <c r="E504" s="9"/>
      <c r="F504" s="8"/>
      <c r="G504" s="10" t="str">
        <f t="shared" si="42"/>
        <v/>
      </c>
      <c r="H504" s="10" t="str">
        <f t="shared" si="43"/>
        <v/>
      </c>
      <c r="I504" s="11" t="str">
        <f>IF(B504="Recreation",IFERROR(INDEX(RecPricing!$E$5:$E$10,MATCH(IF(C504="Mixed","External",IF(C504="Unknown","UoB",C504))&amp;"|"&amp;IF(F504&lt;=24,"&lt;=24",IF(F504&lt;=32,"&lt;=32","Above32")),RecPricing!$F$5:$F$10,0)),""),IFERROR(INDEX(Reference!$E$5:$E$12,MATCH(B504&amp;"|"&amp;IF(C504="Mixed","External",IF(C504="Unknown","UoB",C504))&amp;"|"&amp;IF(F504&lt;=32,"32","40"),Reference!$D$5:$D$12,0)),""))</f>
        <v/>
      </c>
      <c r="J504" s="11" t="str">
        <f t="shared" si="44"/>
        <v/>
      </c>
      <c r="K504" s="12"/>
      <c r="L504" s="11" t="str">
        <f t="shared" si="45"/>
        <v/>
      </c>
      <c r="M504" s="12"/>
      <c r="N504" s="12"/>
      <c r="O504" s="11" t="str">
        <f t="shared" si="46"/>
        <v/>
      </c>
      <c r="P504" s="10" t="str">
        <f t="shared" si="47"/>
        <v/>
      </c>
    </row>
    <row r="505" spans="1:16" ht="15" customHeight="1" x14ac:dyDescent="0.2">
      <c r="A505" s="8"/>
      <c r="B505" s="8"/>
      <c r="C505" s="8"/>
      <c r="D505" s="9"/>
      <c r="E505" s="9"/>
      <c r="F505" s="8"/>
      <c r="G505" s="10" t="str">
        <f t="shared" si="42"/>
        <v/>
      </c>
      <c r="H505" s="10" t="str">
        <f t="shared" si="43"/>
        <v/>
      </c>
      <c r="I505" s="11" t="str">
        <f>IF(B505="Recreation",IFERROR(INDEX(RecPricing!$E$5:$E$10,MATCH(IF(C505="Mixed","External",IF(C505="Unknown","UoB",C505))&amp;"|"&amp;IF(F505&lt;=24,"&lt;=24",IF(F505&lt;=32,"&lt;=32","Above32")),RecPricing!$F$5:$F$10,0)),""),IFERROR(INDEX(Reference!$E$5:$E$12,MATCH(B505&amp;"|"&amp;IF(C505="Mixed","External",IF(C505="Unknown","UoB",C505))&amp;"|"&amp;IF(F505&lt;=32,"32","40"),Reference!$D$5:$D$12,0)),""))</f>
        <v/>
      </c>
      <c r="J505" s="11" t="str">
        <f t="shared" si="44"/>
        <v/>
      </c>
      <c r="K505" s="12"/>
      <c r="L505" s="11" t="str">
        <f t="shared" si="45"/>
        <v/>
      </c>
      <c r="M505" s="12"/>
      <c r="N505" s="12"/>
      <c r="O505" s="11" t="str">
        <f t="shared" si="46"/>
        <v/>
      </c>
      <c r="P505" s="10" t="str">
        <f t="shared" si="47"/>
        <v/>
      </c>
    </row>
    <row r="506" spans="1:16" ht="15" customHeight="1" x14ac:dyDescent="0.2">
      <c r="A506" s="8"/>
      <c r="B506" s="8"/>
      <c r="C506" s="8"/>
      <c r="D506" s="9"/>
      <c r="E506" s="9"/>
      <c r="F506" s="8"/>
      <c r="G506" s="10" t="str">
        <f t="shared" si="42"/>
        <v/>
      </c>
      <c r="H506" s="10" t="str">
        <f t="shared" si="43"/>
        <v/>
      </c>
      <c r="I506" s="11" t="str">
        <f>IF(B506="Recreation",IFERROR(INDEX(RecPricing!$E$5:$E$10,MATCH(IF(C506="Mixed","External",IF(C506="Unknown","UoB",C506))&amp;"|"&amp;IF(F506&lt;=24,"&lt;=24",IF(F506&lt;=32,"&lt;=32","Above32")),RecPricing!$F$5:$F$10,0)),""),IFERROR(INDEX(Reference!$E$5:$E$12,MATCH(B506&amp;"|"&amp;IF(C506="Mixed","External",IF(C506="Unknown","UoB",C506))&amp;"|"&amp;IF(F506&lt;=32,"32","40"),Reference!$D$5:$D$12,0)),""))</f>
        <v/>
      </c>
      <c r="J506" s="11" t="str">
        <f t="shared" si="44"/>
        <v/>
      </c>
      <c r="K506" s="12"/>
      <c r="L506" s="11" t="str">
        <f t="shared" si="45"/>
        <v/>
      </c>
      <c r="M506" s="12"/>
      <c r="N506" s="12"/>
      <c r="O506" s="11" t="str">
        <f t="shared" si="46"/>
        <v/>
      </c>
      <c r="P506" s="10" t="str">
        <f t="shared" si="47"/>
        <v/>
      </c>
    </row>
    <row r="507" spans="1:16" ht="15" customHeight="1" x14ac:dyDescent="0.2">
      <c r="A507" s="8"/>
      <c r="B507" s="8"/>
      <c r="C507" s="8"/>
      <c r="D507" s="9"/>
      <c r="E507" s="9"/>
      <c r="F507" s="8"/>
      <c r="G507" s="10" t="str">
        <f t="shared" si="42"/>
        <v/>
      </c>
      <c r="H507" s="10" t="str">
        <f t="shared" si="43"/>
        <v/>
      </c>
      <c r="I507" s="11" t="str">
        <f>IF(B507="Recreation",IFERROR(INDEX(RecPricing!$E$5:$E$10,MATCH(IF(C507="Mixed","External",IF(C507="Unknown","UoB",C507))&amp;"|"&amp;IF(F507&lt;=24,"&lt;=24",IF(F507&lt;=32,"&lt;=32","Above32")),RecPricing!$F$5:$F$10,0)),""),IFERROR(INDEX(Reference!$E$5:$E$12,MATCH(B507&amp;"|"&amp;IF(C507="Mixed","External",IF(C507="Unknown","UoB",C507))&amp;"|"&amp;IF(F507&lt;=32,"32","40"),Reference!$D$5:$D$12,0)),""))</f>
        <v/>
      </c>
      <c r="J507" s="11" t="str">
        <f t="shared" si="44"/>
        <v/>
      </c>
      <c r="K507" s="12"/>
      <c r="L507" s="11" t="str">
        <f t="shared" si="45"/>
        <v/>
      </c>
      <c r="M507" s="12"/>
      <c r="N507" s="12"/>
      <c r="O507" s="11" t="str">
        <f t="shared" si="46"/>
        <v/>
      </c>
      <c r="P507" s="10" t="str">
        <f t="shared" si="47"/>
        <v/>
      </c>
    </row>
    <row r="508" spans="1:16" ht="15" customHeight="1" x14ac:dyDescent="0.2">
      <c r="A508" s="8"/>
      <c r="B508" s="8"/>
      <c r="C508" s="8"/>
      <c r="D508" s="9"/>
      <c r="E508" s="9"/>
      <c r="F508" s="8"/>
      <c r="G508" s="10" t="str">
        <f t="shared" si="42"/>
        <v/>
      </c>
      <c r="H508" s="10" t="str">
        <f t="shared" si="43"/>
        <v/>
      </c>
      <c r="I508" s="11" t="str">
        <f>IF(B508="Recreation",IFERROR(INDEX(RecPricing!$E$5:$E$10,MATCH(IF(C508="Mixed","External",IF(C508="Unknown","UoB",C508))&amp;"|"&amp;IF(F508&lt;=24,"&lt;=24",IF(F508&lt;=32,"&lt;=32","Above32")),RecPricing!$F$5:$F$10,0)),""),IFERROR(INDEX(Reference!$E$5:$E$12,MATCH(B508&amp;"|"&amp;IF(C508="Mixed","External",IF(C508="Unknown","UoB",C508))&amp;"|"&amp;IF(F508&lt;=32,"32","40"),Reference!$D$5:$D$12,0)),""))</f>
        <v/>
      </c>
      <c r="J508" s="11" t="str">
        <f t="shared" si="44"/>
        <v/>
      </c>
      <c r="K508" s="12"/>
      <c r="L508" s="11" t="str">
        <f t="shared" si="45"/>
        <v/>
      </c>
      <c r="M508" s="12"/>
      <c r="N508" s="12"/>
      <c r="O508" s="11" t="str">
        <f t="shared" si="46"/>
        <v/>
      </c>
      <c r="P508" s="10" t="str">
        <f t="shared" si="47"/>
        <v/>
      </c>
    </row>
    <row r="509" spans="1:16" ht="15" customHeight="1" x14ac:dyDescent="0.2">
      <c r="A509" s="8"/>
      <c r="B509" s="8"/>
      <c r="C509" s="8"/>
      <c r="D509" s="9"/>
      <c r="E509" s="9"/>
      <c r="F509" s="8"/>
      <c r="G509" s="10" t="str">
        <f t="shared" si="42"/>
        <v/>
      </c>
      <c r="H509" s="10" t="str">
        <f t="shared" si="43"/>
        <v/>
      </c>
      <c r="I509" s="11" t="str">
        <f>IF(B509="Recreation",IFERROR(INDEX(RecPricing!$E$5:$E$10,MATCH(IF(C509="Mixed","External",IF(C509="Unknown","UoB",C509))&amp;"|"&amp;IF(F509&lt;=24,"&lt;=24",IF(F509&lt;=32,"&lt;=32","Above32")),RecPricing!$F$5:$F$10,0)),""),IFERROR(INDEX(Reference!$E$5:$E$12,MATCH(B509&amp;"|"&amp;IF(C509="Mixed","External",IF(C509="Unknown","UoB",C509))&amp;"|"&amp;IF(F509&lt;=32,"32","40"),Reference!$D$5:$D$12,0)),""))</f>
        <v/>
      </c>
      <c r="J509" s="11" t="str">
        <f t="shared" si="44"/>
        <v/>
      </c>
      <c r="K509" s="12"/>
      <c r="L509" s="11" t="str">
        <f t="shared" si="45"/>
        <v/>
      </c>
      <c r="M509" s="12"/>
      <c r="N509" s="12"/>
      <c r="O509" s="11" t="str">
        <f t="shared" si="46"/>
        <v/>
      </c>
      <c r="P509" s="10" t="str">
        <f t="shared" si="47"/>
        <v/>
      </c>
    </row>
    <row r="510" spans="1:16" ht="15" customHeight="1" x14ac:dyDescent="0.2">
      <c r="A510" s="8"/>
      <c r="B510" s="8"/>
      <c r="C510" s="8"/>
      <c r="D510" s="9"/>
      <c r="E510" s="9"/>
      <c r="F510" s="8"/>
      <c r="G510" s="10" t="str">
        <f t="shared" si="42"/>
        <v/>
      </c>
      <c r="H510" s="10" t="str">
        <f t="shared" si="43"/>
        <v/>
      </c>
      <c r="I510" s="11" t="str">
        <f>IF(B510="Recreation",IFERROR(INDEX(RecPricing!$E$5:$E$10,MATCH(IF(C510="Mixed","External",IF(C510="Unknown","UoB",C510))&amp;"|"&amp;IF(F510&lt;=24,"&lt;=24",IF(F510&lt;=32,"&lt;=32","Above32")),RecPricing!$F$5:$F$10,0)),""),IFERROR(INDEX(Reference!$E$5:$E$12,MATCH(B510&amp;"|"&amp;IF(C510="Mixed","External",IF(C510="Unknown","UoB",C510))&amp;"|"&amp;IF(F510&lt;=32,"32","40"),Reference!$D$5:$D$12,0)),""))</f>
        <v/>
      </c>
      <c r="J510" s="11" t="str">
        <f t="shared" si="44"/>
        <v/>
      </c>
      <c r="K510" s="12"/>
      <c r="L510" s="11" t="str">
        <f t="shared" si="45"/>
        <v/>
      </c>
      <c r="M510" s="12"/>
      <c r="N510" s="12"/>
      <c r="O510" s="11" t="str">
        <f t="shared" si="46"/>
        <v/>
      </c>
      <c r="P510" s="10" t="str">
        <f t="shared" si="47"/>
        <v/>
      </c>
    </row>
    <row r="511" spans="1:16" ht="15" customHeight="1" x14ac:dyDescent="0.2">
      <c r="A511" s="8"/>
      <c r="B511" s="8"/>
      <c r="C511" s="8"/>
      <c r="D511" s="9"/>
      <c r="E511" s="9"/>
      <c r="F511" s="8"/>
      <c r="G511" s="10" t="str">
        <f t="shared" ref="G511:G574" si="48">IF(OR(D511="",E511=""),"",E511-D511)</f>
        <v/>
      </c>
      <c r="H511" s="10" t="str">
        <f t="shared" ref="H511:H574" si="49">IF(OR(F511="",G511=""),"",F511*G511)</f>
        <v/>
      </c>
      <c r="I511" s="11" t="str">
        <f>IF(B511="Recreation",IFERROR(INDEX(RecPricing!$E$5:$E$10,MATCH(IF(C511="Mixed","External",IF(C511="Unknown","UoB",C511))&amp;"|"&amp;IF(F511&lt;=24,"&lt;=24",IF(F511&lt;=32,"&lt;=32","Above32")),RecPricing!$F$5:$F$10,0)),""),IFERROR(INDEX(Reference!$E$5:$E$12,MATCH(B511&amp;"|"&amp;IF(C511="Mixed","External",IF(C511="Unknown","UoB",C511))&amp;"|"&amp;IF(F511&lt;=32,"32","40"),Reference!$D$5:$D$12,0)),""))</f>
        <v/>
      </c>
      <c r="J511" s="11" t="str">
        <f t="shared" ref="J511:J574" si="50">IF(I511="","",IF(B511="Recreation",IF(F511&lt;=32,I511,I511*IF(F511="",0,F511)),IF(AND(I511&lt;&gt;"",G511&lt;&gt;""),I511*G511,"")))</f>
        <v/>
      </c>
      <c r="K511" s="12"/>
      <c r="L511" s="11" t="str">
        <f t="shared" ref="L511:L574" si="51">IF(J511="","",J511-IF(K511="",0,K511))</f>
        <v/>
      </c>
      <c r="M511" s="12"/>
      <c r="N511" s="12"/>
      <c r="O511" s="11" t="str">
        <f t="shared" ref="O511:O574" si="52">IF(L511="","",L511-IF(M511="",0,M511)-IF(N511="",0,N511))</f>
        <v/>
      </c>
      <c r="P511" s="10" t="str">
        <f t="shared" ref="P511:P574" si="53">IF(D511="","",IF(MONTH(D511)&gt;=8,YEAR(D511)&amp;"-"&amp;RIGHT(YEAR(D511)+1,2),YEAR(D511)-1&amp;"-"&amp;RIGHT(YEAR(D511),2)))</f>
        <v/>
      </c>
    </row>
    <row r="512" spans="1:16" ht="15" customHeight="1" x14ac:dyDescent="0.2">
      <c r="A512" s="8"/>
      <c r="B512" s="8"/>
      <c r="C512" s="8"/>
      <c r="D512" s="9"/>
      <c r="E512" s="9"/>
      <c r="F512" s="8"/>
      <c r="G512" s="10" t="str">
        <f t="shared" si="48"/>
        <v/>
      </c>
      <c r="H512" s="10" t="str">
        <f t="shared" si="49"/>
        <v/>
      </c>
      <c r="I512" s="11" t="str">
        <f>IF(B512="Recreation",IFERROR(INDEX(RecPricing!$E$5:$E$10,MATCH(IF(C512="Mixed","External",IF(C512="Unknown","UoB",C512))&amp;"|"&amp;IF(F512&lt;=24,"&lt;=24",IF(F512&lt;=32,"&lt;=32","Above32")),RecPricing!$F$5:$F$10,0)),""),IFERROR(INDEX(Reference!$E$5:$E$12,MATCH(B512&amp;"|"&amp;IF(C512="Mixed","External",IF(C512="Unknown","UoB",C512))&amp;"|"&amp;IF(F512&lt;=32,"32","40"),Reference!$D$5:$D$12,0)),""))</f>
        <v/>
      </c>
      <c r="J512" s="11" t="str">
        <f t="shared" si="50"/>
        <v/>
      </c>
      <c r="K512" s="12"/>
      <c r="L512" s="11" t="str">
        <f t="shared" si="51"/>
        <v/>
      </c>
      <c r="M512" s="12"/>
      <c r="N512" s="12"/>
      <c r="O512" s="11" t="str">
        <f t="shared" si="52"/>
        <v/>
      </c>
      <c r="P512" s="10" t="str">
        <f t="shared" si="53"/>
        <v/>
      </c>
    </row>
    <row r="513" spans="1:16" ht="15" customHeight="1" x14ac:dyDescent="0.2">
      <c r="A513" s="8"/>
      <c r="B513" s="8"/>
      <c r="C513" s="8"/>
      <c r="D513" s="9"/>
      <c r="E513" s="9"/>
      <c r="F513" s="8"/>
      <c r="G513" s="10" t="str">
        <f t="shared" si="48"/>
        <v/>
      </c>
      <c r="H513" s="10" t="str">
        <f t="shared" si="49"/>
        <v/>
      </c>
      <c r="I513" s="11" t="str">
        <f>IF(B513="Recreation",IFERROR(INDEX(RecPricing!$E$5:$E$10,MATCH(IF(C513="Mixed","External",IF(C513="Unknown","UoB",C513))&amp;"|"&amp;IF(F513&lt;=24,"&lt;=24",IF(F513&lt;=32,"&lt;=32","Above32")),RecPricing!$F$5:$F$10,0)),""),IFERROR(INDEX(Reference!$E$5:$E$12,MATCH(B513&amp;"|"&amp;IF(C513="Mixed","External",IF(C513="Unknown","UoB",C513))&amp;"|"&amp;IF(F513&lt;=32,"32","40"),Reference!$D$5:$D$12,0)),""))</f>
        <v/>
      </c>
      <c r="J513" s="11" t="str">
        <f t="shared" si="50"/>
        <v/>
      </c>
      <c r="K513" s="12"/>
      <c r="L513" s="11" t="str">
        <f t="shared" si="51"/>
        <v/>
      </c>
      <c r="M513" s="12"/>
      <c r="N513" s="12"/>
      <c r="O513" s="11" t="str">
        <f t="shared" si="52"/>
        <v/>
      </c>
      <c r="P513" s="10" t="str">
        <f t="shared" si="53"/>
        <v/>
      </c>
    </row>
    <row r="514" spans="1:16" ht="15" customHeight="1" x14ac:dyDescent="0.2">
      <c r="A514" s="8"/>
      <c r="B514" s="8"/>
      <c r="C514" s="8"/>
      <c r="D514" s="9"/>
      <c r="E514" s="9"/>
      <c r="F514" s="8"/>
      <c r="G514" s="10" t="str">
        <f t="shared" si="48"/>
        <v/>
      </c>
      <c r="H514" s="10" t="str">
        <f t="shared" si="49"/>
        <v/>
      </c>
      <c r="I514" s="11" t="str">
        <f>IF(B514="Recreation",IFERROR(INDEX(RecPricing!$E$5:$E$10,MATCH(IF(C514="Mixed","External",IF(C514="Unknown","UoB",C514))&amp;"|"&amp;IF(F514&lt;=24,"&lt;=24",IF(F514&lt;=32,"&lt;=32","Above32")),RecPricing!$F$5:$F$10,0)),""),IFERROR(INDEX(Reference!$E$5:$E$12,MATCH(B514&amp;"|"&amp;IF(C514="Mixed","External",IF(C514="Unknown","UoB",C514))&amp;"|"&amp;IF(F514&lt;=32,"32","40"),Reference!$D$5:$D$12,0)),""))</f>
        <v/>
      </c>
      <c r="J514" s="11" t="str">
        <f t="shared" si="50"/>
        <v/>
      </c>
      <c r="K514" s="12"/>
      <c r="L514" s="11" t="str">
        <f t="shared" si="51"/>
        <v/>
      </c>
      <c r="M514" s="12"/>
      <c r="N514" s="12"/>
      <c r="O514" s="11" t="str">
        <f t="shared" si="52"/>
        <v/>
      </c>
      <c r="P514" s="10" t="str">
        <f t="shared" si="53"/>
        <v/>
      </c>
    </row>
    <row r="515" spans="1:16" ht="15" customHeight="1" x14ac:dyDescent="0.2">
      <c r="A515" s="8"/>
      <c r="B515" s="8"/>
      <c r="C515" s="8"/>
      <c r="D515" s="9"/>
      <c r="E515" s="9"/>
      <c r="F515" s="8"/>
      <c r="G515" s="10" t="str">
        <f t="shared" si="48"/>
        <v/>
      </c>
      <c r="H515" s="10" t="str">
        <f t="shared" si="49"/>
        <v/>
      </c>
      <c r="I515" s="11" t="str">
        <f>IF(B515="Recreation",IFERROR(INDEX(RecPricing!$E$5:$E$10,MATCH(IF(C515="Mixed","External",IF(C515="Unknown","UoB",C515))&amp;"|"&amp;IF(F515&lt;=24,"&lt;=24",IF(F515&lt;=32,"&lt;=32","Above32")),RecPricing!$F$5:$F$10,0)),""),IFERROR(INDEX(Reference!$E$5:$E$12,MATCH(B515&amp;"|"&amp;IF(C515="Mixed","External",IF(C515="Unknown","UoB",C515))&amp;"|"&amp;IF(F515&lt;=32,"32","40"),Reference!$D$5:$D$12,0)),""))</f>
        <v/>
      </c>
      <c r="J515" s="11" t="str">
        <f t="shared" si="50"/>
        <v/>
      </c>
      <c r="K515" s="12"/>
      <c r="L515" s="11" t="str">
        <f t="shared" si="51"/>
        <v/>
      </c>
      <c r="M515" s="12"/>
      <c r="N515" s="12"/>
      <c r="O515" s="11" t="str">
        <f t="shared" si="52"/>
        <v/>
      </c>
      <c r="P515" s="10" t="str">
        <f t="shared" si="53"/>
        <v/>
      </c>
    </row>
    <row r="516" spans="1:16" ht="15" customHeight="1" x14ac:dyDescent="0.2">
      <c r="A516" s="8"/>
      <c r="B516" s="8"/>
      <c r="C516" s="8"/>
      <c r="D516" s="9"/>
      <c r="E516" s="9"/>
      <c r="F516" s="8"/>
      <c r="G516" s="10" t="str">
        <f t="shared" si="48"/>
        <v/>
      </c>
      <c r="H516" s="10" t="str">
        <f t="shared" si="49"/>
        <v/>
      </c>
      <c r="I516" s="11" t="str">
        <f>IF(B516="Recreation",IFERROR(INDEX(RecPricing!$E$5:$E$10,MATCH(IF(C516="Mixed","External",IF(C516="Unknown","UoB",C516))&amp;"|"&amp;IF(F516&lt;=24,"&lt;=24",IF(F516&lt;=32,"&lt;=32","Above32")),RecPricing!$F$5:$F$10,0)),""),IFERROR(INDEX(Reference!$E$5:$E$12,MATCH(B516&amp;"|"&amp;IF(C516="Mixed","External",IF(C516="Unknown","UoB",C516))&amp;"|"&amp;IF(F516&lt;=32,"32","40"),Reference!$D$5:$D$12,0)),""))</f>
        <v/>
      </c>
      <c r="J516" s="11" t="str">
        <f t="shared" si="50"/>
        <v/>
      </c>
      <c r="K516" s="12"/>
      <c r="L516" s="11" t="str">
        <f t="shared" si="51"/>
        <v/>
      </c>
      <c r="M516" s="12"/>
      <c r="N516" s="12"/>
      <c r="O516" s="11" t="str">
        <f t="shared" si="52"/>
        <v/>
      </c>
      <c r="P516" s="10" t="str">
        <f t="shared" si="53"/>
        <v/>
      </c>
    </row>
    <row r="517" spans="1:16" ht="15" customHeight="1" x14ac:dyDescent="0.2">
      <c r="A517" s="8"/>
      <c r="B517" s="8"/>
      <c r="C517" s="8"/>
      <c r="D517" s="9"/>
      <c r="E517" s="9"/>
      <c r="F517" s="8"/>
      <c r="G517" s="10" t="str">
        <f t="shared" si="48"/>
        <v/>
      </c>
      <c r="H517" s="10" t="str">
        <f t="shared" si="49"/>
        <v/>
      </c>
      <c r="I517" s="11" t="str">
        <f>IF(B517="Recreation",IFERROR(INDEX(RecPricing!$E$5:$E$10,MATCH(IF(C517="Mixed","External",IF(C517="Unknown","UoB",C517))&amp;"|"&amp;IF(F517&lt;=24,"&lt;=24",IF(F517&lt;=32,"&lt;=32","Above32")),RecPricing!$F$5:$F$10,0)),""),IFERROR(INDEX(Reference!$E$5:$E$12,MATCH(B517&amp;"|"&amp;IF(C517="Mixed","External",IF(C517="Unknown","UoB",C517))&amp;"|"&amp;IF(F517&lt;=32,"32","40"),Reference!$D$5:$D$12,0)),""))</f>
        <v/>
      </c>
      <c r="J517" s="11" t="str">
        <f t="shared" si="50"/>
        <v/>
      </c>
      <c r="K517" s="12"/>
      <c r="L517" s="11" t="str">
        <f t="shared" si="51"/>
        <v/>
      </c>
      <c r="M517" s="12"/>
      <c r="N517" s="12"/>
      <c r="O517" s="11" t="str">
        <f t="shared" si="52"/>
        <v/>
      </c>
      <c r="P517" s="10" t="str">
        <f t="shared" si="53"/>
        <v/>
      </c>
    </row>
    <row r="518" spans="1:16" ht="15" customHeight="1" x14ac:dyDescent="0.2">
      <c r="A518" s="8"/>
      <c r="B518" s="8"/>
      <c r="C518" s="8"/>
      <c r="D518" s="9"/>
      <c r="E518" s="9"/>
      <c r="F518" s="8"/>
      <c r="G518" s="10" t="str">
        <f t="shared" si="48"/>
        <v/>
      </c>
      <c r="H518" s="10" t="str">
        <f t="shared" si="49"/>
        <v/>
      </c>
      <c r="I518" s="11" t="str">
        <f>IF(B518="Recreation",IFERROR(INDEX(RecPricing!$E$5:$E$10,MATCH(IF(C518="Mixed","External",IF(C518="Unknown","UoB",C518))&amp;"|"&amp;IF(F518&lt;=24,"&lt;=24",IF(F518&lt;=32,"&lt;=32","Above32")),RecPricing!$F$5:$F$10,0)),""),IFERROR(INDEX(Reference!$E$5:$E$12,MATCH(B518&amp;"|"&amp;IF(C518="Mixed","External",IF(C518="Unknown","UoB",C518))&amp;"|"&amp;IF(F518&lt;=32,"32","40"),Reference!$D$5:$D$12,0)),""))</f>
        <v/>
      </c>
      <c r="J518" s="11" t="str">
        <f t="shared" si="50"/>
        <v/>
      </c>
      <c r="K518" s="12"/>
      <c r="L518" s="11" t="str">
        <f t="shared" si="51"/>
        <v/>
      </c>
      <c r="M518" s="12"/>
      <c r="N518" s="12"/>
      <c r="O518" s="11" t="str">
        <f t="shared" si="52"/>
        <v/>
      </c>
      <c r="P518" s="10" t="str">
        <f t="shared" si="53"/>
        <v/>
      </c>
    </row>
    <row r="519" spans="1:16" ht="15" customHeight="1" x14ac:dyDescent="0.2">
      <c r="A519" s="8"/>
      <c r="B519" s="8"/>
      <c r="C519" s="8"/>
      <c r="D519" s="9"/>
      <c r="E519" s="9"/>
      <c r="F519" s="8"/>
      <c r="G519" s="10" t="str">
        <f t="shared" si="48"/>
        <v/>
      </c>
      <c r="H519" s="10" t="str">
        <f t="shared" si="49"/>
        <v/>
      </c>
      <c r="I519" s="11" t="str">
        <f>IF(B519="Recreation",IFERROR(INDEX(RecPricing!$E$5:$E$10,MATCH(IF(C519="Mixed","External",IF(C519="Unknown","UoB",C519))&amp;"|"&amp;IF(F519&lt;=24,"&lt;=24",IF(F519&lt;=32,"&lt;=32","Above32")),RecPricing!$F$5:$F$10,0)),""),IFERROR(INDEX(Reference!$E$5:$E$12,MATCH(B519&amp;"|"&amp;IF(C519="Mixed","External",IF(C519="Unknown","UoB",C519))&amp;"|"&amp;IF(F519&lt;=32,"32","40"),Reference!$D$5:$D$12,0)),""))</f>
        <v/>
      </c>
      <c r="J519" s="11" t="str">
        <f t="shared" si="50"/>
        <v/>
      </c>
      <c r="K519" s="12"/>
      <c r="L519" s="11" t="str">
        <f t="shared" si="51"/>
        <v/>
      </c>
      <c r="M519" s="12"/>
      <c r="N519" s="12"/>
      <c r="O519" s="11" t="str">
        <f t="shared" si="52"/>
        <v/>
      </c>
      <c r="P519" s="10" t="str">
        <f t="shared" si="53"/>
        <v/>
      </c>
    </row>
    <row r="520" spans="1:16" ht="15" customHeight="1" x14ac:dyDescent="0.2">
      <c r="A520" s="8"/>
      <c r="B520" s="8"/>
      <c r="C520" s="8"/>
      <c r="D520" s="9"/>
      <c r="E520" s="9"/>
      <c r="F520" s="8"/>
      <c r="G520" s="10" t="str">
        <f t="shared" si="48"/>
        <v/>
      </c>
      <c r="H520" s="10" t="str">
        <f t="shared" si="49"/>
        <v/>
      </c>
      <c r="I520" s="11" t="str">
        <f>IF(B520="Recreation",IFERROR(INDEX(RecPricing!$E$5:$E$10,MATCH(IF(C520="Mixed","External",IF(C520="Unknown","UoB",C520))&amp;"|"&amp;IF(F520&lt;=24,"&lt;=24",IF(F520&lt;=32,"&lt;=32","Above32")),RecPricing!$F$5:$F$10,0)),""),IFERROR(INDEX(Reference!$E$5:$E$12,MATCH(B520&amp;"|"&amp;IF(C520="Mixed","External",IF(C520="Unknown","UoB",C520))&amp;"|"&amp;IF(F520&lt;=32,"32","40"),Reference!$D$5:$D$12,0)),""))</f>
        <v/>
      </c>
      <c r="J520" s="11" t="str">
        <f t="shared" si="50"/>
        <v/>
      </c>
      <c r="K520" s="12"/>
      <c r="L520" s="11" t="str">
        <f t="shared" si="51"/>
        <v/>
      </c>
      <c r="M520" s="12"/>
      <c r="N520" s="12"/>
      <c r="O520" s="11" t="str">
        <f t="shared" si="52"/>
        <v/>
      </c>
      <c r="P520" s="10" t="str">
        <f t="shared" si="53"/>
        <v/>
      </c>
    </row>
    <row r="521" spans="1:16" ht="15" customHeight="1" x14ac:dyDescent="0.2">
      <c r="A521" s="8"/>
      <c r="B521" s="8"/>
      <c r="C521" s="8"/>
      <c r="D521" s="9"/>
      <c r="E521" s="9"/>
      <c r="F521" s="8"/>
      <c r="G521" s="10" t="str">
        <f t="shared" si="48"/>
        <v/>
      </c>
      <c r="H521" s="10" t="str">
        <f t="shared" si="49"/>
        <v/>
      </c>
      <c r="I521" s="11" t="str">
        <f>IF(B521="Recreation",IFERROR(INDEX(RecPricing!$E$5:$E$10,MATCH(IF(C521="Mixed","External",IF(C521="Unknown","UoB",C521))&amp;"|"&amp;IF(F521&lt;=24,"&lt;=24",IF(F521&lt;=32,"&lt;=32","Above32")),RecPricing!$F$5:$F$10,0)),""),IFERROR(INDEX(Reference!$E$5:$E$12,MATCH(B521&amp;"|"&amp;IF(C521="Mixed","External",IF(C521="Unknown","UoB",C521))&amp;"|"&amp;IF(F521&lt;=32,"32","40"),Reference!$D$5:$D$12,0)),""))</f>
        <v/>
      </c>
      <c r="J521" s="11" t="str">
        <f t="shared" si="50"/>
        <v/>
      </c>
      <c r="K521" s="12"/>
      <c r="L521" s="11" t="str">
        <f t="shared" si="51"/>
        <v/>
      </c>
      <c r="M521" s="12"/>
      <c r="N521" s="12"/>
      <c r="O521" s="11" t="str">
        <f t="shared" si="52"/>
        <v/>
      </c>
      <c r="P521" s="10" t="str">
        <f t="shared" si="53"/>
        <v/>
      </c>
    </row>
    <row r="522" spans="1:16" ht="15" customHeight="1" x14ac:dyDescent="0.2">
      <c r="A522" s="8"/>
      <c r="B522" s="8"/>
      <c r="C522" s="8"/>
      <c r="D522" s="9"/>
      <c r="E522" s="9"/>
      <c r="F522" s="8"/>
      <c r="G522" s="10" t="str">
        <f t="shared" si="48"/>
        <v/>
      </c>
      <c r="H522" s="10" t="str">
        <f t="shared" si="49"/>
        <v/>
      </c>
      <c r="I522" s="11" t="str">
        <f>IF(B522="Recreation",IFERROR(INDEX(RecPricing!$E$5:$E$10,MATCH(IF(C522="Mixed","External",IF(C522="Unknown","UoB",C522))&amp;"|"&amp;IF(F522&lt;=24,"&lt;=24",IF(F522&lt;=32,"&lt;=32","Above32")),RecPricing!$F$5:$F$10,0)),""),IFERROR(INDEX(Reference!$E$5:$E$12,MATCH(B522&amp;"|"&amp;IF(C522="Mixed","External",IF(C522="Unknown","UoB",C522))&amp;"|"&amp;IF(F522&lt;=32,"32","40"),Reference!$D$5:$D$12,0)),""))</f>
        <v/>
      </c>
      <c r="J522" s="11" t="str">
        <f t="shared" si="50"/>
        <v/>
      </c>
      <c r="K522" s="12"/>
      <c r="L522" s="11" t="str">
        <f t="shared" si="51"/>
        <v/>
      </c>
      <c r="M522" s="12"/>
      <c r="N522" s="12"/>
      <c r="O522" s="11" t="str">
        <f t="shared" si="52"/>
        <v/>
      </c>
      <c r="P522" s="10" t="str">
        <f t="shared" si="53"/>
        <v/>
      </c>
    </row>
    <row r="523" spans="1:16" ht="15" customHeight="1" x14ac:dyDescent="0.2">
      <c r="A523" s="8"/>
      <c r="B523" s="8"/>
      <c r="C523" s="8"/>
      <c r="D523" s="9"/>
      <c r="E523" s="9"/>
      <c r="F523" s="8"/>
      <c r="G523" s="10" t="str">
        <f t="shared" si="48"/>
        <v/>
      </c>
      <c r="H523" s="10" t="str">
        <f t="shared" si="49"/>
        <v/>
      </c>
      <c r="I523" s="11" t="str">
        <f>IF(B523="Recreation",IFERROR(INDEX(RecPricing!$E$5:$E$10,MATCH(IF(C523="Mixed","External",IF(C523="Unknown","UoB",C523))&amp;"|"&amp;IF(F523&lt;=24,"&lt;=24",IF(F523&lt;=32,"&lt;=32","Above32")),RecPricing!$F$5:$F$10,0)),""),IFERROR(INDEX(Reference!$E$5:$E$12,MATCH(B523&amp;"|"&amp;IF(C523="Mixed","External",IF(C523="Unknown","UoB",C523))&amp;"|"&amp;IF(F523&lt;=32,"32","40"),Reference!$D$5:$D$12,0)),""))</f>
        <v/>
      </c>
      <c r="J523" s="11" t="str">
        <f t="shared" si="50"/>
        <v/>
      </c>
      <c r="K523" s="12"/>
      <c r="L523" s="11" t="str">
        <f t="shared" si="51"/>
        <v/>
      </c>
      <c r="M523" s="12"/>
      <c r="N523" s="12"/>
      <c r="O523" s="11" t="str">
        <f t="shared" si="52"/>
        <v/>
      </c>
      <c r="P523" s="10" t="str">
        <f t="shared" si="53"/>
        <v/>
      </c>
    </row>
    <row r="524" spans="1:16" ht="15" customHeight="1" x14ac:dyDescent="0.2">
      <c r="A524" s="8"/>
      <c r="B524" s="8"/>
      <c r="C524" s="8"/>
      <c r="D524" s="9"/>
      <c r="E524" s="9"/>
      <c r="F524" s="8"/>
      <c r="G524" s="10" t="str">
        <f t="shared" si="48"/>
        <v/>
      </c>
      <c r="H524" s="10" t="str">
        <f t="shared" si="49"/>
        <v/>
      </c>
      <c r="I524" s="11" t="str">
        <f>IF(B524="Recreation",IFERROR(INDEX(RecPricing!$E$5:$E$10,MATCH(IF(C524="Mixed","External",IF(C524="Unknown","UoB",C524))&amp;"|"&amp;IF(F524&lt;=24,"&lt;=24",IF(F524&lt;=32,"&lt;=32","Above32")),RecPricing!$F$5:$F$10,0)),""),IFERROR(INDEX(Reference!$E$5:$E$12,MATCH(B524&amp;"|"&amp;IF(C524="Mixed","External",IF(C524="Unknown","UoB",C524))&amp;"|"&amp;IF(F524&lt;=32,"32","40"),Reference!$D$5:$D$12,0)),""))</f>
        <v/>
      </c>
      <c r="J524" s="11" t="str">
        <f t="shared" si="50"/>
        <v/>
      </c>
      <c r="K524" s="12"/>
      <c r="L524" s="11" t="str">
        <f t="shared" si="51"/>
        <v/>
      </c>
      <c r="M524" s="12"/>
      <c r="N524" s="12"/>
      <c r="O524" s="11" t="str">
        <f t="shared" si="52"/>
        <v/>
      </c>
      <c r="P524" s="10" t="str">
        <f t="shared" si="53"/>
        <v/>
      </c>
    </row>
    <row r="525" spans="1:16" ht="15" customHeight="1" x14ac:dyDescent="0.2">
      <c r="A525" s="8"/>
      <c r="B525" s="8"/>
      <c r="C525" s="8"/>
      <c r="D525" s="9"/>
      <c r="E525" s="9"/>
      <c r="F525" s="8"/>
      <c r="G525" s="10" t="str">
        <f t="shared" si="48"/>
        <v/>
      </c>
      <c r="H525" s="10" t="str">
        <f t="shared" si="49"/>
        <v/>
      </c>
      <c r="I525" s="11" t="str">
        <f>IF(B525="Recreation",IFERROR(INDEX(RecPricing!$E$5:$E$10,MATCH(IF(C525="Mixed","External",IF(C525="Unknown","UoB",C525))&amp;"|"&amp;IF(F525&lt;=24,"&lt;=24",IF(F525&lt;=32,"&lt;=32","Above32")),RecPricing!$F$5:$F$10,0)),""),IFERROR(INDEX(Reference!$E$5:$E$12,MATCH(B525&amp;"|"&amp;IF(C525="Mixed","External",IF(C525="Unknown","UoB",C525))&amp;"|"&amp;IF(F525&lt;=32,"32","40"),Reference!$D$5:$D$12,0)),""))</f>
        <v/>
      </c>
      <c r="J525" s="11" t="str">
        <f t="shared" si="50"/>
        <v/>
      </c>
      <c r="K525" s="12"/>
      <c r="L525" s="11" t="str">
        <f t="shared" si="51"/>
        <v/>
      </c>
      <c r="M525" s="12"/>
      <c r="N525" s="12"/>
      <c r="O525" s="11" t="str">
        <f t="shared" si="52"/>
        <v/>
      </c>
      <c r="P525" s="10" t="str">
        <f t="shared" si="53"/>
        <v/>
      </c>
    </row>
    <row r="526" spans="1:16" ht="15" customHeight="1" x14ac:dyDescent="0.2">
      <c r="A526" s="8"/>
      <c r="B526" s="8"/>
      <c r="C526" s="8"/>
      <c r="D526" s="9"/>
      <c r="E526" s="9"/>
      <c r="F526" s="8"/>
      <c r="G526" s="10" t="str">
        <f t="shared" si="48"/>
        <v/>
      </c>
      <c r="H526" s="10" t="str">
        <f t="shared" si="49"/>
        <v/>
      </c>
      <c r="I526" s="11" t="str">
        <f>IF(B526="Recreation",IFERROR(INDEX(RecPricing!$E$5:$E$10,MATCH(IF(C526="Mixed","External",IF(C526="Unknown","UoB",C526))&amp;"|"&amp;IF(F526&lt;=24,"&lt;=24",IF(F526&lt;=32,"&lt;=32","Above32")),RecPricing!$F$5:$F$10,0)),""),IFERROR(INDEX(Reference!$E$5:$E$12,MATCH(B526&amp;"|"&amp;IF(C526="Mixed","External",IF(C526="Unknown","UoB",C526))&amp;"|"&amp;IF(F526&lt;=32,"32","40"),Reference!$D$5:$D$12,0)),""))</f>
        <v/>
      </c>
      <c r="J526" s="11" t="str">
        <f t="shared" si="50"/>
        <v/>
      </c>
      <c r="K526" s="12"/>
      <c r="L526" s="11" t="str">
        <f t="shared" si="51"/>
        <v/>
      </c>
      <c r="M526" s="12"/>
      <c r="N526" s="12"/>
      <c r="O526" s="11" t="str">
        <f t="shared" si="52"/>
        <v/>
      </c>
      <c r="P526" s="10" t="str">
        <f t="shared" si="53"/>
        <v/>
      </c>
    </row>
    <row r="527" spans="1:16" ht="15" customHeight="1" x14ac:dyDescent="0.2">
      <c r="A527" s="8"/>
      <c r="B527" s="8"/>
      <c r="C527" s="8"/>
      <c r="D527" s="9"/>
      <c r="E527" s="9"/>
      <c r="F527" s="8"/>
      <c r="G527" s="10" t="str">
        <f t="shared" si="48"/>
        <v/>
      </c>
      <c r="H527" s="10" t="str">
        <f t="shared" si="49"/>
        <v/>
      </c>
      <c r="I527" s="11" t="str">
        <f>IF(B527="Recreation",IFERROR(INDEX(RecPricing!$E$5:$E$10,MATCH(IF(C527="Mixed","External",IF(C527="Unknown","UoB",C527))&amp;"|"&amp;IF(F527&lt;=24,"&lt;=24",IF(F527&lt;=32,"&lt;=32","Above32")),RecPricing!$F$5:$F$10,0)),""),IFERROR(INDEX(Reference!$E$5:$E$12,MATCH(B527&amp;"|"&amp;IF(C527="Mixed","External",IF(C527="Unknown","UoB",C527))&amp;"|"&amp;IF(F527&lt;=32,"32","40"),Reference!$D$5:$D$12,0)),""))</f>
        <v/>
      </c>
      <c r="J527" s="11" t="str">
        <f t="shared" si="50"/>
        <v/>
      </c>
      <c r="K527" s="12"/>
      <c r="L527" s="11" t="str">
        <f t="shared" si="51"/>
        <v/>
      </c>
      <c r="M527" s="12"/>
      <c r="N527" s="12"/>
      <c r="O527" s="11" t="str">
        <f t="shared" si="52"/>
        <v/>
      </c>
      <c r="P527" s="10" t="str">
        <f t="shared" si="53"/>
        <v/>
      </c>
    </row>
    <row r="528" spans="1:16" ht="15" customHeight="1" x14ac:dyDescent="0.2">
      <c r="A528" s="8"/>
      <c r="B528" s="8"/>
      <c r="C528" s="8"/>
      <c r="D528" s="9"/>
      <c r="E528" s="9"/>
      <c r="F528" s="8"/>
      <c r="G528" s="10" t="str">
        <f t="shared" si="48"/>
        <v/>
      </c>
      <c r="H528" s="10" t="str">
        <f t="shared" si="49"/>
        <v/>
      </c>
      <c r="I528" s="11" t="str">
        <f>IF(B528="Recreation",IFERROR(INDEX(RecPricing!$E$5:$E$10,MATCH(IF(C528="Mixed","External",IF(C528="Unknown","UoB",C528))&amp;"|"&amp;IF(F528&lt;=24,"&lt;=24",IF(F528&lt;=32,"&lt;=32","Above32")),RecPricing!$F$5:$F$10,0)),""),IFERROR(INDEX(Reference!$E$5:$E$12,MATCH(B528&amp;"|"&amp;IF(C528="Mixed","External",IF(C528="Unknown","UoB",C528))&amp;"|"&amp;IF(F528&lt;=32,"32","40"),Reference!$D$5:$D$12,0)),""))</f>
        <v/>
      </c>
      <c r="J528" s="11" t="str">
        <f t="shared" si="50"/>
        <v/>
      </c>
      <c r="K528" s="12"/>
      <c r="L528" s="11" t="str">
        <f t="shared" si="51"/>
        <v/>
      </c>
      <c r="M528" s="12"/>
      <c r="N528" s="12"/>
      <c r="O528" s="11" t="str">
        <f t="shared" si="52"/>
        <v/>
      </c>
      <c r="P528" s="10" t="str">
        <f t="shared" si="53"/>
        <v/>
      </c>
    </row>
    <row r="529" spans="1:16" ht="15" customHeight="1" x14ac:dyDescent="0.2">
      <c r="A529" s="8"/>
      <c r="B529" s="8"/>
      <c r="C529" s="8"/>
      <c r="D529" s="9"/>
      <c r="E529" s="9"/>
      <c r="F529" s="8"/>
      <c r="G529" s="10" t="str">
        <f t="shared" si="48"/>
        <v/>
      </c>
      <c r="H529" s="10" t="str">
        <f t="shared" si="49"/>
        <v/>
      </c>
      <c r="I529" s="11" t="str">
        <f>IF(B529="Recreation",IFERROR(INDEX(RecPricing!$E$5:$E$10,MATCH(IF(C529="Mixed","External",IF(C529="Unknown","UoB",C529))&amp;"|"&amp;IF(F529&lt;=24,"&lt;=24",IF(F529&lt;=32,"&lt;=32","Above32")),RecPricing!$F$5:$F$10,0)),""),IFERROR(INDEX(Reference!$E$5:$E$12,MATCH(B529&amp;"|"&amp;IF(C529="Mixed","External",IF(C529="Unknown","UoB",C529))&amp;"|"&amp;IF(F529&lt;=32,"32","40"),Reference!$D$5:$D$12,0)),""))</f>
        <v/>
      </c>
      <c r="J529" s="11" t="str">
        <f t="shared" si="50"/>
        <v/>
      </c>
      <c r="K529" s="12"/>
      <c r="L529" s="11" t="str">
        <f t="shared" si="51"/>
        <v/>
      </c>
      <c r="M529" s="12"/>
      <c r="N529" s="12"/>
      <c r="O529" s="11" t="str">
        <f t="shared" si="52"/>
        <v/>
      </c>
      <c r="P529" s="10" t="str">
        <f t="shared" si="53"/>
        <v/>
      </c>
    </row>
    <row r="530" spans="1:16" ht="15" customHeight="1" x14ac:dyDescent="0.2">
      <c r="A530" s="8"/>
      <c r="B530" s="8"/>
      <c r="C530" s="8"/>
      <c r="D530" s="9"/>
      <c r="E530" s="9"/>
      <c r="F530" s="8"/>
      <c r="G530" s="10" t="str">
        <f t="shared" si="48"/>
        <v/>
      </c>
      <c r="H530" s="10" t="str">
        <f t="shared" si="49"/>
        <v/>
      </c>
      <c r="I530" s="11" t="str">
        <f>IF(B530="Recreation",IFERROR(INDEX(RecPricing!$E$5:$E$10,MATCH(IF(C530="Mixed","External",IF(C530="Unknown","UoB",C530))&amp;"|"&amp;IF(F530&lt;=24,"&lt;=24",IF(F530&lt;=32,"&lt;=32","Above32")),RecPricing!$F$5:$F$10,0)),""),IFERROR(INDEX(Reference!$E$5:$E$12,MATCH(B530&amp;"|"&amp;IF(C530="Mixed","External",IF(C530="Unknown","UoB",C530))&amp;"|"&amp;IF(F530&lt;=32,"32","40"),Reference!$D$5:$D$12,0)),""))</f>
        <v/>
      </c>
      <c r="J530" s="11" t="str">
        <f t="shared" si="50"/>
        <v/>
      </c>
      <c r="K530" s="12"/>
      <c r="L530" s="11" t="str">
        <f t="shared" si="51"/>
        <v/>
      </c>
      <c r="M530" s="12"/>
      <c r="N530" s="12"/>
      <c r="O530" s="11" t="str">
        <f t="shared" si="52"/>
        <v/>
      </c>
      <c r="P530" s="10" t="str">
        <f t="shared" si="53"/>
        <v/>
      </c>
    </row>
    <row r="531" spans="1:16" ht="15" customHeight="1" x14ac:dyDescent="0.2">
      <c r="A531" s="8"/>
      <c r="B531" s="8"/>
      <c r="C531" s="8"/>
      <c r="D531" s="9"/>
      <c r="E531" s="9"/>
      <c r="F531" s="8"/>
      <c r="G531" s="10" t="str">
        <f t="shared" si="48"/>
        <v/>
      </c>
      <c r="H531" s="10" t="str">
        <f t="shared" si="49"/>
        <v/>
      </c>
      <c r="I531" s="11" t="str">
        <f>IF(B531="Recreation",IFERROR(INDEX(RecPricing!$E$5:$E$10,MATCH(IF(C531="Mixed","External",IF(C531="Unknown","UoB",C531))&amp;"|"&amp;IF(F531&lt;=24,"&lt;=24",IF(F531&lt;=32,"&lt;=32","Above32")),RecPricing!$F$5:$F$10,0)),""),IFERROR(INDEX(Reference!$E$5:$E$12,MATCH(B531&amp;"|"&amp;IF(C531="Mixed","External",IF(C531="Unknown","UoB",C531))&amp;"|"&amp;IF(F531&lt;=32,"32","40"),Reference!$D$5:$D$12,0)),""))</f>
        <v/>
      </c>
      <c r="J531" s="11" t="str">
        <f t="shared" si="50"/>
        <v/>
      </c>
      <c r="K531" s="12"/>
      <c r="L531" s="11" t="str">
        <f t="shared" si="51"/>
        <v/>
      </c>
      <c r="M531" s="12"/>
      <c r="N531" s="12"/>
      <c r="O531" s="11" t="str">
        <f t="shared" si="52"/>
        <v/>
      </c>
      <c r="P531" s="10" t="str">
        <f t="shared" si="53"/>
        <v/>
      </c>
    </row>
    <row r="532" spans="1:16" ht="15" customHeight="1" x14ac:dyDescent="0.2">
      <c r="A532" s="8"/>
      <c r="B532" s="8"/>
      <c r="C532" s="8"/>
      <c r="D532" s="9"/>
      <c r="E532" s="9"/>
      <c r="F532" s="8"/>
      <c r="G532" s="10" t="str">
        <f t="shared" si="48"/>
        <v/>
      </c>
      <c r="H532" s="10" t="str">
        <f t="shared" si="49"/>
        <v/>
      </c>
      <c r="I532" s="11" t="str">
        <f>IF(B532="Recreation",IFERROR(INDEX(RecPricing!$E$5:$E$10,MATCH(IF(C532="Mixed","External",IF(C532="Unknown","UoB",C532))&amp;"|"&amp;IF(F532&lt;=24,"&lt;=24",IF(F532&lt;=32,"&lt;=32","Above32")),RecPricing!$F$5:$F$10,0)),""),IFERROR(INDEX(Reference!$E$5:$E$12,MATCH(B532&amp;"|"&amp;IF(C532="Mixed","External",IF(C532="Unknown","UoB",C532))&amp;"|"&amp;IF(F532&lt;=32,"32","40"),Reference!$D$5:$D$12,0)),""))</f>
        <v/>
      </c>
      <c r="J532" s="11" t="str">
        <f t="shared" si="50"/>
        <v/>
      </c>
      <c r="K532" s="12"/>
      <c r="L532" s="11" t="str">
        <f t="shared" si="51"/>
        <v/>
      </c>
      <c r="M532" s="12"/>
      <c r="N532" s="12"/>
      <c r="O532" s="11" t="str">
        <f t="shared" si="52"/>
        <v/>
      </c>
      <c r="P532" s="10" t="str">
        <f t="shared" si="53"/>
        <v/>
      </c>
    </row>
    <row r="533" spans="1:16" ht="15" customHeight="1" x14ac:dyDescent="0.2">
      <c r="A533" s="8"/>
      <c r="B533" s="8"/>
      <c r="C533" s="8"/>
      <c r="D533" s="9"/>
      <c r="E533" s="9"/>
      <c r="F533" s="8"/>
      <c r="G533" s="10" t="str">
        <f t="shared" si="48"/>
        <v/>
      </c>
      <c r="H533" s="10" t="str">
        <f t="shared" si="49"/>
        <v/>
      </c>
      <c r="I533" s="11" t="str">
        <f>IF(B533="Recreation",IFERROR(INDEX(RecPricing!$E$5:$E$10,MATCH(IF(C533="Mixed","External",IF(C533="Unknown","UoB",C533))&amp;"|"&amp;IF(F533&lt;=24,"&lt;=24",IF(F533&lt;=32,"&lt;=32","Above32")),RecPricing!$F$5:$F$10,0)),""),IFERROR(INDEX(Reference!$E$5:$E$12,MATCH(B533&amp;"|"&amp;IF(C533="Mixed","External",IF(C533="Unknown","UoB",C533))&amp;"|"&amp;IF(F533&lt;=32,"32","40"),Reference!$D$5:$D$12,0)),""))</f>
        <v/>
      </c>
      <c r="J533" s="11" t="str">
        <f t="shared" si="50"/>
        <v/>
      </c>
      <c r="K533" s="12"/>
      <c r="L533" s="11" t="str">
        <f t="shared" si="51"/>
        <v/>
      </c>
      <c r="M533" s="12"/>
      <c r="N533" s="12"/>
      <c r="O533" s="11" t="str">
        <f t="shared" si="52"/>
        <v/>
      </c>
      <c r="P533" s="10" t="str">
        <f t="shared" si="53"/>
        <v/>
      </c>
    </row>
    <row r="534" spans="1:16" ht="15" customHeight="1" x14ac:dyDescent="0.2">
      <c r="A534" s="8"/>
      <c r="B534" s="8"/>
      <c r="C534" s="8"/>
      <c r="D534" s="9"/>
      <c r="E534" s="9"/>
      <c r="F534" s="8"/>
      <c r="G534" s="10" t="str">
        <f t="shared" si="48"/>
        <v/>
      </c>
      <c r="H534" s="10" t="str">
        <f t="shared" si="49"/>
        <v/>
      </c>
      <c r="I534" s="11" t="str">
        <f>IF(B534="Recreation",IFERROR(INDEX(RecPricing!$E$5:$E$10,MATCH(IF(C534="Mixed","External",IF(C534="Unknown","UoB",C534))&amp;"|"&amp;IF(F534&lt;=24,"&lt;=24",IF(F534&lt;=32,"&lt;=32","Above32")),RecPricing!$F$5:$F$10,0)),""),IFERROR(INDEX(Reference!$E$5:$E$12,MATCH(B534&amp;"|"&amp;IF(C534="Mixed","External",IF(C534="Unknown","UoB",C534))&amp;"|"&amp;IF(F534&lt;=32,"32","40"),Reference!$D$5:$D$12,0)),""))</f>
        <v/>
      </c>
      <c r="J534" s="11" t="str">
        <f t="shared" si="50"/>
        <v/>
      </c>
      <c r="K534" s="12"/>
      <c r="L534" s="11" t="str">
        <f t="shared" si="51"/>
        <v/>
      </c>
      <c r="M534" s="12"/>
      <c r="N534" s="12"/>
      <c r="O534" s="11" t="str">
        <f t="shared" si="52"/>
        <v/>
      </c>
      <c r="P534" s="10" t="str">
        <f t="shared" si="53"/>
        <v/>
      </c>
    </row>
    <row r="535" spans="1:16" ht="15" customHeight="1" x14ac:dyDescent="0.2">
      <c r="A535" s="8"/>
      <c r="B535" s="8"/>
      <c r="C535" s="8"/>
      <c r="D535" s="9"/>
      <c r="E535" s="9"/>
      <c r="F535" s="8"/>
      <c r="G535" s="10" t="str">
        <f t="shared" si="48"/>
        <v/>
      </c>
      <c r="H535" s="10" t="str">
        <f t="shared" si="49"/>
        <v/>
      </c>
      <c r="I535" s="11" t="str">
        <f>IF(B535="Recreation",IFERROR(INDEX(RecPricing!$E$5:$E$10,MATCH(IF(C535="Mixed","External",IF(C535="Unknown","UoB",C535))&amp;"|"&amp;IF(F535&lt;=24,"&lt;=24",IF(F535&lt;=32,"&lt;=32","Above32")),RecPricing!$F$5:$F$10,0)),""),IFERROR(INDEX(Reference!$E$5:$E$12,MATCH(B535&amp;"|"&amp;IF(C535="Mixed","External",IF(C535="Unknown","UoB",C535))&amp;"|"&amp;IF(F535&lt;=32,"32","40"),Reference!$D$5:$D$12,0)),""))</f>
        <v/>
      </c>
      <c r="J535" s="11" t="str">
        <f t="shared" si="50"/>
        <v/>
      </c>
      <c r="K535" s="12"/>
      <c r="L535" s="11" t="str">
        <f t="shared" si="51"/>
        <v/>
      </c>
      <c r="M535" s="12"/>
      <c r="N535" s="12"/>
      <c r="O535" s="11" t="str">
        <f t="shared" si="52"/>
        <v/>
      </c>
      <c r="P535" s="10" t="str">
        <f t="shared" si="53"/>
        <v/>
      </c>
    </row>
    <row r="536" spans="1:16" ht="15" customHeight="1" x14ac:dyDescent="0.2">
      <c r="A536" s="8"/>
      <c r="B536" s="8"/>
      <c r="C536" s="8"/>
      <c r="D536" s="9"/>
      <c r="E536" s="9"/>
      <c r="F536" s="8"/>
      <c r="G536" s="10" t="str">
        <f t="shared" si="48"/>
        <v/>
      </c>
      <c r="H536" s="10" t="str">
        <f t="shared" si="49"/>
        <v/>
      </c>
      <c r="I536" s="11" t="str">
        <f>IF(B536="Recreation",IFERROR(INDEX(RecPricing!$E$5:$E$10,MATCH(IF(C536="Mixed","External",IF(C536="Unknown","UoB",C536))&amp;"|"&amp;IF(F536&lt;=24,"&lt;=24",IF(F536&lt;=32,"&lt;=32","Above32")),RecPricing!$F$5:$F$10,0)),""),IFERROR(INDEX(Reference!$E$5:$E$12,MATCH(B536&amp;"|"&amp;IF(C536="Mixed","External",IF(C536="Unknown","UoB",C536))&amp;"|"&amp;IF(F536&lt;=32,"32","40"),Reference!$D$5:$D$12,0)),""))</f>
        <v/>
      </c>
      <c r="J536" s="11" t="str">
        <f t="shared" si="50"/>
        <v/>
      </c>
      <c r="K536" s="12"/>
      <c r="L536" s="11" t="str">
        <f t="shared" si="51"/>
        <v/>
      </c>
      <c r="M536" s="12"/>
      <c r="N536" s="12"/>
      <c r="O536" s="11" t="str">
        <f t="shared" si="52"/>
        <v/>
      </c>
      <c r="P536" s="10" t="str">
        <f t="shared" si="53"/>
        <v/>
      </c>
    </row>
    <row r="537" spans="1:16" ht="15" customHeight="1" x14ac:dyDescent="0.2">
      <c r="A537" s="8"/>
      <c r="B537" s="8"/>
      <c r="C537" s="8"/>
      <c r="D537" s="9"/>
      <c r="E537" s="9"/>
      <c r="F537" s="8"/>
      <c r="G537" s="10" t="str">
        <f t="shared" si="48"/>
        <v/>
      </c>
      <c r="H537" s="10" t="str">
        <f t="shared" si="49"/>
        <v/>
      </c>
      <c r="I537" s="11" t="str">
        <f>IF(B537="Recreation",IFERROR(INDEX(RecPricing!$E$5:$E$10,MATCH(IF(C537="Mixed","External",IF(C537="Unknown","UoB",C537))&amp;"|"&amp;IF(F537&lt;=24,"&lt;=24",IF(F537&lt;=32,"&lt;=32","Above32")),RecPricing!$F$5:$F$10,0)),""),IFERROR(INDEX(Reference!$E$5:$E$12,MATCH(B537&amp;"|"&amp;IF(C537="Mixed","External",IF(C537="Unknown","UoB",C537))&amp;"|"&amp;IF(F537&lt;=32,"32","40"),Reference!$D$5:$D$12,0)),""))</f>
        <v/>
      </c>
      <c r="J537" s="11" t="str">
        <f t="shared" si="50"/>
        <v/>
      </c>
      <c r="K537" s="12"/>
      <c r="L537" s="11" t="str">
        <f t="shared" si="51"/>
        <v/>
      </c>
      <c r="M537" s="12"/>
      <c r="N537" s="12"/>
      <c r="O537" s="11" t="str">
        <f t="shared" si="52"/>
        <v/>
      </c>
      <c r="P537" s="10" t="str">
        <f t="shared" si="53"/>
        <v/>
      </c>
    </row>
    <row r="538" spans="1:16" ht="15" customHeight="1" x14ac:dyDescent="0.2">
      <c r="A538" s="8"/>
      <c r="B538" s="8"/>
      <c r="C538" s="8"/>
      <c r="D538" s="9"/>
      <c r="E538" s="9"/>
      <c r="F538" s="8"/>
      <c r="G538" s="10" t="str">
        <f t="shared" si="48"/>
        <v/>
      </c>
      <c r="H538" s="10" t="str">
        <f t="shared" si="49"/>
        <v/>
      </c>
      <c r="I538" s="11" t="str">
        <f>IF(B538="Recreation",IFERROR(INDEX(RecPricing!$E$5:$E$10,MATCH(IF(C538="Mixed","External",IF(C538="Unknown","UoB",C538))&amp;"|"&amp;IF(F538&lt;=24,"&lt;=24",IF(F538&lt;=32,"&lt;=32","Above32")),RecPricing!$F$5:$F$10,0)),""),IFERROR(INDEX(Reference!$E$5:$E$12,MATCH(B538&amp;"|"&amp;IF(C538="Mixed","External",IF(C538="Unknown","UoB",C538))&amp;"|"&amp;IF(F538&lt;=32,"32","40"),Reference!$D$5:$D$12,0)),""))</f>
        <v/>
      </c>
      <c r="J538" s="11" t="str">
        <f t="shared" si="50"/>
        <v/>
      </c>
      <c r="K538" s="12"/>
      <c r="L538" s="11" t="str">
        <f t="shared" si="51"/>
        <v/>
      </c>
      <c r="M538" s="12"/>
      <c r="N538" s="12"/>
      <c r="O538" s="11" t="str">
        <f t="shared" si="52"/>
        <v/>
      </c>
      <c r="P538" s="10" t="str">
        <f t="shared" si="53"/>
        <v/>
      </c>
    </row>
    <row r="539" spans="1:16" ht="15" customHeight="1" x14ac:dyDescent="0.2">
      <c r="A539" s="8"/>
      <c r="B539" s="8"/>
      <c r="C539" s="8"/>
      <c r="D539" s="9"/>
      <c r="E539" s="9"/>
      <c r="F539" s="8"/>
      <c r="G539" s="10" t="str">
        <f t="shared" si="48"/>
        <v/>
      </c>
      <c r="H539" s="10" t="str">
        <f t="shared" si="49"/>
        <v/>
      </c>
      <c r="I539" s="11" t="str">
        <f>IF(B539="Recreation",IFERROR(INDEX(RecPricing!$E$5:$E$10,MATCH(IF(C539="Mixed","External",IF(C539="Unknown","UoB",C539))&amp;"|"&amp;IF(F539&lt;=24,"&lt;=24",IF(F539&lt;=32,"&lt;=32","Above32")),RecPricing!$F$5:$F$10,0)),""),IFERROR(INDEX(Reference!$E$5:$E$12,MATCH(B539&amp;"|"&amp;IF(C539="Mixed","External",IF(C539="Unknown","UoB",C539))&amp;"|"&amp;IF(F539&lt;=32,"32","40"),Reference!$D$5:$D$12,0)),""))</f>
        <v/>
      </c>
      <c r="J539" s="11" t="str">
        <f t="shared" si="50"/>
        <v/>
      </c>
      <c r="K539" s="12"/>
      <c r="L539" s="11" t="str">
        <f t="shared" si="51"/>
        <v/>
      </c>
      <c r="M539" s="12"/>
      <c r="N539" s="12"/>
      <c r="O539" s="11" t="str">
        <f t="shared" si="52"/>
        <v/>
      </c>
      <c r="P539" s="10" t="str">
        <f t="shared" si="53"/>
        <v/>
      </c>
    </row>
    <row r="540" spans="1:16" ht="15" customHeight="1" x14ac:dyDescent="0.2">
      <c r="A540" s="8"/>
      <c r="B540" s="8"/>
      <c r="C540" s="8"/>
      <c r="D540" s="9"/>
      <c r="E540" s="9"/>
      <c r="F540" s="8"/>
      <c r="G540" s="10" t="str">
        <f t="shared" si="48"/>
        <v/>
      </c>
      <c r="H540" s="10" t="str">
        <f t="shared" si="49"/>
        <v/>
      </c>
      <c r="I540" s="11" t="str">
        <f>IF(B540="Recreation",IFERROR(INDEX(RecPricing!$E$5:$E$10,MATCH(IF(C540="Mixed","External",IF(C540="Unknown","UoB",C540))&amp;"|"&amp;IF(F540&lt;=24,"&lt;=24",IF(F540&lt;=32,"&lt;=32","Above32")),RecPricing!$F$5:$F$10,0)),""),IFERROR(INDEX(Reference!$E$5:$E$12,MATCH(B540&amp;"|"&amp;IF(C540="Mixed","External",IF(C540="Unknown","UoB",C540))&amp;"|"&amp;IF(F540&lt;=32,"32","40"),Reference!$D$5:$D$12,0)),""))</f>
        <v/>
      </c>
      <c r="J540" s="11" t="str">
        <f t="shared" si="50"/>
        <v/>
      </c>
      <c r="K540" s="12"/>
      <c r="L540" s="11" t="str">
        <f t="shared" si="51"/>
        <v/>
      </c>
      <c r="M540" s="12"/>
      <c r="N540" s="12"/>
      <c r="O540" s="11" t="str">
        <f t="shared" si="52"/>
        <v/>
      </c>
      <c r="P540" s="10" t="str">
        <f t="shared" si="53"/>
        <v/>
      </c>
    </row>
    <row r="541" spans="1:16" ht="15" customHeight="1" x14ac:dyDescent="0.2">
      <c r="A541" s="8"/>
      <c r="B541" s="8"/>
      <c r="C541" s="8"/>
      <c r="D541" s="9"/>
      <c r="E541" s="9"/>
      <c r="F541" s="8"/>
      <c r="G541" s="10" t="str">
        <f t="shared" si="48"/>
        <v/>
      </c>
      <c r="H541" s="10" t="str">
        <f t="shared" si="49"/>
        <v/>
      </c>
      <c r="I541" s="11" t="str">
        <f>IF(B541="Recreation",IFERROR(INDEX(RecPricing!$E$5:$E$10,MATCH(IF(C541="Mixed","External",IF(C541="Unknown","UoB",C541))&amp;"|"&amp;IF(F541&lt;=24,"&lt;=24",IF(F541&lt;=32,"&lt;=32","Above32")),RecPricing!$F$5:$F$10,0)),""),IFERROR(INDEX(Reference!$E$5:$E$12,MATCH(B541&amp;"|"&amp;IF(C541="Mixed","External",IF(C541="Unknown","UoB",C541))&amp;"|"&amp;IF(F541&lt;=32,"32","40"),Reference!$D$5:$D$12,0)),""))</f>
        <v/>
      </c>
      <c r="J541" s="11" t="str">
        <f t="shared" si="50"/>
        <v/>
      </c>
      <c r="K541" s="12"/>
      <c r="L541" s="11" t="str">
        <f t="shared" si="51"/>
        <v/>
      </c>
      <c r="M541" s="12"/>
      <c r="N541" s="12"/>
      <c r="O541" s="11" t="str">
        <f t="shared" si="52"/>
        <v/>
      </c>
      <c r="P541" s="10" t="str">
        <f t="shared" si="53"/>
        <v/>
      </c>
    </row>
    <row r="542" spans="1:16" ht="15" customHeight="1" x14ac:dyDescent="0.2">
      <c r="A542" s="8"/>
      <c r="B542" s="8"/>
      <c r="C542" s="8"/>
      <c r="D542" s="9"/>
      <c r="E542" s="9"/>
      <c r="F542" s="8"/>
      <c r="G542" s="10" t="str">
        <f t="shared" si="48"/>
        <v/>
      </c>
      <c r="H542" s="10" t="str">
        <f t="shared" si="49"/>
        <v/>
      </c>
      <c r="I542" s="11" t="str">
        <f>IF(B542="Recreation",IFERROR(INDEX(RecPricing!$E$5:$E$10,MATCH(IF(C542="Mixed","External",IF(C542="Unknown","UoB",C542))&amp;"|"&amp;IF(F542&lt;=24,"&lt;=24",IF(F542&lt;=32,"&lt;=32","Above32")),RecPricing!$F$5:$F$10,0)),""),IFERROR(INDEX(Reference!$E$5:$E$12,MATCH(B542&amp;"|"&amp;IF(C542="Mixed","External",IF(C542="Unknown","UoB",C542))&amp;"|"&amp;IF(F542&lt;=32,"32","40"),Reference!$D$5:$D$12,0)),""))</f>
        <v/>
      </c>
      <c r="J542" s="11" t="str">
        <f t="shared" si="50"/>
        <v/>
      </c>
      <c r="K542" s="12"/>
      <c r="L542" s="11" t="str">
        <f t="shared" si="51"/>
        <v/>
      </c>
      <c r="M542" s="12"/>
      <c r="N542" s="12"/>
      <c r="O542" s="11" t="str">
        <f t="shared" si="52"/>
        <v/>
      </c>
      <c r="P542" s="10" t="str">
        <f t="shared" si="53"/>
        <v/>
      </c>
    </row>
    <row r="543" spans="1:16" ht="15" customHeight="1" x14ac:dyDescent="0.2">
      <c r="A543" s="8"/>
      <c r="B543" s="8"/>
      <c r="C543" s="8"/>
      <c r="D543" s="9"/>
      <c r="E543" s="9"/>
      <c r="F543" s="8"/>
      <c r="G543" s="10" t="str">
        <f t="shared" si="48"/>
        <v/>
      </c>
      <c r="H543" s="10" t="str">
        <f t="shared" si="49"/>
        <v/>
      </c>
      <c r="I543" s="11" t="str">
        <f>IF(B543="Recreation",IFERROR(INDEX(RecPricing!$E$5:$E$10,MATCH(IF(C543="Mixed","External",IF(C543="Unknown","UoB",C543))&amp;"|"&amp;IF(F543&lt;=24,"&lt;=24",IF(F543&lt;=32,"&lt;=32","Above32")),RecPricing!$F$5:$F$10,0)),""),IFERROR(INDEX(Reference!$E$5:$E$12,MATCH(B543&amp;"|"&amp;IF(C543="Mixed","External",IF(C543="Unknown","UoB",C543))&amp;"|"&amp;IF(F543&lt;=32,"32","40"),Reference!$D$5:$D$12,0)),""))</f>
        <v/>
      </c>
      <c r="J543" s="11" t="str">
        <f t="shared" si="50"/>
        <v/>
      </c>
      <c r="K543" s="12"/>
      <c r="L543" s="11" t="str">
        <f t="shared" si="51"/>
        <v/>
      </c>
      <c r="M543" s="12"/>
      <c r="N543" s="12"/>
      <c r="O543" s="11" t="str">
        <f t="shared" si="52"/>
        <v/>
      </c>
      <c r="P543" s="10" t="str">
        <f t="shared" si="53"/>
        <v/>
      </c>
    </row>
    <row r="544" spans="1:16" ht="15" customHeight="1" x14ac:dyDescent="0.2">
      <c r="A544" s="8"/>
      <c r="B544" s="8"/>
      <c r="C544" s="8"/>
      <c r="D544" s="9"/>
      <c r="E544" s="9"/>
      <c r="F544" s="8"/>
      <c r="G544" s="10" t="str">
        <f t="shared" si="48"/>
        <v/>
      </c>
      <c r="H544" s="10" t="str">
        <f t="shared" si="49"/>
        <v/>
      </c>
      <c r="I544" s="11" t="str">
        <f>IF(B544="Recreation",IFERROR(INDEX(RecPricing!$E$5:$E$10,MATCH(IF(C544="Mixed","External",IF(C544="Unknown","UoB",C544))&amp;"|"&amp;IF(F544&lt;=24,"&lt;=24",IF(F544&lt;=32,"&lt;=32","Above32")),RecPricing!$F$5:$F$10,0)),""),IFERROR(INDEX(Reference!$E$5:$E$12,MATCH(B544&amp;"|"&amp;IF(C544="Mixed","External",IF(C544="Unknown","UoB",C544))&amp;"|"&amp;IF(F544&lt;=32,"32","40"),Reference!$D$5:$D$12,0)),""))</f>
        <v/>
      </c>
      <c r="J544" s="11" t="str">
        <f t="shared" si="50"/>
        <v/>
      </c>
      <c r="K544" s="12"/>
      <c r="L544" s="11" t="str">
        <f t="shared" si="51"/>
        <v/>
      </c>
      <c r="M544" s="12"/>
      <c r="N544" s="12"/>
      <c r="O544" s="11" t="str">
        <f t="shared" si="52"/>
        <v/>
      </c>
      <c r="P544" s="10" t="str">
        <f t="shared" si="53"/>
        <v/>
      </c>
    </row>
    <row r="545" spans="1:16" ht="15" customHeight="1" x14ac:dyDescent="0.2">
      <c r="A545" s="8"/>
      <c r="B545" s="8"/>
      <c r="C545" s="8"/>
      <c r="D545" s="9"/>
      <c r="E545" s="9"/>
      <c r="F545" s="8"/>
      <c r="G545" s="10" t="str">
        <f t="shared" si="48"/>
        <v/>
      </c>
      <c r="H545" s="10" t="str">
        <f t="shared" si="49"/>
        <v/>
      </c>
      <c r="I545" s="11" t="str">
        <f>IF(B545="Recreation",IFERROR(INDEX(RecPricing!$E$5:$E$10,MATCH(IF(C545="Mixed","External",IF(C545="Unknown","UoB",C545))&amp;"|"&amp;IF(F545&lt;=24,"&lt;=24",IF(F545&lt;=32,"&lt;=32","Above32")),RecPricing!$F$5:$F$10,0)),""),IFERROR(INDEX(Reference!$E$5:$E$12,MATCH(B545&amp;"|"&amp;IF(C545="Mixed","External",IF(C545="Unknown","UoB",C545))&amp;"|"&amp;IF(F545&lt;=32,"32","40"),Reference!$D$5:$D$12,0)),""))</f>
        <v/>
      </c>
      <c r="J545" s="11" t="str">
        <f t="shared" si="50"/>
        <v/>
      </c>
      <c r="K545" s="12"/>
      <c r="L545" s="11" t="str">
        <f t="shared" si="51"/>
        <v/>
      </c>
      <c r="M545" s="12"/>
      <c r="N545" s="12"/>
      <c r="O545" s="11" t="str">
        <f t="shared" si="52"/>
        <v/>
      </c>
      <c r="P545" s="10" t="str">
        <f t="shared" si="53"/>
        <v/>
      </c>
    </row>
    <row r="546" spans="1:16" ht="15" customHeight="1" x14ac:dyDescent="0.2">
      <c r="A546" s="8"/>
      <c r="B546" s="8"/>
      <c r="C546" s="8"/>
      <c r="D546" s="9"/>
      <c r="E546" s="9"/>
      <c r="F546" s="8"/>
      <c r="G546" s="10" t="str">
        <f t="shared" si="48"/>
        <v/>
      </c>
      <c r="H546" s="10" t="str">
        <f t="shared" si="49"/>
        <v/>
      </c>
      <c r="I546" s="11" t="str">
        <f>IF(B546="Recreation",IFERROR(INDEX(RecPricing!$E$5:$E$10,MATCH(IF(C546="Mixed","External",IF(C546="Unknown","UoB",C546))&amp;"|"&amp;IF(F546&lt;=24,"&lt;=24",IF(F546&lt;=32,"&lt;=32","Above32")),RecPricing!$F$5:$F$10,0)),""),IFERROR(INDEX(Reference!$E$5:$E$12,MATCH(B546&amp;"|"&amp;IF(C546="Mixed","External",IF(C546="Unknown","UoB",C546))&amp;"|"&amp;IF(F546&lt;=32,"32","40"),Reference!$D$5:$D$12,0)),""))</f>
        <v/>
      </c>
      <c r="J546" s="11" t="str">
        <f t="shared" si="50"/>
        <v/>
      </c>
      <c r="K546" s="12"/>
      <c r="L546" s="11" t="str">
        <f t="shared" si="51"/>
        <v/>
      </c>
      <c r="M546" s="12"/>
      <c r="N546" s="12"/>
      <c r="O546" s="11" t="str">
        <f t="shared" si="52"/>
        <v/>
      </c>
      <c r="P546" s="10" t="str">
        <f t="shared" si="53"/>
        <v/>
      </c>
    </row>
    <row r="547" spans="1:16" ht="15" customHeight="1" x14ac:dyDescent="0.2">
      <c r="A547" s="8"/>
      <c r="B547" s="8"/>
      <c r="C547" s="8"/>
      <c r="D547" s="9"/>
      <c r="E547" s="9"/>
      <c r="F547" s="8"/>
      <c r="G547" s="10" t="str">
        <f t="shared" si="48"/>
        <v/>
      </c>
      <c r="H547" s="10" t="str">
        <f t="shared" si="49"/>
        <v/>
      </c>
      <c r="I547" s="11" t="str">
        <f>IF(B547="Recreation",IFERROR(INDEX(RecPricing!$E$5:$E$10,MATCH(IF(C547="Mixed","External",IF(C547="Unknown","UoB",C547))&amp;"|"&amp;IF(F547&lt;=24,"&lt;=24",IF(F547&lt;=32,"&lt;=32","Above32")),RecPricing!$F$5:$F$10,0)),""),IFERROR(INDEX(Reference!$E$5:$E$12,MATCH(B547&amp;"|"&amp;IF(C547="Mixed","External",IF(C547="Unknown","UoB",C547))&amp;"|"&amp;IF(F547&lt;=32,"32","40"),Reference!$D$5:$D$12,0)),""))</f>
        <v/>
      </c>
      <c r="J547" s="11" t="str">
        <f t="shared" si="50"/>
        <v/>
      </c>
      <c r="K547" s="12"/>
      <c r="L547" s="11" t="str">
        <f t="shared" si="51"/>
        <v/>
      </c>
      <c r="M547" s="12"/>
      <c r="N547" s="12"/>
      <c r="O547" s="11" t="str">
        <f t="shared" si="52"/>
        <v/>
      </c>
      <c r="P547" s="10" t="str">
        <f t="shared" si="53"/>
        <v/>
      </c>
    </row>
    <row r="548" spans="1:16" ht="15" customHeight="1" x14ac:dyDescent="0.2">
      <c r="A548" s="8"/>
      <c r="B548" s="8"/>
      <c r="C548" s="8"/>
      <c r="D548" s="9"/>
      <c r="E548" s="9"/>
      <c r="F548" s="8"/>
      <c r="G548" s="10" t="str">
        <f t="shared" si="48"/>
        <v/>
      </c>
      <c r="H548" s="10" t="str">
        <f t="shared" si="49"/>
        <v/>
      </c>
      <c r="I548" s="11" t="str">
        <f>IF(B548="Recreation",IFERROR(INDEX(RecPricing!$E$5:$E$10,MATCH(IF(C548="Mixed","External",IF(C548="Unknown","UoB",C548))&amp;"|"&amp;IF(F548&lt;=24,"&lt;=24",IF(F548&lt;=32,"&lt;=32","Above32")),RecPricing!$F$5:$F$10,0)),""),IFERROR(INDEX(Reference!$E$5:$E$12,MATCH(B548&amp;"|"&amp;IF(C548="Mixed","External",IF(C548="Unknown","UoB",C548))&amp;"|"&amp;IF(F548&lt;=32,"32","40"),Reference!$D$5:$D$12,0)),""))</f>
        <v/>
      </c>
      <c r="J548" s="11" t="str">
        <f t="shared" si="50"/>
        <v/>
      </c>
      <c r="K548" s="12"/>
      <c r="L548" s="11" t="str">
        <f t="shared" si="51"/>
        <v/>
      </c>
      <c r="M548" s="12"/>
      <c r="N548" s="12"/>
      <c r="O548" s="11" t="str">
        <f t="shared" si="52"/>
        <v/>
      </c>
      <c r="P548" s="10" t="str">
        <f t="shared" si="53"/>
        <v/>
      </c>
    </row>
    <row r="549" spans="1:16" ht="15" customHeight="1" x14ac:dyDescent="0.2">
      <c r="A549" s="8"/>
      <c r="B549" s="8"/>
      <c r="C549" s="8"/>
      <c r="D549" s="9"/>
      <c r="E549" s="9"/>
      <c r="F549" s="8"/>
      <c r="G549" s="10" t="str">
        <f t="shared" si="48"/>
        <v/>
      </c>
      <c r="H549" s="10" t="str">
        <f t="shared" si="49"/>
        <v/>
      </c>
      <c r="I549" s="11" t="str">
        <f>IF(B549="Recreation",IFERROR(INDEX(RecPricing!$E$5:$E$10,MATCH(IF(C549="Mixed","External",IF(C549="Unknown","UoB",C549))&amp;"|"&amp;IF(F549&lt;=24,"&lt;=24",IF(F549&lt;=32,"&lt;=32","Above32")),RecPricing!$F$5:$F$10,0)),""),IFERROR(INDEX(Reference!$E$5:$E$12,MATCH(B549&amp;"|"&amp;IF(C549="Mixed","External",IF(C549="Unknown","UoB",C549))&amp;"|"&amp;IF(F549&lt;=32,"32","40"),Reference!$D$5:$D$12,0)),""))</f>
        <v/>
      </c>
      <c r="J549" s="11" t="str">
        <f t="shared" si="50"/>
        <v/>
      </c>
      <c r="K549" s="12"/>
      <c r="L549" s="11" t="str">
        <f t="shared" si="51"/>
        <v/>
      </c>
      <c r="M549" s="12"/>
      <c r="N549" s="12"/>
      <c r="O549" s="11" t="str">
        <f t="shared" si="52"/>
        <v/>
      </c>
      <c r="P549" s="10" t="str">
        <f t="shared" si="53"/>
        <v/>
      </c>
    </row>
    <row r="550" spans="1:16" ht="15" customHeight="1" x14ac:dyDescent="0.2">
      <c r="A550" s="8"/>
      <c r="B550" s="8"/>
      <c r="C550" s="8"/>
      <c r="D550" s="9"/>
      <c r="E550" s="9"/>
      <c r="F550" s="8"/>
      <c r="G550" s="10" t="str">
        <f t="shared" si="48"/>
        <v/>
      </c>
      <c r="H550" s="10" t="str">
        <f t="shared" si="49"/>
        <v/>
      </c>
      <c r="I550" s="11" t="str">
        <f>IF(B550="Recreation",IFERROR(INDEX(RecPricing!$E$5:$E$10,MATCH(IF(C550="Mixed","External",IF(C550="Unknown","UoB",C550))&amp;"|"&amp;IF(F550&lt;=24,"&lt;=24",IF(F550&lt;=32,"&lt;=32","Above32")),RecPricing!$F$5:$F$10,0)),""),IFERROR(INDEX(Reference!$E$5:$E$12,MATCH(B550&amp;"|"&amp;IF(C550="Mixed","External",IF(C550="Unknown","UoB",C550))&amp;"|"&amp;IF(F550&lt;=32,"32","40"),Reference!$D$5:$D$12,0)),""))</f>
        <v/>
      </c>
      <c r="J550" s="11" t="str">
        <f t="shared" si="50"/>
        <v/>
      </c>
      <c r="K550" s="12"/>
      <c r="L550" s="11" t="str">
        <f t="shared" si="51"/>
        <v/>
      </c>
      <c r="M550" s="12"/>
      <c r="N550" s="12"/>
      <c r="O550" s="11" t="str">
        <f t="shared" si="52"/>
        <v/>
      </c>
      <c r="P550" s="10" t="str">
        <f t="shared" si="53"/>
        <v/>
      </c>
    </row>
    <row r="551" spans="1:16" ht="15" customHeight="1" x14ac:dyDescent="0.2">
      <c r="A551" s="8"/>
      <c r="B551" s="8"/>
      <c r="C551" s="8"/>
      <c r="D551" s="9"/>
      <c r="E551" s="9"/>
      <c r="F551" s="8"/>
      <c r="G551" s="10" t="str">
        <f t="shared" si="48"/>
        <v/>
      </c>
      <c r="H551" s="10" t="str">
        <f t="shared" si="49"/>
        <v/>
      </c>
      <c r="I551" s="11" t="str">
        <f>IF(B551="Recreation",IFERROR(INDEX(RecPricing!$E$5:$E$10,MATCH(IF(C551="Mixed","External",IF(C551="Unknown","UoB",C551))&amp;"|"&amp;IF(F551&lt;=24,"&lt;=24",IF(F551&lt;=32,"&lt;=32","Above32")),RecPricing!$F$5:$F$10,0)),""),IFERROR(INDEX(Reference!$E$5:$E$12,MATCH(B551&amp;"|"&amp;IF(C551="Mixed","External",IF(C551="Unknown","UoB",C551))&amp;"|"&amp;IF(F551&lt;=32,"32","40"),Reference!$D$5:$D$12,0)),""))</f>
        <v/>
      </c>
      <c r="J551" s="11" t="str">
        <f t="shared" si="50"/>
        <v/>
      </c>
      <c r="K551" s="12"/>
      <c r="L551" s="11" t="str">
        <f t="shared" si="51"/>
        <v/>
      </c>
      <c r="M551" s="12"/>
      <c r="N551" s="12"/>
      <c r="O551" s="11" t="str">
        <f t="shared" si="52"/>
        <v/>
      </c>
      <c r="P551" s="10" t="str">
        <f t="shared" si="53"/>
        <v/>
      </c>
    </row>
    <row r="552" spans="1:16" ht="15" customHeight="1" x14ac:dyDescent="0.2">
      <c r="A552" s="8"/>
      <c r="B552" s="8"/>
      <c r="C552" s="8"/>
      <c r="D552" s="9"/>
      <c r="E552" s="9"/>
      <c r="F552" s="8"/>
      <c r="G552" s="10" t="str">
        <f t="shared" si="48"/>
        <v/>
      </c>
      <c r="H552" s="10" t="str">
        <f t="shared" si="49"/>
        <v/>
      </c>
      <c r="I552" s="11" t="str">
        <f>IF(B552="Recreation",IFERROR(INDEX(RecPricing!$E$5:$E$10,MATCH(IF(C552="Mixed","External",IF(C552="Unknown","UoB",C552))&amp;"|"&amp;IF(F552&lt;=24,"&lt;=24",IF(F552&lt;=32,"&lt;=32","Above32")),RecPricing!$F$5:$F$10,0)),""),IFERROR(INDEX(Reference!$E$5:$E$12,MATCH(B552&amp;"|"&amp;IF(C552="Mixed","External",IF(C552="Unknown","UoB",C552))&amp;"|"&amp;IF(F552&lt;=32,"32","40"),Reference!$D$5:$D$12,0)),""))</f>
        <v/>
      </c>
      <c r="J552" s="11" t="str">
        <f t="shared" si="50"/>
        <v/>
      </c>
      <c r="K552" s="12"/>
      <c r="L552" s="11" t="str">
        <f t="shared" si="51"/>
        <v/>
      </c>
      <c r="M552" s="12"/>
      <c r="N552" s="12"/>
      <c r="O552" s="11" t="str">
        <f t="shared" si="52"/>
        <v/>
      </c>
      <c r="P552" s="10" t="str">
        <f t="shared" si="53"/>
        <v/>
      </c>
    </row>
    <row r="553" spans="1:16" ht="15" customHeight="1" x14ac:dyDescent="0.2">
      <c r="A553" s="8"/>
      <c r="B553" s="8"/>
      <c r="C553" s="8"/>
      <c r="D553" s="9"/>
      <c r="E553" s="9"/>
      <c r="F553" s="8"/>
      <c r="G553" s="10" t="str">
        <f t="shared" si="48"/>
        <v/>
      </c>
      <c r="H553" s="10" t="str">
        <f t="shared" si="49"/>
        <v/>
      </c>
      <c r="I553" s="11" t="str">
        <f>IF(B553="Recreation",IFERROR(INDEX(RecPricing!$E$5:$E$10,MATCH(IF(C553="Mixed","External",IF(C553="Unknown","UoB",C553))&amp;"|"&amp;IF(F553&lt;=24,"&lt;=24",IF(F553&lt;=32,"&lt;=32","Above32")),RecPricing!$F$5:$F$10,0)),""),IFERROR(INDEX(Reference!$E$5:$E$12,MATCH(B553&amp;"|"&amp;IF(C553="Mixed","External",IF(C553="Unknown","UoB",C553))&amp;"|"&amp;IF(F553&lt;=32,"32","40"),Reference!$D$5:$D$12,0)),""))</f>
        <v/>
      </c>
      <c r="J553" s="11" t="str">
        <f t="shared" si="50"/>
        <v/>
      </c>
      <c r="K553" s="12"/>
      <c r="L553" s="11" t="str">
        <f t="shared" si="51"/>
        <v/>
      </c>
      <c r="M553" s="12"/>
      <c r="N553" s="12"/>
      <c r="O553" s="11" t="str">
        <f t="shared" si="52"/>
        <v/>
      </c>
      <c r="P553" s="10" t="str">
        <f t="shared" si="53"/>
        <v/>
      </c>
    </row>
    <row r="554" spans="1:16" ht="15" customHeight="1" x14ac:dyDescent="0.2">
      <c r="A554" s="8"/>
      <c r="B554" s="8"/>
      <c r="C554" s="8"/>
      <c r="D554" s="9"/>
      <c r="E554" s="9"/>
      <c r="F554" s="8"/>
      <c r="G554" s="10" t="str">
        <f t="shared" si="48"/>
        <v/>
      </c>
      <c r="H554" s="10" t="str">
        <f t="shared" si="49"/>
        <v/>
      </c>
      <c r="I554" s="11" t="str">
        <f>IF(B554="Recreation",IFERROR(INDEX(RecPricing!$E$5:$E$10,MATCH(IF(C554="Mixed","External",IF(C554="Unknown","UoB",C554))&amp;"|"&amp;IF(F554&lt;=24,"&lt;=24",IF(F554&lt;=32,"&lt;=32","Above32")),RecPricing!$F$5:$F$10,0)),""),IFERROR(INDEX(Reference!$E$5:$E$12,MATCH(B554&amp;"|"&amp;IF(C554="Mixed","External",IF(C554="Unknown","UoB",C554))&amp;"|"&amp;IF(F554&lt;=32,"32","40"),Reference!$D$5:$D$12,0)),""))</f>
        <v/>
      </c>
      <c r="J554" s="11" t="str">
        <f t="shared" si="50"/>
        <v/>
      </c>
      <c r="K554" s="12"/>
      <c r="L554" s="11" t="str">
        <f t="shared" si="51"/>
        <v/>
      </c>
      <c r="M554" s="12"/>
      <c r="N554" s="12"/>
      <c r="O554" s="11" t="str">
        <f t="shared" si="52"/>
        <v/>
      </c>
      <c r="P554" s="10" t="str">
        <f t="shared" si="53"/>
        <v/>
      </c>
    </row>
    <row r="555" spans="1:16" ht="15" customHeight="1" x14ac:dyDescent="0.2">
      <c r="A555" s="8"/>
      <c r="B555" s="8"/>
      <c r="C555" s="8"/>
      <c r="D555" s="9"/>
      <c r="E555" s="9"/>
      <c r="F555" s="8"/>
      <c r="G555" s="10" t="str">
        <f t="shared" si="48"/>
        <v/>
      </c>
      <c r="H555" s="10" t="str">
        <f t="shared" si="49"/>
        <v/>
      </c>
      <c r="I555" s="11" t="str">
        <f>IF(B555="Recreation",IFERROR(INDEX(RecPricing!$E$5:$E$10,MATCH(IF(C555="Mixed","External",IF(C555="Unknown","UoB",C555))&amp;"|"&amp;IF(F555&lt;=24,"&lt;=24",IF(F555&lt;=32,"&lt;=32","Above32")),RecPricing!$F$5:$F$10,0)),""),IFERROR(INDEX(Reference!$E$5:$E$12,MATCH(B555&amp;"|"&amp;IF(C555="Mixed","External",IF(C555="Unknown","UoB",C555))&amp;"|"&amp;IF(F555&lt;=32,"32","40"),Reference!$D$5:$D$12,0)),""))</f>
        <v/>
      </c>
      <c r="J555" s="11" t="str">
        <f t="shared" si="50"/>
        <v/>
      </c>
      <c r="K555" s="12"/>
      <c r="L555" s="11" t="str">
        <f t="shared" si="51"/>
        <v/>
      </c>
      <c r="M555" s="12"/>
      <c r="N555" s="12"/>
      <c r="O555" s="11" t="str">
        <f t="shared" si="52"/>
        <v/>
      </c>
      <c r="P555" s="10" t="str">
        <f t="shared" si="53"/>
        <v/>
      </c>
    </row>
    <row r="556" spans="1:16" ht="15" customHeight="1" x14ac:dyDescent="0.2">
      <c r="A556" s="8"/>
      <c r="B556" s="8"/>
      <c r="C556" s="8"/>
      <c r="D556" s="9"/>
      <c r="E556" s="9"/>
      <c r="F556" s="8"/>
      <c r="G556" s="10" t="str">
        <f t="shared" si="48"/>
        <v/>
      </c>
      <c r="H556" s="10" t="str">
        <f t="shared" si="49"/>
        <v/>
      </c>
      <c r="I556" s="11" t="str">
        <f>IF(B556="Recreation",IFERROR(INDEX(RecPricing!$E$5:$E$10,MATCH(IF(C556="Mixed","External",IF(C556="Unknown","UoB",C556))&amp;"|"&amp;IF(F556&lt;=24,"&lt;=24",IF(F556&lt;=32,"&lt;=32","Above32")),RecPricing!$F$5:$F$10,0)),""),IFERROR(INDEX(Reference!$E$5:$E$12,MATCH(B556&amp;"|"&amp;IF(C556="Mixed","External",IF(C556="Unknown","UoB",C556))&amp;"|"&amp;IF(F556&lt;=32,"32","40"),Reference!$D$5:$D$12,0)),""))</f>
        <v/>
      </c>
      <c r="J556" s="11" t="str">
        <f t="shared" si="50"/>
        <v/>
      </c>
      <c r="K556" s="12"/>
      <c r="L556" s="11" t="str">
        <f t="shared" si="51"/>
        <v/>
      </c>
      <c r="M556" s="12"/>
      <c r="N556" s="12"/>
      <c r="O556" s="11" t="str">
        <f t="shared" si="52"/>
        <v/>
      </c>
      <c r="P556" s="10" t="str">
        <f t="shared" si="53"/>
        <v/>
      </c>
    </row>
    <row r="557" spans="1:16" ht="15" customHeight="1" x14ac:dyDescent="0.2">
      <c r="A557" s="8"/>
      <c r="B557" s="8"/>
      <c r="C557" s="8"/>
      <c r="D557" s="9"/>
      <c r="E557" s="9"/>
      <c r="F557" s="8"/>
      <c r="G557" s="10" t="str">
        <f t="shared" si="48"/>
        <v/>
      </c>
      <c r="H557" s="10" t="str">
        <f t="shared" si="49"/>
        <v/>
      </c>
      <c r="I557" s="11" t="str">
        <f>IF(B557="Recreation",IFERROR(INDEX(RecPricing!$E$5:$E$10,MATCH(IF(C557="Mixed","External",IF(C557="Unknown","UoB",C557))&amp;"|"&amp;IF(F557&lt;=24,"&lt;=24",IF(F557&lt;=32,"&lt;=32","Above32")),RecPricing!$F$5:$F$10,0)),""),IFERROR(INDEX(Reference!$E$5:$E$12,MATCH(B557&amp;"|"&amp;IF(C557="Mixed","External",IF(C557="Unknown","UoB",C557))&amp;"|"&amp;IF(F557&lt;=32,"32","40"),Reference!$D$5:$D$12,0)),""))</f>
        <v/>
      </c>
      <c r="J557" s="11" t="str">
        <f t="shared" si="50"/>
        <v/>
      </c>
      <c r="K557" s="12"/>
      <c r="L557" s="11" t="str">
        <f t="shared" si="51"/>
        <v/>
      </c>
      <c r="M557" s="12"/>
      <c r="N557" s="12"/>
      <c r="O557" s="11" t="str">
        <f t="shared" si="52"/>
        <v/>
      </c>
      <c r="P557" s="10" t="str">
        <f t="shared" si="53"/>
        <v/>
      </c>
    </row>
    <row r="558" spans="1:16" ht="15" customHeight="1" x14ac:dyDescent="0.2">
      <c r="A558" s="8"/>
      <c r="B558" s="8"/>
      <c r="C558" s="8"/>
      <c r="D558" s="9"/>
      <c r="E558" s="9"/>
      <c r="F558" s="8"/>
      <c r="G558" s="10" t="str">
        <f t="shared" si="48"/>
        <v/>
      </c>
      <c r="H558" s="10" t="str">
        <f t="shared" si="49"/>
        <v/>
      </c>
      <c r="I558" s="11" t="str">
        <f>IF(B558="Recreation",IFERROR(INDEX(RecPricing!$E$5:$E$10,MATCH(IF(C558="Mixed","External",IF(C558="Unknown","UoB",C558))&amp;"|"&amp;IF(F558&lt;=24,"&lt;=24",IF(F558&lt;=32,"&lt;=32","Above32")),RecPricing!$F$5:$F$10,0)),""),IFERROR(INDEX(Reference!$E$5:$E$12,MATCH(B558&amp;"|"&amp;IF(C558="Mixed","External",IF(C558="Unknown","UoB",C558))&amp;"|"&amp;IF(F558&lt;=32,"32","40"),Reference!$D$5:$D$12,0)),""))</f>
        <v/>
      </c>
      <c r="J558" s="11" t="str">
        <f t="shared" si="50"/>
        <v/>
      </c>
      <c r="K558" s="12"/>
      <c r="L558" s="11" t="str">
        <f t="shared" si="51"/>
        <v/>
      </c>
      <c r="M558" s="12"/>
      <c r="N558" s="12"/>
      <c r="O558" s="11" t="str">
        <f t="shared" si="52"/>
        <v/>
      </c>
      <c r="P558" s="10" t="str">
        <f t="shared" si="53"/>
        <v/>
      </c>
    </row>
    <row r="559" spans="1:16" ht="15" customHeight="1" x14ac:dyDescent="0.2">
      <c r="A559" s="8"/>
      <c r="B559" s="8"/>
      <c r="C559" s="8"/>
      <c r="D559" s="9"/>
      <c r="E559" s="9"/>
      <c r="F559" s="8"/>
      <c r="G559" s="10" t="str">
        <f t="shared" si="48"/>
        <v/>
      </c>
      <c r="H559" s="10" t="str">
        <f t="shared" si="49"/>
        <v/>
      </c>
      <c r="I559" s="11" t="str">
        <f>IF(B559="Recreation",IFERROR(INDEX(RecPricing!$E$5:$E$10,MATCH(IF(C559="Mixed","External",IF(C559="Unknown","UoB",C559))&amp;"|"&amp;IF(F559&lt;=24,"&lt;=24",IF(F559&lt;=32,"&lt;=32","Above32")),RecPricing!$F$5:$F$10,0)),""),IFERROR(INDEX(Reference!$E$5:$E$12,MATCH(B559&amp;"|"&amp;IF(C559="Mixed","External",IF(C559="Unknown","UoB",C559))&amp;"|"&amp;IF(F559&lt;=32,"32","40"),Reference!$D$5:$D$12,0)),""))</f>
        <v/>
      </c>
      <c r="J559" s="11" t="str">
        <f t="shared" si="50"/>
        <v/>
      </c>
      <c r="K559" s="12"/>
      <c r="L559" s="11" t="str">
        <f t="shared" si="51"/>
        <v/>
      </c>
      <c r="M559" s="12"/>
      <c r="N559" s="12"/>
      <c r="O559" s="11" t="str">
        <f t="shared" si="52"/>
        <v/>
      </c>
      <c r="P559" s="10" t="str">
        <f t="shared" si="53"/>
        <v/>
      </c>
    </row>
    <row r="560" spans="1:16" ht="15" customHeight="1" x14ac:dyDescent="0.2">
      <c r="A560" s="8"/>
      <c r="B560" s="8"/>
      <c r="C560" s="8"/>
      <c r="D560" s="9"/>
      <c r="E560" s="9"/>
      <c r="F560" s="8"/>
      <c r="G560" s="10" t="str">
        <f t="shared" si="48"/>
        <v/>
      </c>
      <c r="H560" s="10" t="str">
        <f t="shared" si="49"/>
        <v/>
      </c>
      <c r="I560" s="11" t="str">
        <f>IF(B560="Recreation",IFERROR(INDEX(RecPricing!$E$5:$E$10,MATCH(IF(C560="Mixed","External",IF(C560="Unknown","UoB",C560))&amp;"|"&amp;IF(F560&lt;=24,"&lt;=24",IF(F560&lt;=32,"&lt;=32","Above32")),RecPricing!$F$5:$F$10,0)),""),IFERROR(INDEX(Reference!$E$5:$E$12,MATCH(B560&amp;"|"&amp;IF(C560="Mixed","External",IF(C560="Unknown","UoB",C560))&amp;"|"&amp;IF(F560&lt;=32,"32","40"),Reference!$D$5:$D$12,0)),""))</f>
        <v/>
      </c>
      <c r="J560" s="11" t="str">
        <f t="shared" si="50"/>
        <v/>
      </c>
      <c r="K560" s="12"/>
      <c r="L560" s="11" t="str">
        <f t="shared" si="51"/>
        <v/>
      </c>
      <c r="M560" s="12"/>
      <c r="N560" s="12"/>
      <c r="O560" s="11" t="str">
        <f t="shared" si="52"/>
        <v/>
      </c>
      <c r="P560" s="10" t="str">
        <f t="shared" si="53"/>
        <v/>
      </c>
    </row>
    <row r="561" spans="1:16" ht="15" customHeight="1" x14ac:dyDescent="0.2">
      <c r="A561" s="8"/>
      <c r="B561" s="8"/>
      <c r="C561" s="8"/>
      <c r="D561" s="9"/>
      <c r="E561" s="9"/>
      <c r="F561" s="8"/>
      <c r="G561" s="10" t="str">
        <f t="shared" si="48"/>
        <v/>
      </c>
      <c r="H561" s="10" t="str">
        <f t="shared" si="49"/>
        <v/>
      </c>
      <c r="I561" s="11" t="str">
        <f>IF(B561="Recreation",IFERROR(INDEX(RecPricing!$E$5:$E$10,MATCH(IF(C561="Mixed","External",IF(C561="Unknown","UoB",C561))&amp;"|"&amp;IF(F561&lt;=24,"&lt;=24",IF(F561&lt;=32,"&lt;=32","Above32")),RecPricing!$F$5:$F$10,0)),""),IFERROR(INDEX(Reference!$E$5:$E$12,MATCH(B561&amp;"|"&amp;IF(C561="Mixed","External",IF(C561="Unknown","UoB",C561))&amp;"|"&amp;IF(F561&lt;=32,"32","40"),Reference!$D$5:$D$12,0)),""))</f>
        <v/>
      </c>
      <c r="J561" s="11" t="str">
        <f t="shared" si="50"/>
        <v/>
      </c>
      <c r="K561" s="12"/>
      <c r="L561" s="11" t="str">
        <f t="shared" si="51"/>
        <v/>
      </c>
      <c r="M561" s="12"/>
      <c r="N561" s="12"/>
      <c r="O561" s="11" t="str">
        <f t="shared" si="52"/>
        <v/>
      </c>
      <c r="P561" s="10" t="str">
        <f t="shared" si="53"/>
        <v/>
      </c>
    </row>
    <row r="562" spans="1:16" ht="15" customHeight="1" x14ac:dyDescent="0.2">
      <c r="A562" s="8"/>
      <c r="B562" s="8"/>
      <c r="C562" s="8"/>
      <c r="D562" s="9"/>
      <c r="E562" s="9"/>
      <c r="F562" s="8"/>
      <c r="G562" s="10" t="str">
        <f t="shared" si="48"/>
        <v/>
      </c>
      <c r="H562" s="10" t="str">
        <f t="shared" si="49"/>
        <v/>
      </c>
      <c r="I562" s="11" t="str">
        <f>IF(B562="Recreation",IFERROR(INDEX(RecPricing!$E$5:$E$10,MATCH(IF(C562="Mixed","External",IF(C562="Unknown","UoB",C562))&amp;"|"&amp;IF(F562&lt;=24,"&lt;=24",IF(F562&lt;=32,"&lt;=32","Above32")),RecPricing!$F$5:$F$10,0)),""),IFERROR(INDEX(Reference!$E$5:$E$12,MATCH(B562&amp;"|"&amp;IF(C562="Mixed","External",IF(C562="Unknown","UoB",C562))&amp;"|"&amp;IF(F562&lt;=32,"32","40"),Reference!$D$5:$D$12,0)),""))</f>
        <v/>
      </c>
      <c r="J562" s="11" t="str">
        <f t="shared" si="50"/>
        <v/>
      </c>
      <c r="K562" s="12"/>
      <c r="L562" s="11" t="str">
        <f t="shared" si="51"/>
        <v/>
      </c>
      <c r="M562" s="12"/>
      <c r="N562" s="12"/>
      <c r="O562" s="11" t="str">
        <f t="shared" si="52"/>
        <v/>
      </c>
      <c r="P562" s="10" t="str">
        <f t="shared" si="53"/>
        <v/>
      </c>
    </row>
    <row r="563" spans="1:16" ht="15" customHeight="1" x14ac:dyDescent="0.2">
      <c r="A563" s="8"/>
      <c r="B563" s="8"/>
      <c r="C563" s="8"/>
      <c r="D563" s="9"/>
      <c r="E563" s="9"/>
      <c r="F563" s="8"/>
      <c r="G563" s="10" t="str">
        <f t="shared" si="48"/>
        <v/>
      </c>
      <c r="H563" s="10" t="str">
        <f t="shared" si="49"/>
        <v/>
      </c>
      <c r="I563" s="11" t="str">
        <f>IF(B563="Recreation",IFERROR(INDEX(RecPricing!$E$5:$E$10,MATCH(IF(C563="Mixed","External",IF(C563="Unknown","UoB",C563))&amp;"|"&amp;IF(F563&lt;=24,"&lt;=24",IF(F563&lt;=32,"&lt;=32","Above32")),RecPricing!$F$5:$F$10,0)),""),IFERROR(INDEX(Reference!$E$5:$E$12,MATCH(B563&amp;"|"&amp;IF(C563="Mixed","External",IF(C563="Unknown","UoB",C563))&amp;"|"&amp;IF(F563&lt;=32,"32","40"),Reference!$D$5:$D$12,0)),""))</f>
        <v/>
      </c>
      <c r="J563" s="11" t="str">
        <f t="shared" si="50"/>
        <v/>
      </c>
      <c r="K563" s="12"/>
      <c r="L563" s="11" t="str">
        <f t="shared" si="51"/>
        <v/>
      </c>
      <c r="M563" s="12"/>
      <c r="N563" s="12"/>
      <c r="O563" s="11" t="str">
        <f t="shared" si="52"/>
        <v/>
      </c>
      <c r="P563" s="10" t="str">
        <f t="shared" si="53"/>
        <v/>
      </c>
    </row>
    <row r="564" spans="1:16" ht="15" customHeight="1" x14ac:dyDescent="0.2">
      <c r="A564" s="8"/>
      <c r="B564" s="8"/>
      <c r="C564" s="8"/>
      <c r="D564" s="9"/>
      <c r="E564" s="9"/>
      <c r="F564" s="8"/>
      <c r="G564" s="10" t="str">
        <f t="shared" si="48"/>
        <v/>
      </c>
      <c r="H564" s="10" t="str">
        <f t="shared" si="49"/>
        <v/>
      </c>
      <c r="I564" s="11" t="str">
        <f>IF(B564="Recreation",IFERROR(INDEX(RecPricing!$E$5:$E$10,MATCH(IF(C564="Mixed","External",IF(C564="Unknown","UoB",C564))&amp;"|"&amp;IF(F564&lt;=24,"&lt;=24",IF(F564&lt;=32,"&lt;=32","Above32")),RecPricing!$F$5:$F$10,0)),""),IFERROR(INDEX(Reference!$E$5:$E$12,MATCH(B564&amp;"|"&amp;IF(C564="Mixed","External",IF(C564="Unknown","UoB",C564))&amp;"|"&amp;IF(F564&lt;=32,"32","40"),Reference!$D$5:$D$12,0)),""))</f>
        <v/>
      </c>
      <c r="J564" s="11" t="str">
        <f t="shared" si="50"/>
        <v/>
      </c>
      <c r="K564" s="12"/>
      <c r="L564" s="11" t="str">
        <f t="shared" si="51"/>
        <v/>
      </c>
      <c r="M564" s="12"/>
      <c r="N564" s="12"/>
      <c r="O564" s="11" t="str">
        <f t="shared" si="52"/>
        <v/>
      </c>
      <c r="P564" s="10" t="str">
        <f t="shared" si="53"/>
        <v/>
      </c>
    </row>
    <row r="565" spans="1:16" ht="15" customHeight="1" x14ac:dyDescent="0.2">
      <c r="A565" s="8"/>
      <c r="B565" s="8"/>
      <c r="C565" s="8"/>
      <c r="D565" s="9"/>
      <c r="E565" s="9"/>
      <c r="F565" s="8"/>
      <c r="G565" s="10" t="str">
        <f t="shared" si="48"/>
        <v/>
      </c>
      <c r="H565" s="10" t="str">
        <f t="shared" si="49"/>
        <v/>
      </c>
      <c r="I565" s="11" t="str">
        <f>IF(B565="Recreation",IFERROR(INDEX(RecPricing!$E$5:$E$10,MATCH(IF(C565="Mixed","External",IF(C565="Unknown","UoB",C565))&amp;"|"&amp;IF(F565&lt;=24,"&lt;=24",IF(F565&lt;=32,"&lt;=32","Above32")),RecPricing!$F$5:$F$10,0)),""),IFERROR(INDEX(Reference!$E$5:$E$12,MATCH(B565&amp;"|"&amp;IF(C565="Mixed","External",IF(C565="Unknown","UoB",C565))&amp;"|"&amp;IF(F565&lt;=32,"32","40"),Reference!$D$5:$D$12,0)),""))</f>
        <v/>
      </c>
      <c r="J565" s="11" t="str">
        <f t="shared" si="50"/>
        <v/>
      </c>
      <c r="K565" s="12"/>
      <c r="L565" s="11" t="str">
        <f t="shared" si="51"/>
        <v/>
      </c>
      <c r="M565" s="12"/>
      <c r="N565" s="12"/>
      <c r="O565" s="11" t="str">
        <f t="shared" si="52"/>
        <v/>
      </c>
      <c r="P565" s="10" t="str">
        <f t="shared" si="53"/>
        <v/>
      </c>
    </row>
    <row r="566" spans="1:16" ht="15" customHeight="1" x14ac:dyDescent="0.2">
      <c r="A566" s="8"/>
      <c r="B566" s="8"/>
      <c r="C566" s="8"/>
      <c r="D566" s="9"/>
      <c r="E566" s="9"/>
      <c r="F566" s="8"/>
      <c r="G566" s="10" t="str">
        <f t="shared" si="48"/>
        <v/>
      </c>
      <c r="H566" s="10" t="str">
        <f t="shared" si="49"/>
        <v/>
      </c>
      <c r="I566" s="11" t="str">
        <f>IF(B566="Recreation",IFERROR(INDEX(RecPricing!$E$5:$E$10,MATCH(IF(C566="Mixed","External",IF(C566="Unknown","UoB",C566))&amp;"|"&amp;IF(F566&lt;=24,"&lt;=24",IF(F566&lt;=32,"&lt;=32","Above32")),RecPricing!$F$5:$F$10,0)),""),IFERROR(INDEX(Reference!$E$5:$E$12,MATCH(B566&amp;"|"&amp;IF(C566="Mixed","External",IF(C566="Unknown","UoB",C566))&amp;"|"&amp;IF(F566&lt;=32,"32","40"),Reference!$D$5:$D$12,0)),""))</f>
        <v/>
      </c>
      <c r="J566" s="11" t="str">
        <f t="shared" si="50"/>
        <v/>
      </c>
      <c r="K566" s="12"/>
      <c r="L566" s="11" t="str">
        <f t="shared" si="51"/>
        <v/>
      </c>
      <c r="M566" s="12"/>
      <c r="N566" s="12"/>
      <c r="O566" s="11" t="str">
        <f t="shared" si="52"/>
        <v/>
      </c>
      <c r="P566" s="10" t="str">
        <f t="shared" si="53"/>
        <v/>
      </c>
    </row>
    <row r="567" spans="1:16" ht="15" customHeight="1" x14ac:dyDescent="0.2">
      <c r="A567" s="8"/>
      <c r="B567" s="8"/>
      <c r="C567" s="8"/>
      <c r="D567" s="9"/>
      <c r="E567" s="9"/>
      <c r="F567" s="8"/>
      <c r="G567" s="10" t="str">
        <f t="shared" si="48"/>
        <v/>
      </c>
      <c r="H567" s="10" t="str">
        <f t="shared" si="49"/>
        <v/>
      </c>
      <c r="I567" s="11" t="str">
        <f>IF(B567="Recreation",IFERROR(INDEX(RecPricing!$E$5:$E$10,MATCH(IF(C567="Mixed","External",IF(C567="Unknown","UoB",C567))&amp;"|"&amp;IF(F567&lt;=24,"&lt;=24",IF(F567&lt;=32,"&lt;=32","Above32")),RecPricing!$F$5:$F$10,0)),""),IFERROR(INDEX(Reference!$E$5:$E$12,MATCH(B567&amp;"|"&amp;IF(C567="Mixed","External",IF(C567="Unknown","UoB",C567))&amp;"|"&amp;IF(F567&lt;=32,"32","40"),Reference!$D$5:$D$12,0)),""))</f>
        <v/>
      </c>
      <c r="J567" s="11" t="str">
        <f t="shared" si="50"/>
        <v/>
      </c>
      <c r="K567" s="12"/>
      <c r="L567" s="11" t="str">
        <f t="shared" si="51"/>
        <v/>
      </c>
      <c r="M567" s="12"/>
      <c r="N567" s="12"/>
      <c r="O567" s="11" t="str">
        <f t="shared" si="52"/>
        <v/>
      </c>
      <c r="P567" s="10" t="str">
        <f t="shared" si="53"/>
        <v/>
      </c>
    </row>
    <row r="568" spans="1:16" ht="15" customHeight="1" x14ac:dyDescent="0.2">
      <c r="A568" s="8"/>
      <c r="B568" s="8"/>
      <c r="C568" s="8"/>
      <c r="D568" s="9"/>
      <c r="E568" s="9"/>
      <c r="F568" s="8"/>
      <c r="G568" s="10" t="str">
        <f t="shared" si="48"/>
        <v/>
      </c>
      <c r="H568" s="10" t="str">
        <f t="shared" si="49"/>
        <v/>
      </c>
      <c r="I568" s="11" t="str">
        <f>IF(B568="Recreation",IFERROR(INDEX(RecPricing!$E$5:$E$10,MATCH(IF(C568="Mixed","External",IF(C568="Unknown","UoB",C568))&amp;"|"&amp;IF(F568&lt;=24,"&lt;=24",IF(F568&lt;=32,"&lt;=32","Above32")),RecPricing!$F$5:$F$10,0)),""),IFERROR(INDEX(Reference!$E$5:$E$12,MATCH(B568&amp;"|"&amp;IF(C568="Mixed","External",IF(C568="Unknown","UoB",C568))&amp;"|"&amp;IF(F568&lt;=32,"32","40"),Reference!$D$5:$D$12,0)),""))</f>
        <v/>
      </c>
      <c r="J568" s="11" t="str">
        <f t="shared" si="50"/>
        <v/>
      </c>
      <c r="K568" s="12"/>
      <c r="L568" s="11" t="str">
        <f t="shared" si="51"/>
        <v/>
      </c>
      <c r="M568" s="12"/>
      <c r="N568" s="12"/>
      <c r="O568" s="11" t="str">
        <f t="shared" si="52"/>
        <v/>
      </c>
      <c r="P568" s="10" t="str">
        <f t="shared" si="53"/>
        <v/>
      </c>
    </row>
    <row r="569" spans="1:16" ht="15" customHeight="1" x14ac:dyDescent="0.2">
      <c r="A569" s="8"/>
      <c r="B569" s="8"/>
      <c r="C569" s="8"/>
      <c r="D569" s="9"/>
      <c r="E569" s="9"/>
      <c r="F569" s="8"/>
      <c r="G569" s="10" t="str">
        <f t="shared" si="48"/>
        <v/>
      </c>
      <c r="H569" s="10" t="str">
        <f t="shared" si="49"/>
        <v/>
      </c>
      <c r="I569" s="11" t="str">
        <f>IF(B569="Recreation",IFERROR(INDEX(RecPricing!$E$5:$E$10,MATCH(IF(C569="Mixed","External",IF(C569="Unknown","UoB",C569))&amp;"|"&amp;IF(F569&lt;=24,"&lt;=24",IF(F569&lt;=32,"&lt;=32","Above32")),RecPricing!$F$5:$F$10,0)),""),IFERROR(INDEX(Reference!$E$5:$E$12,MATCH(B569&amp;"|"&amp;IF(C569="Mixed","External",IF(C569="Unknown","UoB",C569))&amp;"|"&amp;IF(F569&lt;=32,"32","40"),Reference!$D$5:$D$12,0)),""))</f>
        <v/>
      </c>
      <c r="J569" s="11" t="str">
        <f t="shared" si="50"/>
        <v/>
      </c>
      <c r="K569" s="12"/>
      <c r="L569" s="11" t="str">
        <f t="shared" si="51"/>
        <v/>
      </c>
      <c r="M569" s="12"/>
      <c r="N569" s="12"/>
      <c r="O569" s="11" t="str">
        <f t="shared" si="52"/>
        <v/>
      </c>
      <c r="P569" s="10" t="str">
        <f t="shared" si="53"/>
        <v/>
      </c>
    </row>
    <row r="570" spans="1:16" ht="15" customHeight="1" x14ac:dyDescent="0.2">
      <c r="A570" s="8"/>
      <c r="B570" s="8"/>
      <c r="C570" s="8"/>
      <c r="D570" s="9"/>
      <c r="E570" s="9"/>
      <c r="F570" s="8"/>
      <c r="G570" s="10" t="str">
        <f t="shared" si="48"/>
        <v/>
      </c>
      <c r="H570" s="10" t="str">
        <f t="shared" si="49"/>
        <v/>
      </c>
      <c r="I570" s="11" t="str">
        <f>IF(B570="Recreation",IFERROR(INDEX(RecPricing!$E$5:$E$10,MATCH(IF(C570="Mixed","External",IF(C570="Unknown","UoB",C570))&amp;"|"&amp;IF(F570&lt;=24,"&lt;=24",IF(F570&lt;=32,"&lt;=32","Above32")),RecPricing!$F$5:$F$10,0)),""),IFERROR(INDEX(Reference!$E$5:$E$12,MATCH(B570&amp;"|"&amp;IF(C570="Mixed","External",IF(C570="Unknown","UoB",C570))&amp;"|"&amp;IF(F570&lt;=32,"32","40"),Reference!$D$5:$D$12,0)),""))</f>
        <v/>
      </c>
      <c r="J570" s="11" t="str">
        <f t="shared" si="50"/>
        <v/>
      </c>
      <c r="K570" s="12"/>
      <c r="L570" s="11" t="str">
        <f t="shared" si="51"/>
        <v/>
      </c>
      <c r="M570" s="12"/>
      <c r="N570" s="12"/>
      <c r="O570" s="11" t="str">
        <f t="shared" si="52"/>
        <v/>
      </c>
      <c r="P570" s="10" t="str">
        <f t="shared" si="53"/>
        <v/>
      </c>
    </row>
    <row r="571" spans="1:16" ht="15" customHeight="1" x14ac:dyDescent="0.2">
      <c r="A571" s="8"/>
      <c r="B571" s="8"/>
      <c r="C571" s="8"/>
      <c r="D571" s="9"/>
      <c r="E571" s="9"/>
      <c r="F571" s="8"/>
      <c r="G571" s="10" t="str">
        <f t="shared" si="48"/>
        <v/>
      </c>
      <c r="H571" s="10" t="str">
        <f t="shared" si="49"/>
        <v/>
      </c>
      <c r="I571" s="11" t="str">
        <f>IF(B571="Recreation",IFERROR(INDEX(RecPricing!$E$5:$E$10,MATCH(IF(C571="Mixed","External",IF(C571="Unknown","UoB",C571))&amp;"|"&amp;IF(F571&lt;=24,"&lt;=24",IF(F571&lt;=32,"&lt;=32","Above32")),RecPricing!$F$5:$F$10,0)),""),IFERROR(INDEX(Reference!$E$5:$E$12,MATCH(B571&amp;"|"&amp;IF(C571="Mixed","External",IF(C571="Unknown","UoB",C571))&amp;"|"&amp;IF(F571&lt;=32,"32","40"),Reference!$D$5:$D$12,0)),""))</f>
        <v/>
      </c>
      <c r="J571" s="11" t="str">
        <f t="shared" si="50"/>
        <v/>
      </c>
      <c r="K571" s="12"/>
      <c r="L571" s="11" t="str">
        <f t="shared" si="51"/>
        <v/>
      </c>
      <c r="M571" s="12"/>
      <c r="N571" s="12"/>
      <c r="O571" s="11" t="str">
        <f t="shared" si="52"/>
        <v/>
      </c>
      <c r="P571" s="10" t="str">
        <f t="shared" si="53"/>
        <v/>
      </c>
    </row>
    <row r="572" spans="1:16" ht="15" customHeight="1" x14ac:dyDescent="0.2">
      <c r="A572" s="8"/>
      <c r="B572" s="8"/>
      <c r="C572" s="8"/>
      <c r="D572" s="9"/>
      <c r="E572" s="9"/>
      <c r="F572" s="8"/>
      <c r="G572" s="10" t="str">
        <f t="shared" si="48"/>
        <v/>
      </c>
      <c r="H572" s="10" t="str">
        <f t="shared" si="49"/>
        <v/>
      </c>
      <c r="I572" s="11" t="str">
        <f>IF(B572="Recreation",IFERROR(INDEX(RecPricing!$E$5:$E$10,MATCH(IF(C572="Mixed","External",IF(C572="Unknown","UoB",C572))&amp;"|"&amp;IF(F572&lt;=24,"&lt;=24",IF(F572&lt;=32,"&lt;=32","Above32")),RecPricing!$F$5:$F$10,0)),""),IFERROR(INDEX(Reference!$E$5:$E$12,MATCH(B572&amp;"|"&amp;IF(C572="Mixed","External",IF(C572="Unknown","UoB",C572))&amp;"|"&amp;IF(F572&lt;=32,"32","40"),Reference!$D$5:$D$12,0)),""))</f>
        <v/>
      </c>
      <c r="J572" s="11" t="str">
        <f t="shared" si="50"/>
        <v/>
      </c>
      <c r="K572" s="12"/>
      <c r="L572" s="11" t="str">
        <f t="shared" si="51"/>
        <v/>
      </c>
      <c r="M572" s="12"/>
      <c r="N572" s="12"/>
      <c r="O572" s="11" t="str">
        <f t="shared" si="52"/>
        <v/>
      </c>
      <c r="P572" s="10" t="str">
        <f t="shared" si="53"/>
        <v/>
      </c>
    </row>
    <row r="573" spans="1:16" ht="15" customHeight="1" x14ac:dyDescent="0.2">
      <c r="A573" s="8"/>
      <c r="B573" s="8"/>
      <c r="C573" s="8"/>
      <c r="D573" s="9"/>
      <c r="E573" s="9"/>
      <c r="F573" s="8"/>
      <c r="G573" s="10" t="str">
        <f t="shared" si="48"/>
        <v/>
      </c>
      <c r="H573" s="10" t="str">
        <f t="shared" si="49"/>
        <v/>
      </c>
      <c r="I573" s="11" t="str">
        <f>IF(B573="Recreation",IFERROR(INDEX(RecPricing!$E$5:$E$10,MATCH(IF(C573="Mixed","External",IF(C573="Unknown","UoB",C573))&amp;"|"&amp;IF(F573&lt;=24,"&lt;=24",IF(F573&lt;=32,"&lt;=32","Above32")),RecPricing!$F$5:$F$10,0)),""),IFERROR(INDEX(Reference!$E$5:$E$12,MATCH(B573&amp;"|"&amp;IF(C573="Mixed","External",IF(C573="Unknown","UoB",C573))&amp;"|"&amp;IF(F573&lt;=32,"32","40"),Reference!$D$5:$D$12,0)),""))</f>
        <v/>
      </c>
      <c r="J573" s="11" t="str">
        <f t="shared" si="50"/>
        <v/>
      </c>
      <c r="K573" s="12"/>
      <c r="L573" s="11" t="str">
        <f t="shared" si="51"/>
        <v/>
      </c>
      <c r="M573" s="12"/>
      <c r="N573" s="12"/>
      <c r="O573" s="11" t="str">
        <f t="shared" si="52"/>
        <v/>
      </c>
      <c r="P573" s="10" t="str">
        <f t="shared" si="53"/>
        <v/>
      </c>
    </row>
    <row r="574" spans="1:16" ht="15" customHeight="1" x14ac:dyDescent="0.2">
      <c r="A574" s="8"/>
      <c r="B574" s="8"/>
      <c r="C574" s="8"/>
      <c r="D574" s="9"/>
      <c r="E574" s="9"/>
      <c r="F574" s="8"/>
      <c r="G574" s="10" t="str">
        <f t="shared" si="48"/>
        <v/>
      </c>
      <c r="H574" s="10" t="str">
        <f t="shared" si="49"/>
        <v/>
      </c>
      <c r="I574" s="11" t="str">
        <f>IF(B574="Recreation",IFERROR(INDEX(RecPricing!$E$5:$E$10,MATCH(IF(C574="Mixed","External",IF(C574="Unknown","UoB",C574))&amp;"|"&amp;IF(F574&lt;=24,"&lt;=24",IF(F574&lt;=32,"&lt;=32","Above32")),RecPricing!$F$5:$F$10,0)),""),IFERROR(INDEX(Reference!$E$5:$E$12,MATCH(B574&amp;"|"&amp;IF(C574="Mixed","External",IF(C574="Unknown","UoB",C574))&amp;"|"&amp;IF(F574&lt;=32,"32","40"),Reference!$D$5:$D$12,0)),""))</f>
        <v/>
      </c>
      <c r="J574" s="11" t="str">
        <f t="shared" si="50"/>
        <v/>
      </c>
      <c r="K574" s="12"/>
      <c r="L574" s="11" t="str">
        <f t="shared" si="51"/>
        <v/>
      </c>
      <c r="M574" s="12"/>
      <c r="N574" s="12"/>
      <c r="O574" s="11" t="str">
        <f t="shared" si="52"/>
        <v/>
      </c>
      <c r="P574" s="10" t="str">
        <f t="shared" si="53"/>
        <v/>
      </c>
    </row>
    <row r="575" spans="1:16" ht="15" customHeight="1" x14ac:dyDescent="0.2">
      <c r="A575" s="8"/>
      <c r="B575" s="8"/>
      <c r="C575" s="8"/>
      <c r="D575" s="9"/>
      <c r="E575" s="9"/>
      <c r="F575" s="8"/>
      <c r="G575" s="10" t="str">
        <f t="shared" ref="G575:G638" si="54">IF(OR(D575="",E575=""),"",E575-D575)</f>
        <v/>
      </c>
      <c r="H575" s="10" t="str">
        <f t="shared" ref="H575:H638" si="55">IF(OR(F575="",G575=""),"",F575*G575)</f>
        <v/>
      </c>
      <c r="I575" s="11" t="str">
        <f>IF(B575="Recreation",IFERROR(INDEX(RecPricing!$E$5:$E$10,MATCH(IF(C575="Mixed","External",IF(C575="Unknown","UoB",C575))&amp;"|"&amp;IF(F575&lt;=24,"&lt;=24",IF(F575&lt;=32,"&lt;=32","Above32")),RecPricing!$F$5:$F$10,0)),""),IFERROR(INDEX(Reference!$E$5:$E$12,MATCH(B575&amp;"|"&amp;IF(C575="Mixed","External",IF(C575="Unknown","UoB",C575))&amp;"|"&amp;IF(F575&lt;=32,"32","40"),Reference!$D$5:$D$12,0)),""))</f>
        <v/>
      </c>
      <c r="J575" s="11" t="str">
        <f t="shared" ref="J575:J638" si="56">IF(I575="","",IF(B575="Recreation",IF(F575&lt;=32,I575,I575*IF(F575="",0,F575)),IF(AND(I575&lt;&gt;"",G575&lt;&gt;""),I575*G575,"")))</f>
        <v/>
      </c>
      <c r="K575" s="12"/>
      <c r="L575" s="11" t="str">
        <f t="shared" ref="L575:L638" si="57">IF(J575="","",J575-IF(K575="",0,K575))</f>
        <v/>
      </c>
      <c r="M575" s="12"/>
      <c r="N575" s="12"/>
      <c r="O575" s="11" t="str">
        <f t="shared" ref="O575:O638" si="58">IF(L575="","",L575-IF(M575="",0,M575)-IF(N575="",0,N575))</f>
        <v/>
      </c>
      <c r="P575" s="10" t="str">
        <f t="shared" ref="P575:P638" si="59">IF(D575="","",IF(MONTH(D575)&gt;=8,YEAR(D575)&amp;"-"&amp;RIGHT(YEAR(D575)+1,2),YEAR(D575)-1&amp;"-"&amp;RIGHT(YEAR(D575),2)))</f>
        <v/>
      </c>
    </row>
    <row r="576" spans="1:16" ht="15" customHeight="1" x14ac:dyDescent="0.2">
      <c r="A576" s="8"/>
      <c r="B576" s="8"/>
      <c r="C576" s="8"/>
      <c r="D576" s="9"/>
      <c r="E576" s="9"/>
      <c r="F576" s="8"/>
      <c r="G576" s="10" t="str">
        <f t="shared" si="54"/>
        <v/>
      </c>
      <c r="H576" s="10" t="str">
        <f t="shared" si="55"/>
        <v/>
      </c>
      <c r="I576" s="11" t="str">
        <f>IF(B576="Recreation",IFERROR(INDEX(RecPricing!$E$5:$E$10,MATCH(IF(C576="Mixed","External",IF(C576="Unknown","UoB",C576))&amp;"|"&amp;IF(F576&lt;=24,"&lt;=24",IF(F576&lt;=32,"&lt;=32","Above32")),RecPricing!$F$5:$F$10,0)),""),IFERROR(INDEX(Reference!$E$5:$E$12,MATCH(B576&amp;"|"&amp;IF(C576="Mixed","External",IF(C576="Unknown","UoB",C576))&amp;"|"&amp;IF(F576&lt;=32,"32","40"),Reference!$D$5:$D$12,0)),""))</f>
        <v/>
      </c>
      <c r="J576" s="11" t="str">
        <f t="shared" si="56"/>
        <v/>
      </c>
      <c r="K576" s="12"/>
      <c r="L576" s="11" t="str">
        <f t="shared" si="57"/>
        <v/>
      </c>
      <c r="M576" s="12"/>
      <c r="N576" s="12"/>
      <c r="O576" s="11" t="str">
        <f t="shared" si="58"/>
        <v/>
      </c>
      <c r="P576" s="10" t="str">
        <f t="shared" si="59"/>
        <v/>
      </c>
    </row>
    <row r="577" spans="1:16" ht="15" customHeight="1" x14ac:dyDescent="0.2">
      <c r="A577" s="8"/>
      <c r="B577" s="8"/>
      <c r="C577" s="8"/>
      <c r="D577" s="9"/>
      <c r="E577" s="9"/>
      <c r="F577" s="8"/>
      <c r="G577" s="10" t="str">
        <f t="shared" si="54"/>
        <v/>
      </c>
      <c r="H577" s="10" t="str">
        <f t="shared" si="55"/>
        <v/>
      </c>
      <c r="I577" s="11" t="str">
        <f>IF(B577="Recreation",IFERROR(INDEX(RecPricing!$E$5:$E$10,MATCH(IF(C577="Mixed","External",IF(C577="Unknown","UoB",C577))&amp;"|"&amp;IF(F577&lt;=24,"&lt;=24",IF(F577&lt;=32,"&lt;=32","Above32")),RecPricing!$F$5:$F$10,0)),""),IFERROR(INDEX(Reference!$E$5:$E$12,MATCH(B577&amp;"|"&amp;IF(C577="Mixed","External",IF(C577="Unknown","UoB",C577))&amp;"|"&amp;IF(F577&lt;=32,"32","40"),Reference!$D$5:$D$12,0)),""))</f>
        <v/>
      </c>
      <c r="J577" s="11" t="str">
        <f t="shared" si="56"/>
        <v/>
      </c>
      <c r="K577" s="12"/>
      <c r="L577" s="11" t="str">
        <f t="shared" si="57"/>
        <v/>
      </c>
      <c r="M577" s="12"/>
      <c r="N577" s="12"/>
      <c r="O577" s="11" t="str">
        <f t="shared" si="58"/>
        <v/>
      </c>
      <c r="P577" s="10" t="str">
        <f t="shared" si="59"/>
        <v/>
      </c>
    </row>
    <row r="578" spans="1:16" ht="15" customHeight="1" x14ac:dyDescent="0.2">
      <c r="A578" s="8"/>
      <c r="B578" s="8"/>
      <c r="C578" s="8"/>
      <c r="D578" s="9"/>
      <c r="E578" s="9"/>
      <c r="F578" s="8"/>
      <c r="G578" s="10" t="str">
        <f t="shared" si="54"/>
        <v/>
      </c>
      <c r="H578" s="10" t="str">
        <f t="shared" si="55"/>
        <v/>
      </c>
      <c r="I578" s="11" t="str">
        <f>IF(B578="Recreation",IFERROR(INDEX(RecPricing!$E$5:$E$10,MATCH(IF(C578="Mixed","External",IF(C578="Unknown","UoB",C578))&amp;"|"&amp;IF(F578&lt;=24,"&lt;=24",IF(F578&lt;=32,"&lt;=32","Above32")),RecPricing!$F$5:$F$10,0)),""),IFERROR(INDEX(Reference!$E$5:$E$12,MATCH(B578&amp;"|"&amp;IF(C578="Mixed","External",IF(C578="Unknown","UoB",C578))&amp;"|"&amp;IF(F578&lt;=32,"32","40"),Reference!$D$5:$D$12,0)),""))</f>
        <v/>
      </c>
      <c r="J578" s="11" t="str">
        <f t="shared" si="56"/>
        <v/>
      </c>
      <c r="K578" s="12"/>
      <c r="L578" s="11" t="str">
        <f t="shared" si="57"/>
        <v/>
      </c>
      <c r="M578" s="12"/>
      <c r="N578" s="12"/>
      <c r="O578" s="11" t="str">
        <f t="shared" si="58"/>
        <v/>
      </c>
      <c r="P578" s="10" t="str">
        <f t="shared" si="59"/>
        <v/>
      </c>
    </row>
    <row r="579" spans="1:16" ht="15" customHeight="1" x14ac:dyDescent="0.2">
      <c r="A579" s="8"/>
      <c r="B579" s="8"/>
      <c r="C579" s="8"/>
      <c r="D579" s="9"/>
      <c r="E579" s="9"/>
      <c r="F579" s="8"/>
      <c r="G579" s="10" t="str">
        <f t="shared" si="54"/>
        <v/>
      </c>
      <c r="H579" s="10" t="str">
        <f t="shared" si="55"/>
        <v/>
      </c>
      <c r="I579" s="11" t="str">
        <f>IF(B579="Recreation",IFERROR(INDEX(RecPricing!$E$5:$E$10,MATCH(IF(C579="Mixed","External",IF(C579="Unknown","UoB",C579))&amp;"|"&amp;IF(F579&lt;=24,"&lt;=24",IF(F579&lt;=32,"&lt;=32","Above32")),RecPricing!$F$5:$F$10,0)),""),IFERROR(INDEX(Reference!$E$5:$E$12,MATCH(B579&amp;"|"&amp;IF(C579="Mixed","External",IF(C579="Unknown","UoB",C579))&amp;"|"&amp;IF(F579&lt;=32,"32","40"),Reference!$D$5:$D$12,0)),""))</f>
        <v/>
      </c>
      <c r="J579" s="11" t="str">
        <f t="shared" si="56"/>
        <v/>
      </c>
      <c r="K579" s="12"/>
      <c r="L579" s="11" t="str">
        <f t="shared" si="57"/>
        <v/>
      </c>
      <c r="M579" s="12"/>
      <c r="N579" s="12"/>
      <c r="O579" s="11" t="str">
        <f t="shared" si="58"/>
        <v/>
      </c>
      <c r="P579" s="10" t="str">
        <f t="shared" si="59"/>
        <v/>
      </c>
    </row>
    <row r="580" spans="1:16" ht="15" customHeight="1" x14ac:dyDescent="0.2">
      <c r="A580" s="8"/>
      <c r="B580" s="8"/>
      <c r="C580" s="8"/>
      <c r="D580" s="9"/>
      <c r="E580" s="9"/>
      <c r="F580" s="8"/>
      <c r="G580" s="10" t="str">
        <f t="shared" si="54"/>
        <v/>
      </c>
      <c r="H580" s="10" t="str">
        <f t="shared" si="55"/>
        <v/>
      </c>
      <c r="I580" s="11" t="str">
        <f>IF(B580="Recreation",IFERROR(INDEX(RecPricing!$E$5:$E$10,MATCH(IF(C580="Mixed","External",IF(C580="Unknown","UoB",C580))&amp;"|"&amp;IF(F580&lt;=24,"&lt;=24",IF(F580&lt;=32,"&lt;=32","Above32")),RecPricing!$F$5:$F$10,0)),""),IFERROR(INDEX(Reference!$E$5:$E$12,MATCH(B580&amp;"|"&amp;IF(C580="Mixed","External",IF(C580="Unknown","UoB",C580))&amp;"|"&amp;IF(F580&lt;=32,"32","40"),Reference!$D$5:$D$12,0)),""))</f>
        <v/>
      </c>
      <c r="J580" s="11" t="str">
        <f t="shared" si="56"/>
        <v/>
      </c>
      <c r="K580" s="12"/>
      <c r="L580" s="11" t="str">
        <f t="shared" si="57"/>
        <v/>
      </c>
      <c r="M580" s="12"/>
      <c r="N580" s="12"/>
      <c r="O580" s="11" t="str">
        <f t="shared" si="58"/>
        <v/>
      </c>
      <c r="P580" s="10" t="str">
        <f t="shared" si="59"/>
        <v/>
      </c>
    </row>
    <row r="581" spans="1:16" ht="15" customHeight="1" x14ac:dyDescent="0.2">
      <c r="A581" s="8"/>
      <c r="B581" s="8"/>
      <c r="C581" s="8"/>
      <c r="D581" s="9"/>
      <c r="E581" s="9"/>
      <c r="F581" s="8"/>
      <c r="G581" s="10" t="str">
        <f t="shared" si="54"/>
        <v/>
      </c>
      <c r="H581" s="10" t="str">
        <f t="shared" si="55"/>
        <v/>
      </c>
      <c r="I581" s="11" t="str">
        <f>IF(B581="Recreation",IFERROR(INDEX(RecPricing!$E$5:$E$10,MATCH(IF(C581="Mixed","External",IF(C581="Unknown","UoB",C581))&amp;"|"&amp;IF(F581&lt;=24,"&lt;=24",IF(F581&lt;=32,"&lt;=32","Above32")),RecPricing!$F$5:$F$10,0)),""),IFERROR(INDEX(Reference!$E$5:$E$12,MATCH(B581&amp;"|"&amp;IF(C581="Mixed","External",IF(C581="Unknown","UoB",C581))&amp;"|"&amp;IF(F581&lt;=32,"32","40"),Reference!$D$5:$D$12,0)),""))</f>
        <v/>
      </c>
      <c r="J581" s="11" t="str">
        <f t="shared" si="56"/>
        <v/>
      </c>
      <c r="K581" s="12"/>
      <c r="L581" s="11" t="str">
        <f t="shared" si="57"/>
        <v/>
      </c>
      <c r="M581" s="12"/>
      <c r="N581" s="12"/>
      <c r="O581" s="11" t="str">
        <f t="shared" si="58"/>
        <v/>
      </c>
      <c r="P581" s="10" t="str">
        <f t="shared" si="59"/>
        <v/>
      </c>
    </row>
    <row r="582" spans="1:16" ht="15" customHeight="1" x14ac:dyDescent="0.2">
      <c r="A582" s="8"/>
      <c r="B582" s="8"/>
      <c r="C582" s="8"/>
      <c r="D582" s="9"/>
      <c r="E582" s="9"/>
      <c r="F582" s="8"/>
      <c r="G582" s="10" t="str">
        <f t="shared" si="54"/>
        <v/>
      </c>
      <c r="H582" s="10" t="str">
        <f t="shared" si="55"/>
        <v/>
      </c>
      <c r="I582" s="11" t="str">
        <f>IF(B582="Recreation",IFERROR(INDEX(RecPricing!$E$5:$E$10,MATCH(IF(C582="Mixed","External",IF(C582="Unknown","UoB",C582))&amp;"|"&amp;IF(F582&lt;=24,"&lt;=24",IF(F582&lt;=32,"&lt;=32","Above32")),RecPricing!$F$5:$F$10,0)),""),IFERROR(INDEX(Reference!$E$5:$E$12,MATCH(B582&amp;"|"&amp;IF(C582="Mixed","External",IF(C582="Unknown","UoB",C582))&amp;"|"&amp;IF(F582&lt;=32,"32","40"),Reference!$D$5:$D$12,0)),""))</f>
        <v/>
      </c>
      <c r="J582" s="11" t="str">
        <f t="shared" si="56"/>
        <v/>
      </c>
      <c r="K582" s="12"/>
      <c r="L582" s="11" t="str">
        <f t="shared" si="57"/>
        <v/>
      </c>
      <c r="M582" s="12"/>
      <c r="N582" s="12"/>
      <c r="O582" s="11" t="str">
        <f t="shared" si="58"/>
        <v/>
      </c>
      <c r="P582" s="10" t="str">
        <f t="shared" si="59"/>
        <v/>
      </c>
    </row>
    <row r="583" spans="1:16" ht="15" customHeight="1" x14ac:dyDescent="0.2">
      <c r="A583" s="8"/>
      <c r="B583" s="8"/>
      <c r="C583" s="8"/>
      <c r="D583" s="9"/>
      <c r="E583" s="9"/>
      <c r="F583" s="8"/>
      <c r="G583" s="10" t="str">
        <f t="shared" si="54"/>
        <v/>
      </c>
      <c r="H583" s="10" t="str">
        <f t="shared" si="55"/>
        <v/>
      </c>
      <c r="I583" s="11" t="str">
        <f>IF(B583="Recreation",IFERROR(INDEX(RecPricing!$E$5:$E$10,MATCH(IF(C583="Mixed","External",IF(C583="Unknown","UoB",C583))&amp;"|"&amp;IF(F583&lt;=24,"&lt;=24",IF(F583&lt;=32,"&lt;=32","Above32")),RecPricing!$F$5:$F$10,0)),""),IFERROR(INDEX(Reference!$E$5:$E$12,MATCH(B583&amp;"|"&amp;IF(C583="Mixed","External",IF(C583="Unknown","UoB",C583))&amp;"|"&amp;IF(F583&lt;=32,"32","40"),Reference!$D$5:$D$12,0)),""))</f>
        <v/>
      </c>
      <c r="J583" s="11" t="str">
        <f t="shared" si="56"/>
        <v/>
      </c>
      <c r="K583" s="12"/>
      <c r="L583" s="11" t="str">
        <f t="shared" si="57"/>
        <v/>
      </c>
      <c r="M583" s="12"/>
      <c r="N583" s="12"/>
      <c r="O583" s="11" t="str">
        <f t="shared" si="58"/>
        <v/>
      </c>
      <c r="P583" s="10" t="str">
        <f t="shared" si="59"/>
        <v/>
      </c>
    </row>
    <row r="584" spans="1:16" ht="15" customHeight="1" x14ac:dyDescent="0.2">
      <c r="A584" s="8"/>
      <c r="B584" s="8"/>
      <c r="C584" s="8"/>
      <c r="D584" s="9"/>
      <c r="E584" s="9"/>
      <c r="F584" s="8"/>
      <c r="G584" s="10" t="str">
        <f t="shared" si="54"/>
        <v/>
      </c>
      <c r="H584" s="10" t="str">
        <f t="shared" si="55"/>
        <v/>
      </c>
      <c r="I584" s="11" t="str">
        <f>IF(B584="Recreation",IFERROR(INDEX(RecPricing!$E$5:$E$10,MATCH(IF(C584="Mixed","External",IF(C584="Unknown","UoB",C584))&amp;"|"&amp;IF(F584&lt;=24,"&lt;=24",IF(F584&lt;=32,"&lt;=32","Above32")),RecPricing!$F$5:$F$10,0)),""),IFERROR(INDEX(Reference!$E$5:$E$12,MATCH(B584&amp;"|"&amp;IF(C584="Mixed","External",IF(C584="Unknown","UoB",C584))&amp;"|"&amp;IF(F584&lt;=32,"32","40"),Reference!$D$5:$D$12,0)),""))</f>
        <v/>
      </c>
      <c r="J584" s="11" t="str">
        <f t="shared" si="56"/>
        <v/>
      </c>
      <c r="K584" s="12"/>
      <c r="L584" s="11" t="str">
        <f t="shared" si="57"/>
        <v/>
      </c>
      <c r="M584" s="12"/>
      <c r="N584" s="12"/>
      <c r="O584" s="11" t="str">
        <f t="shared" si="58"/>
        <v/>
      </c>
      <c r="P584" s="10" t="str">
        <f t="shared" si="59"/>
        <v/>
      </c>
    </row>
    <row r="585" spans="1:16" ht="15" customHeight="1" x14ac:dyDescent="0.2">
      <c r="A585" s="8"/>
      <c r="B585" s="8"/>
      <c r="C585" s="8"/>
      <c r="D585" s="9"/>
      <c r="E585" s="9"/>
      <c r="F585" s="8"/>
      <c r="G585" s="10" t="str">
        <f t="shared" si="54"/>
        <v/>
      </c>
      <c r="H585" s="10" t="str">
        <f t="shared" si="55"/>
        <v/>
      </c>
      <c r="I585" s="11" t="str">
        <f>IF(B585="Recreation",IFERROR(INDEX(RecPricing!$E$5:$E$10,MATCH(IF(C585="Mixed","External",IF(C585="Unknown","UoB",C585))&amp;"|"&amp;IF(F585&lt;=24,"&lt;=24",IF(F585&lt;=32,"&lt;=32","Above32")),RecPricing!$F$5:$F$10,0)),""),IFERROR(INDEX(Reference!$E$5:$E$12,MATCH(B585&amp;"|"&amp;IF(C585="Mixed","External",IF(C585="Unknown","UoB",C585))&amp;"|"&amp;IF(F585&lt;=32,"32","40"),Reference!$D$5:$D$12,0)),""))</f>
        <v/>
      </c>
      <c r="J585" s="11" t="str">
        <f t="shared" si="56"/>
        <v/>
      </c>
      <c r="K585" s="12"/>
      <c r="L585" s="11" t="str">
        <f t="shared" si="57"/>
        <v/>
      </c>
      <c r="M585" s="12"/>
      <c r="N585" s="12"/>
      <c r="O585" s="11" t="str">
        <f t="shared" si="58"/>
        <v/>
      </c>
      <c r="P585" s="10" t="str">
        <f t="shared" si="59"/>
        <v/>
      </c>
    </row>
    <row r="586" spans="1:16" ht="15" customHeight="1" x14ac:dyDescent="0.2">
      <c r="A586" s="8"/>
      <c r="B586" s="8"/>
      <c r="C586" s="8"/>
      <c r="D586" s="9"/>
      <c r="E586" s="9"/>
      <c r="F586" s="8"/>
      <c r="G586" s="10" t="str">
        <f t="shared" si="54"/>
        <v/>
      </c>
      <c r="H586" s="10" t="str">
        <f t="shared" si="55"/>
        <v/>
      </c>
      <c r="I586" s="11" t="str">
        <f>IF(B586="Recreation",IFERROR(INDEX(RecPricing!$E$5:$E$10,MATCH(IF(C586="Mixed","External",IF(C586="Unknown","UoB",C586))&amp;"|"&amp;IF(F586&lt;=24,"&lt;=24",IF(F586&lt;=32,"&lt;=32","Above32")),RecPricing!$F$5:$F$10,0)),""),IFERROR(INDEX(Reference!$E$5:$E$12,MATCH(B586&amp;"|"&amp;IF(C586="Mixed","External",IF(C586="Unknown","UoB",C586))&amp;"|"&amp;IF(F586&lt;=32,"32","40"),Reference!$D$5:$D$12,0)),""))</f>
        <v/>
      </c>
      <c r="J586" s="11" t="str">
        <f t="shared" si="56"/>
        <v/>
      </c>
      <c r="K586" s="12"/>
      <c r="L586" s="11" t="str">
        <f t="shared" si="57"/>
        <v/>
      </c>
      <c r="M586" s="12"/>
      <c r="N586" s="12"/>
      <c r="O586" s="11" t="str">
        <f t="shared" si="58"/>
        <v/>
      </c>
      <c r="P586" s="10" t="str">
        <f t="shared" si="59"/>
        <v/>
      </c>
    </row>
    <row r="587" spans="1:16" ht="15" customHeight="1" x14ac:dyDescent="0.2">
      <c r="A587" s="8"/>
      <c r="B587" s="8"/>
      <c r="C587" s="8"/>
      <c r="D587" s="9"/>
      <c r="E587" s="9"/>
      <c r="F587" s="8"/>
      <c r="G587" s="10" t="str">
        <f t="shared" si="54"/>
        <v/>
      </c>
      <c r="H587" s="10" t="str">
        <f t="shared" si="55"/>
        <v/>
      </c>
      <c r="I587" s="11" t="str">
        <f>IF(B587="Recreation",IFERROR(INDEX(RecPricing!$E$5:$E$10,MATCH(IF(C587="Mixed","External",IF(C587="Unknown","UoB",C587))&amp;"|"&amp;IF(F587&lt;=24,"&lt;=24",IF(F587&lt;=32,"&lt;=32","Above32")),RecPricing!$F$5:$F$10,0)),""),IFERROR(INDEX(Reference!$E$5:$E$12,MATCH(B587&amp;"|"&amp;IF(C587="Mixed","External",IF(C587="Unknown","UoB",C587))&amp;"|"&amp;IF(F587&lt;=32,"32","40"),Reference!$D$5:$D$12,0)),""))</f>
        <v/>
      </c>
      <c r="J587" s="11" t="str">
        <f t="shared" si="56"/>
        <v/>
      </c>
      <c r="K587" s="12"/>
      <c r="L587" s="11" t="str">
        <f t="shared" si="57"/>
        <v/>
      </c>
      <c r="M587" s="12"/>
      <c r="N587" s="12"/>
      <c r="O587" s="11" t="str">
        <f t="shared" si="58"/>
        <v/>
      </c>
      <c r="P587" s="10" t="str">
        <f t="shared" si="59"/>
        <v/>
      </c>
    </row>
    <row r="588" spans="1:16" ht="15" customHeight="1" x14ac:dyDescent="0.2">
      <c r="A588" s="8"/>
      <c r="B588" s="8"/>
      <c r="C588" s="8"/>
      <c r="D588" s="9"/>
      <c r="E588" s="9"/>
      <c r="F588" s="8"/>
      <c r="G588" s="10" t="str">
        <f t="shared" si="54"/>
        <v/>
      </c>
      <c r="H588" s="10" t="str">
        <f t="shared" si="55"/>
        <v/>
      </c>
      <c r="I588" s="11" t="str">
        <f>IF(B588="Recreation",IFERROR(INDEX(RecPricing!$E$5:$E$10,MATCH(IF(C588="Mixed","External",IF(C588="Unknown","UoB",C588))&amp;"|"&amp;IF(F588&lt;=24,"&lt;=24",IF(F588&lt;=32,"&lt;=32","Above32")),RecPricing!$F$5:$F$10,0)),""),IFERROR(INDEX(Reference!$E$5:$E$12,MATCH(B588&amp;"|"&amp;IF(C588="Mixed","External",IF(C588="Unknown","UoB",C588))&amp;"|"&amp;IF(F588&lt;=32,"32","40"),Reference!$D$5:$D$12,0)),""))</f>
        <v/>
      </c>
      <c r="J588" s="11" t="str">
        <f t="shared" si="56"/>
        <v/>
      </c>
      <c r="K588" s="12"/>
      <c r="L588" s="11" t="str">
        <f t="shared" si="57"/>
        <v/>
      </c>
      <c r="M588" s="12"/>
      <c r="N588" s="12"/>
      <c r="O588" s="11" t="str">
        <f t="shared" si="58"/>
        <v/>
      </c>
      <c r="P588" s="10" t="str">
        <f t="shared" si="59"/>
        <v/>
      </c>
    </row>
    <row r="589" spans="1:16" ht="15" customHeight="1" x14ac:dyDescent="0.2">
      <c r="A589" s="8"/>
      <c r="B589" s="8"/>
      <c r="C589" s="8"/>
      <c r="D589" s="9"/>
      <c r="E589" s="9"/>
      <c r="F589" s="8"/>
      <c r="G589" s="10" t="str">
        <f t="shared" si="54"/>
        <v/>
      </c>
      <c r="H589" s="10" t="str">
        <f t="shared" si="55"/>
        <v/>
      </c>
      <c r="I589" s="11" t="str">
        <f>IF(B589="Recreation",IFERROR(INDEX(RecPricing!$E$5:$E$10,MATCH(IF(C589="Mixed","External",IF(C589="Unknown","UoB",C589))&amp;"|"&amp;IF(F589&lt;=24,"&lt;=24",IF(F589&lt;=32,"&lt;=32","Above32")),RecPricing!$F$5:$F$10,0)),""),IFERROR(INDEX(Reference!$E$5:$E$12,MATCH(B589&amp;"|"&amp;IF(C589="Mixed","External",IF(C589="Unknown","UoB",C589))&amp;"|"&amp;IF(F589&lt;=32,"32","40"),Reference!$D$5:$D$12,0)),""))</f>
        <v/>
      </c>
      <c r="J589" s="11" t="str">
        <f t="shared" si="56"/>
        <v/>
      </c>
      <c r="K589" s="12"/>
      <c r="L589" s="11" t="str">
        <f t="shared" si="57"/>
        <v/>
      </c>
      <c r="M589" s="12"/>
      <c r="N589" s="12"/>
      <c r="O589" s="11" t="str">
        <f t="shared" si="58"/>
        <v/>
      </c>
      <c r="P589" s="10" t="str">
        <f t="shared" si="59"/>
        <v/>
      </c>
    </row>
    <row r="590" spans="1:16" ht="15" customHeight="1" x14ac:dyDescent="0.2">
      <c r="A590" s="8"/>
      <c r="B590" s="8"/>
      <c r="C590" s="8"/>
      <c r="D590" s="9"/>
      <c r="E590" s="9"/>
      <c r="F590" s="8"/>
      <c r="G590" s="10" t="str">
        <f t="shared" si="54"/>
        <v/>
      </c>
      <c r="H590" s="10" t="str">
        <f t="shared" si="55"/>
        <v/>
      </c>
      <c r="I590" s="11" t="str">
        <f>IF(B590="Recreation",IFERROR(INDEX(RecPricing!$E$5:$E$10,MATCH(IF(C590="Mixed","External",IF(C590="Unknown","UoB",C590))&amp;"|"&amp;IF(F590&lt;=24,"&lt;=24",IF(F590&lt;=32,"&lt;=32","Above32")),RecPricing!$F$5:$F$10,0)),""),IFERROR(INDEX(Reference!$E$5:$E$12,MATCH(B590&amp;"|"&amp;IF(C590="Mixed","External",IF(C590="Unknown","UoB",C590))&amp;"|"&amp;IF(F590&lt;=32,"32","40"),Reference!$D$5:$D$12,0)),""))</f>
        <v/>
      </c>
      <c r="J590" s="11" t="str">
        <f t="shared" si="56"/>
        <v/>
      </c>
      <c r="K590" s="12"/>
      <c r="L590" s="11" t="str">
        <f t="shared" si="57"/>
        <v/>
      </c>
      <c r="M590" s="12"/>
      <c r="N590" s="12"/>
      <c r="O590" s="11" t="str">
        <f t="shared" si="58"/>
        <v/>
      </c>
      <c r="P590" s="10" t="str">
        <f t="shared" si="59"/>
        <v/>
      </c>
    </row>
    <row r="591" spans="1:16" ht="15" customHeight="1" x14ac:dyDescent="0.2">
      <c r="A591" s="8"/>
      <c r="B591" s="8"/>
      <c r="C591" s="8"/>
      <c r="D591" s="9"/>
      <c r="E591" s="9"/>
      <c r="F591" s="8"/>
      <c r="G591" s="10" t="str">
        <f t="shared" si="54"/>
        <v/>
      </c>
      <c r="H591" s="10" t="str">
        <f t="shared" si="55"/>
        <v/>
      </c>
      <c r="I591" s="11" t="str">
        <f>IF(B591="Recreation",IFERROR(INDEX(RecPricing!$E$5:$E$10,MATCH(IF(C591="Mixed","External",IF(C591="Unknown","UoB",C591))&amp;"|"&amp;IF(F591&lt;=24,"&lt;=24",IF(F591&lt;=32,"&lt;=32","Above32")),RecPricing!$F$5:$F$10,0)),""),IFERROR(INDEX(Reference!$E$5:$E$12,MATCH(B591&amp;"|"&amp;IF(C591="Mixed","External",IF(C591="Unknown","UoB",C591))&amp;"|"&amp;IF(F591&lt;=32,"32","40"),Reference!$D$5:$D$12,0)),""))</f>
        <v/>
      </c>
      <c r="J591" s="11" t="str">
        <f t="shared" si="56"/>
        <v/>
      </c>
      <c r="K591" s="12"/>
      <c r="L591" s="11" t="str">
        <f t="shared" si="57"/>
        <v/>
      </c>
      <c r="M591" s="12"/>
      <c r="N591" s="12"/>
      <c r="O591" s="11" t="str">
        <f t="shared" si="58"/>
        <v/>
      </c>
      <c r="P591" s="10" t="str">
        <f t="shared" si="59"/>
        <v/>
      </c>
    </row>
    <row r="592" spans="1:16" ht="15" customHeight="1" x14ac:dyDescent="0.2">
      <c r="A592" s="8"/>
      <c r="B592" s="8"/>
      <c r="C592" s="8"/>
      <c r="D592" s="9"/>
      <c r="E592" s="9"/>
      <c r="F592" s="8"/>
      <c r="G592" s="10" t="str">
        <f t="shared" si="54"/>
        <v/>
      </c>
      <c r="H592" s="10" t="str">
        <f t="shared" si="55"/>
        <v/>
      </c>
      <c r="I592" s="11" t="str">
        <f>IF(B592="Recreation",IFERROR(INDEX(RecPricing!$E$5:$E$10,MATCH(IF(C592="Mixed","External",IF(C592="Unknown","UoB",C592))&amp;"|"&amp;IF(F592&lt;=24,"&lt;=24",IF(F592&lt;=32,"&lt;=32","Above32")),RecPricing!$F$5:$F$10,0)),""),IFERROR(INDEX(Reference!$E$5:$E$12,MATCH(B592&amp;"|"&amp;IF(C592="Mixed","External",IF(C592="Unknown","UoB",C592))&amp;"|"&amp;IF(F592&lt;=32,"32","40"),Reference!$D$5:$D$12,0)),""))</f>
        <v/>
      </c>
      <c r="J592" s="11" t="str">
        <f t="shared" si="56"/>
        <v/>
      </c>
      <c r="K592" s="12"/>
      <c r="L592" s="11" t="str">
        <f t="shared" si="57"/>
        <v/>
      </c>
      <c r="M592" s="12"/>
      <c r="N592" s="12"/>
      <c r="O592" s="11" t="str">
        <f t="shared" si="58"/>
        <v/>
      </c>
      <c r="P592" s="10" t="str">
        <f t="shared" si="59"/>
        <v/>
      </c>
    </row>
    <row r="593" spans="1:16" ht="15" customHeight="1" x14ac:dyDescent="0.2">
      <c r="A593" s="8"/>
      <c r="B593" s="8"/>
      <c r="C593" s="8"/>
      <c r="D593" s="9"/>
      <c r="E593" s="9"/>
      <c r="F593" s="8"/>
      <c r="G593" s="10" t="str">
        <f t="shared" si="54"/>
        <v/>
      </c>
      <c r="H593" s="10" t="str">
        <f t="shared" si="55"/>
        <v/>
      </c>
      <c r="I593" s="11" t="str">
        <f>IF(B593="Recreation",IFERROR(INDEX(RecPricing!$E$5:$E$10,MATCH(IF(C593="Mixed","External",IF(C593="Unknown","UoB",C593))&amp;"|"&amp;IF(F593&lt;=24,"&lt;=24",IF(F593&lt;=32,"&lt;=32","Above32")),RecPricing!$F$5:$F$10,0)),""),IFERROR(INDEX(Reference!$E$5:$E$12,MATCH(B593&amp;"|"&amp;IF(C593="Mixed","External",IF(C593="Unknown","UoB",C593))&amp;"|"&amp;IF(F593&lt;=32,"32","40"),Reference!$D$5:$D$12,0)),""))</f>
        <v/>
      </c>
      <c r="J593" s="11" t="str">
        <f t="shared" si="56"/>
        <v/>
      </c>
      <c r="K593" s="12"/>
      <c r="L593" s="11" t="str">
        <f t="shared" si="57"/>
        <v/>
      </c>
      <c r="M593" s="12"/>
      <c r="N593" s="12"/>
      <c r="O593" s="11" t="str">
        <f t="shared" si="58"/>
        <v/>
      </c>
      <c r="P593" s="10" t="str">
        <f t="shared" si="59"/>
        <v/>
      </c>
    </row>
    <row r="594" spans="1:16" ht="15" customHeight="1" x14ac:dyDescent="0.2">
      <c r="A594" s="8"/>
      <c r="B594" s="8"/>
      <c r="C594" s="8"/>
      <c r="D594" s="9"/>
      <c r="E594" s="9"/>
      <c r="F594" s="8"/>
      <c r="G594" s="10" t="str">
        <f t="shared" si="54"/>
        <v/>
      </c>
      <c r="H594" s="10" t="str">
        <f t="shared" si="55"/>
        <v/>
      </c>
      <c r="I594" s="11" t="str">
        <f>IF(B594="Recreation",IFERROR(INDEX(RecPricing!$E$5:$E$10,MATCH(IF(C594="Mixed","External",IF(C594="Unknown","UoB",C594))&amp;"|"&amp;IF(F594&lt;=24,"&lt;=24",IF(F594&lt;=32,"&lt;=32","Above32")),RecPricing!$F$5:$F$10,0)),""),IFERROR(INDEX(Reference!$E$5:$E$12,MATCH(B594&amp;"|"&amp;IF(C594="Mixed","External",IF(C594="Unknown","UoB",C594))&amp;"|"&amp;IF(F594&lt;=32,"32","40"),Reference!$D$5:$D$12,0)),""))</f>
        <v/>
      </c>
      <c r="J594" s="11" t="str">
        <f t="shared" si="56"/>
        <v/>
      </c>
      <c r="K594" s="12"/>
      <c r="L594" s="11" t="str">
        <f t="shared" si="57"/>
        <v/>
      </c>
      <c r="M594" s="12"/>
      <c r="N594" s="12"/>
      <c r="O594" s="11" t="str">
        <f t="shared" si="58"/>
        <v/>
      </c>
      <c r="P594" s="10" t="str">
        <f t="shared" si="59"/>
        <v/>
      </c>
    </row>
    <row r="595" spans="1:16" ht="15" customHeight="1" x14ac:dyDescent="0.2">
      <c r="A595" s="8"/>
      <c r="B595" s="8"/>
      <c r="C595" s="8"/>
      <c r="D595" s="9"/>
      <c r="E595" s="9"/>
      <c r="F595" s="8"/>
      <c r="G595" s="10" t="str">
        <f t="shared" si="54"/>
        <v/>
      </c>
      <c r="H595" s="10" t="str">
        <f t="shared" si="55"/>
        <v/>
      </c>
      <c r="I595" s="11" t="str">
        <f>IF(B595="Recreation",IFERROR(INDEX(RecPricing!$E$5:$E$10,MATCH(IF(C595="Mixed","External",IF(C595="Unknown","UoB",C595))&amp;"|"&amp;IF(F595&lt;=24,"&lt;=24",IF(F595&lt;=32,"&lt;=32","Above32")),RecPricing!$F$5:$F$10,0)),""),IFERROR(INDEX(Reference!$E$5:$E$12,MATCH(B595&amp;"|"&amp;IF(C595="Mixed","External",IF(C595="Unknown","UoB",C595))&amp;"|"&amp;IF(F595&lt;=32,"32","40"),Reference!$D$5:$D$12,0)),""))</f>
        <v/>
      </c>
      <c r="J595" s="11" t="str">
        <f t="shared" si="56"/>
        <v/>
      </c>
      <c r="K595" s="12"/>
      <c r="L595" s="11" t="str">
        <f t="shared" si="57"/>
        <v/>
      </c>
      <c r="M595" s="12"/>
      <c r="N595" s="12"/>
      <c r="O595" s="11" t="str">
        <f t="shared" si="58"/>
        <v/>
      </c>
      <c r="P595" s="10" t="str">
        <f t="shared" si="59"/>
        <v/>
      </c>
    </row>
    <row r="596" spans="1:16" ht="15" customHeight="1" x14ac:dyDescent="0.2">
      <c r="A596" s="8"/>
      <c r="B596" s="8"/>
      <c r="C596" s="8"/>
      <c r="D596" s="9"/>
      <c r="E596" s="9"/>
      <c r="F596" s="8"/>
      <c r="G596" s="10" t="str">
        <f t="shared" si="54"/>
        <v/>
      </c>
      <c r="H596" s="10" t="str">
        <f t="shared" si="55"/>
        <v/>
      </c>
      <c r="I596" s="11" t="str">
        <f>IF(B596="Recreation",IFERROR(INDEX(RecPricing!$E$5:$E$10,MATCH(IF(C596="Mixed","External",IF(C596="Unknown","UoB",C596))&amp;"|"&amp;IF(F596&lt;=24,"&lt;=24",IF(F596&lt;=32,"&lt;=32","Above32")),RecPricing!$F$5:$F$10,0)),""),IFERROR(INDEX(Reference!$E$5:$E$12,MATCH(B596&amp;"|"&amp;IF(C596="Mixed","External",IF(C596="Unknown","UoB",C596))&amp;"|"&amp;IF(F596&lt;=32,"32","40"),Reference!$D$5:$D$12,0)),""))</f>
        <v/>
      </c>
      <c r="J596" s="11" t="str">
        <f t="shared" si="56"/>
        <v/>
      </c>
      <c r="K596" s="12"/>
      <c r="L596" s="11" t="str">
        <f t="shared" si="57"/>
        <v/>
      </c>
      <c r="M596" s="12"/>
      <c r="N596" s="12"/>
      <c r="O596" s="11" t="str">
        <f t="shared" si="58"/>
        <v/>
      </c>
      <c r="P596" s="10" t="str">
        <f t="shared" si="59"/>
        <v/>
      </c>
    </row>
    <row r="597" spans="1:16" ht="15" customHeight="1" x14ac:dyDescent="0.2">
      <c r="A597" s="8"/>
      <c r="B597" s="8"/>
      <c r="C597" s="8"/>
      <c r="D597" s="9"/>
      <c r="E597" s="9"/>
      <c r="F597" s="8"/>
      <c r="G597" s="10" t="str">
        <f t="shared" si="54"/>
        <v/>
      </c>
      <c r="H597" s="10" t="str">
        <f t="shared" si="55"/>
        <v/>
      </c>
      <c r="I597" s="11" t="str">
        <f>IF(B597="Recreation",IFERROR(INDEX(RecPricing!$E$5:$E$10,MATCH(IF(C597="Mixed","External",IF(C597="Unknown","UoB",C597))&amp;"|"&amp;IF(F597&lt;=24,"&lt;=24",IF(F597&lt;=32,"&lt;=32","Above32")),RecPricing!$F$5:$F$10,0)),""),IFERROR(INDEX(Reference!$E$5:$E$12,MATCH(B597&amp;"|"&amp;IF(C597="Mixed","External",IF(C597="Unknown","UoB",C597))&amp;"|"&amp;IF(F597&lt;=32,"32","40"),Reference!$D$5:$D$12,0)),""))</f>
        <v/>
      </c>
      <c r="J597" s="11" t="str">
        <f t="shared" si="56"/>
        <v/>
      </c>
      <c r="K597" s="12"/>
      <c r="L597" s="11" t="str">
        <f t="shared" si="57"/>
        <v/>
      </c>
      <c r="M597" s="12"/>
      <c r="N597" s="12"/>
      <c r="O597" s="11" t="str">
        <f t="shared" si="58"/>
        <v/>
      </c>
      <c r="P597" s="10" t="str">
        <f t="shared" si="59"/>
        <v/>
      </c>
    </row>
    <row r="598" spans="1:16" ht="15" customHeight="1" x14ac:dyDescent="0.2">
      <c r="A598" s="8"/>
      <c r="B598" s="8"/>
      <c r="C598" s="8"/>
      <c r="D598" s="9"/>
      <c r="E598" s="9"/>
      <c r="F598" s="8"/>
      <c r="G598" s="10" t="str">
        <f t="shared" si="54"/>
        <v/>
      </c>
      <c r="H598" s="10" t="str">
        <f t="shared" si="55"/>
        <v/>
      </c>
      <c r="I598" s="11" t="str">
        <f>IF(B598="Recreation",IFERROR(INDEX(RecPricing!$E$5:$E$10,MATCH(IF(C598="Mixed","External",IF(C598="Unknown","UoB",C598))&amp;"|"&amp;IF(F598&lt;=24,"&lt;=24",IF(F598&lt;=32,"&lt;=32","Above32")),RecPricing!$F$5:$F$10,0)),""),IFERROR(INDEX(Reference!$E$5:$E$12,MATCH(B598&amp;"|"&amp;IF(C598="Mixed","External",IF(C598="Unknown","UoB",C598))&amp;"|"&amp;IF(F598&lt;=32,"32","40"),Reference!$D$5:$D$12,0)),""))</f>
        <v/>
      </c>
      <c r="J598" s="11" t="str">
        <f t="shared" si="56"/>
        <v/>
      </c>
      <c r="K598" s="12"/>
      <c r="L598" s="11" t="str">
        <f t="shared" si="57"/>
        <v/>
      </c>
      <c r="M598" s="12"/>
      <c r="N598" s="12"/>
      <c r="O598" s="11" t="str">
        <f t="shared" si="58"/>
        <v/>
      </c>
      <c r="P598" s="10" t="str">
        <f t="shared" si="59"/>
        <v/>
      </c>
    </row>
    <row r="599" spans="1:16" ht="15" customHeight="1" x14ac:dyDescent="0.2">
      <c r="A599" s="8"/>
      <c r="B599" s="8"/>
      <c r="C599" s="8"/>
      <c r="D599" s="9"/>
      <c r="E599" s="9"/>
      <c r="F599" s="8"/>
      <c r="G599" s="10" t="str">
        <f t="shared" si="54"/>
        <v/>
      </c>
      <c r="H599" s="10" t="str">
        <f t="shared" si="55"/>
        <v/>
      </c>
      <c r="I599" s="11" t="str">
        <f>IF(B599="Recreation",IFERROR(INDEX(RecPricing!$E$5:$E$10,MATCH(IF(C599="Mixed","External",IF(C599="Unknown","UoB",C599))&amp;"|"&amp;IF(F599&lt;=24,"&lt;=24",IF(F599&lt;=32,"&lt;=32","Above32")),RecPricing!$F$5:$F$10,0)),""),IFERROR(INDEX(Reference!$E$5:$E$12,MATCH(B599&amp;"|"&amp;IF(C599="Mixed","External",IF(C599="Unknown","UoB",C599))&amp;"|"&amp;IF(F599&lt;=32,"32","40"),Reference!$D$5:$D$12,0)),""))</f>
        <v/>
      </c>
      <c r="J599" s="11" t="str">
        <f t="shared" si="56"/>
        <v/>
      </c>
      <c r="K599" s="12"/>
      <c r="L599" s="11" t="str">
        <f t="shared" si="57"/>
        <v/>
      </c>
      <c r="M599" s="12"/>
      <c r="N599" s="12"/>
      <c r="O599" s="11" t="str">
        <f t="shared" si="58"/>
        <v/>
      </c>
      <c r="P599" s="10" t="str">
        <f t="shared" si="59"/>
        <v/>
      </c>
    </row>
    <row r="600" spans="1:16" ht="15" customHeight="1" x14ac:dyDescent="0.2">
      <c r="A600" s="8"/>
      <c r="B600" s="8"/>
      <c r="C600" s="8"/>
      <c r="D600" s="9"/>
      <c r="E600" s="9"/>
      <c r="F600" s="8"/>
      <c r="G600" s="10" t="str">
        <f t="shared" si="54"/>
        <v/>
      </c>
      <c r="H600" s="10" t="str">
        <f t="shared" si="55"/>
        <v/>
      </c>
      <c r="I600" s="11" t="str">
        <f>IF(B600="Recreation",IFERROR(INDEX(RecPricing!$E$5:$E$10,MATCH(IF(C600="Mixed","External",IF(C600="Unknown","UoB",C600))&amp;"|"&amp;IF(F600&lt;=24,"&lt;=24",IF(F600&lt;=32,"&lt;=32","Above32")),RecPricing!$F$5:$F$10,0)),""),IFERROR(INDEX(Reference!$E$5:$E$12,MATCH(B600&amp;"|"&amp;IF(C600="Mixed","External",IF(C600="Unknown","UoB",C600))&amp;"|"&amp;IF(F600&lt;=32,"32","40"),Reference!$D$5:$D$12,0)),""))</f>
        <v/>
      </c>
      <c r="J600" s="11" t="str">
        <f t="shared" si="56"/>
        <v/>
      </c>
      <c r="K600" s="12"/>
      <c r="L600" s="11" t="str">
        <f t="shared" si="57"/>
        <v/>
      </c>
      <c r="M600" s="12"/>
      <c r="N600" s="12"/>
      <c r="O600" s="11" t="str">
        <f t="shared" si="58"/>
        <v/>
      </c>
      <c r="P600" s="10" t="str">
        <f t="shared" si="59"/>
        <v/>
      </c>
    </row>
    <row r="601" spans="1:16" ht="15" customHeight="1" x14ac:dyDescent="0.2">
      <c r="A601" s="8"/>
      <c r="B601" s="8"/>
      <c r="C601" s="8"/>
      <c r="D601" s="9"/>
      <c r="E601" s="9"/>
      <c r="F601" s="8"/>
      <c r="G601" s="10" t="str">
        <f t="shared" si="54"/>
        <v/>
      </c>
      <c r="H601" s="10" t="str">
        <f t="shared" si="55"/>
        <v/>
      </c>
      <c r="I601" s="11" t="str">
        <f>IF(B601="Recreation",IFERROR(INDEX(RecPricing!$E$5:$E$10,MATCH(IF(C601="Mixed","External",IF(C601="Unknown","UoB",C601))&amp;"|"&amp;IF(F601&lt;=24,"&lt;=24",IF(F601&lt;=32,"&lt;=32","Above32")),RecPricing!$F$5:$F$10,0)),""),IFERROR(INDEX(Reference!$E$5:$E$12,MATCH(B601&amp;"|"&amp;IF(C601="Mixed","External",IF(C601="Unknown","UoB",C601))&amp;"|"&amp;IF(F601&lt;=32,"32","40"),Reference!$D$5:$D$12,0)),""))</f>
        <v/>
      </c>
      <c r="J601" s="11" t="str">
        <f t="shared" si="56"/>
        <v/>
      </c>
      <c r="K601" s="12"/>
      <c r="L601" s="11" t="str">
        <f t="shared" si="57"/>
        <v/>
      </c>
      <c r="M601" s="12"/>
      <c r="N601" s="12"/>
      <c r="O601" s="11" t="str">
        <f t="shared" si="58"/>
        <v/>
      </c>
      <c r="P601" s="10" t="str">
        <f t="shared" si="59"/>
        <v/>
      </c>
    </row>
    <row r="602" spans="1:16" ht="15" customHeight="1" x14ac:dyDescent="0.2">
      <c r="A602" s="8"/>
      <c r="B602" s="8"/>
      <c r="C602" s="8"/>
      <c r="D602" s="9"/>
      <c r="E602" s="9"/>
      <c r="F602" s="8"/>
      <c r="G602" s="10" t="str">
        <f t="shared" si="54"/>
        <v/>
      </c>
      <c r="H602" s="10" t="str">
        <f t="shared" si="55"/>
        <v/>
      </c>
      <c r="I602" s="11" t="str">
        <f>IF(B602="Recreation",IFERROR(INDEX(RecPricing!$E$5:$E$10,MATCH(IF(C602="Mixed","External",IF(C602="Unknown","UoB",C602))&amp;"|"&amp;IF(F602&lt;=24,"&lt;=24",IF(F602&lt;=32,"&lt;=32","Above32")),RecPricing!$F$5:$F$10,0)),""),IFERROR(INDEX(Reference!$E$5:$E$12,MATCH(B602&amp;"|"&amp;IF(C602="Mixed","External",IF(C602="Unknown","UoB",C602))&amp;"|"&amp;IF(F602&lt;=32,"32","40"),Reference!$D$5:$D$12,0)),""))</f>
        <v/>
      </c>
      <c r="J602" s="11" t="str">
        <f t="shared" si="56"/>
        <v/>
      </c>
      <c r="K602" s="12"/>
      <c r="L602" s="11" t="str">
        <f t="shared" si="57"/>
        <v/>
      </c>
      <c r="M602" s="12"/>
      <c r="N602" s="12"/>
      <c r="O602" s="11" t="str">
        <f t="shared" si="58"/>
        <v/>
      </c>
      <c r="P602" s="10" t="str">
        <f t="shared" si="59"/>
        <v/>
      </c>
    </row>
    <row r="603" spans="1:16" ht="15" customHeight="1" x14ac:dyDescent="0.2">
      <c r="A603" s="8"/>
      <c r="B603" s="8"/>
      <c r="C603" s="8"/>
      <c r="D603" s="9"/>
      <c r="E603" s="9"/>
      <c r="F603" s="8"/>
      <c r="G603" s="10" t="str">
        <f t="shared" si="54"/>
        <v/>
      </c>
      <c r="H603" s="10" t="str">
        <f t="shared" si="55"/>
        <v/>
      </c>
      <c r="I603" s="11" t="str">
        <f>IF(B603="Recreation",IFERROR(INDEX(RecPricing!$E$5:$E$10,MATCH(IF(C603="Mixed","External",IF(C603="Unknown","UoB",C603))&amp;"|"&amp;IF(F603&lt;=24,"&lt;=24",IF(F603&lt;=32,"&lt;=32","Above32")),RecPricing!$F$5:$F$10,0)),""),IFERROR(INDEX(Reference!$E$5:$E$12,MATCH(B603&amp;"|"&amp;IF(C603="Mixed","External",IF(C603="Unknown","UoB",C603))&amp;"|"&amp;IF(F603&lt;=32,"32","40"),Reference!$D$5:$D$12,0)),""))</f>
        <v/>
      </c>
      <c r="J603" s="11" t="str">
        <f t="shared" si="56"/>
        <v/>
      </c>
      <c r="K603" s="12"/>
      <c r="L603" s="11" t="str">
        <f t="shared" si="57"/>
        <v/>
      </c>
      <c r="M603" s="12"/>
      <c r="N603" s="12"/>
      <c r="O603" s="11" t="str">
        <f t="shared" si="58"/>
        <v/>
      </c>
      <c r="P603" s="10" t="str">
        <f t="shared" si="59"/>
        <v/>
      </c>
    </row>
    <row r="604" spans="1:16" ht="15" customHeight="1" x14ac:dyDescent="0.2">
      <c r="A604" s="8"/>
      <c r="B604" s="8"/>
      <c r="C604" s="8"/>
      <c r="D604" s="9"/>
      <c r="E604" s="9"/>
      <c r="F604" s="8"/>
      <c r="G604" s="10" t="str">
        <f t="shared" si="54"/>
        <v/>
      </c>
      <c r="H604" s="10" t="str">
        <f t="shared" si="55"/>
        <v/>
      </c>
      <c r="I604" s="11" t="str">
        <f>IF(B604="Recreation",IFERROR(INDEX(RecPricing!$E$5:$E$10,MATCH(IF(C604="Mixed","External",IF(C604="Unknown","UoB",C604))&amp;"|"&amp;IF(F604&lt;=24,"&lt;=24",IF(F604&lt;=32,"&lt;=32","Above32")),RecPricing!$F$5:$F$10,0)),""),IFERROR(INDEX(Reference!$E$5:$E$12,MATCH(B604&amp;"|"&amp;IF(C604="Mixed","External",IF(C604="Unknown","UoB",C604))&amp;"|"&amp;IF(F604&lt;=32,"32","40"),Reference!$D$5:$D$12,0)),""))</f>
        <v/>
      </c>
      <c r="J604" s="11" t="str">
        <f t="shared" si="56"/>
        <v/>
      </c>
      <c r="K604" s="12"/>
      <c r="L604" s="11" t="str">
        <f t="shared" si="57"/>
        <v/>
      </c>
      <c r="M604" s="12"/>
      <c r="N604" s="12"/>
      <c r="O604" s="11" t="str">
        <f t="shared" si="58"/>
        <v/>
      </c>
      <c r="P604" s="10" t="str">
        <f t="shared" si="59"/>
        <v/>
      </c>
    </row>
    <row r="605" spans="1:16" ht="15" customHeight="1" x14ac:dyDescent="0.2">
      <c r="A605" s="8"/>
      <c r="B605" s="8"/>
      <c r="C605" s="8"/>
      <c r="D605" s="9"/>
      <c r="E605" s="9"/>
      <c r="F605" s="8"/>
      <c r="G605" s="10" t="str">
        <f t="shared" si="54"/>
        <v/>
      </c>
      <c r="H605" s="10" t="str">
        <f t="shared" si="55"/>
        <v/>
      </c>
      <c r="I605" s="11" t="str">
        <f>IF(B605="Recreation",IFERROR(INDEX(RecPricing!$E$5:$E$10,MATCH(IF(C605="Mixed","External",IF(C605="Unknown","UoB",C605))&amp;"|"&amp;IF(F605&lt;=24,"&lt;=24",IF(F605&lt;=32,"&lt;=32","Above32")),RecPricing!$F$5:$F$10,0)),""),IFERROR(INDEX(Reference!$E$5:$E$12,MATCH(B605&amp;"|"&amp;IF(C605="Mixed","External",IF(C605="Unknown","UoB",C605))&amp;"|"&amp;IF(F605&lt;=32,"32","40"),Reference!$D$5:$D$12,0)),""))</f>
        <v/>
      </c>
      <c r="J605" s="11" t="str">
        <f t="shared" si="56"/>
        <v/>
      </c>
      <c r="K605" s="12"/>
      <c r="L605" s="11" t="str">
        <f t="shared" si="57"/>
        <v/>
      </c>
      <c r="M605" s="12"/>
      <c r="N605" s="12"/>
      <c r="O605" s="11" t="str">
        <f t="shared" si="58"/>
        <v/>
      </c>
      <c r="P605" s="10" t="str">
        <f t="shared" si="59"/>
        <v/>
      </c>
    </row>
    <row r="606" spans="1:16" ht="15" customHeight="1" x14ac:dyDescent="0.2">
      <c r="A606" s="8"/>
      <c r="B606" s="8"/>
      <c r="C606" s="8"/>
      <c r="D606" s="9"/>
      <c r="E606" s="9"/>
      <c r="F606" s="8"/>
      <c r="G606" s="10" t="str">
        <f t="shared" si="54"/>
        <v/>
      </c>
      <c r="H606" s="10" t="str">
        <f t="shared" si="55"/>
        <v/>
      </c>
      <c r="I606" s="11" t="str">
        <f>IF(B606="Recreation",IFERROR(INDEX(RecPricing!$E$5:$E$10,MATCH(IF(C606="Mixed","External",IF(C606="Unknown","UoB",C606))&amp;"|"&amp;IF(F606&lt;=24,"&lt;=24",IF(F606&lt;=32,"&lt;=32","Above32")),RecPricing!$F$5:$F$10,0)),""),IFERROR(INDEX(Reference!$E$5:$E$12,MATCH(B606&amp;"|"&amp;IF(C606="Mixed","External",IF(C606="Unknown","UoB",C606))&amp;"|"&amp;IF(F606&lt;=32,"32","40"),Reference!$D$5:$D$12,0)),""))</f>
        <v/>
      </c>
      <c r="J606" s="11" t="str">
        <f t="shared" si="56"/>
        <v/>
      </c>
      <c r="K606" s="12"/>
      <c r="L606" s="11" t="str">
        <f t="shared" si="57"/>
        <v/>
      </c>
      <c r="M606" s="12"/>
      <c r="N606" s="12"/>
      <c r="O606" s="11" t="str">
        <f t="shared" si="58"/>
        <v/>
      </c>
      <c r="P606" s="10" t="str">
        <f t="shared" si="59"/>
        <v/>
      </c>
    </row>
    <row r="607" spans="1:16" ht="15" customHeight="1" x14ac:dyDescent="0.2">
      <c r="A607" s="8"/>
      <c r="B607" s="8"/>
      <c r="C607" s="8"/>
      <c r="D607" s="9"/>
      <c r="E607" s="9"/>
      <c r="F607" s="8"/>
      <c r="G607" s="10" t="str">
        <f t="shared" si="54"/>
        <v/>
      </c>
      <c r="H607" s="10" t="str">
        <f t="shared" si="55"/>
        <v/>
      </c>
      <c r="I607" s="11" t="str">
        <f>IF(B607="Recreation",IFERROR(INDEX(RecPricing!$E$5:$E$10,MATCH(IF(C607="Mixed","External",IF(C607="Unknown","UoB",C607))&amp;"|"&amp;IF(F607&lt;=24,"&lt;=24",IF(F607&lt;=32,"&lt;=32","Above32")),RecPricing!$F$5:$F$10,0)),""),IFERROR(INDEX(Reference!$E$5:$E$12,MATCH(B607&amp;"|"&amp;IF(C607="Mixed","External",IF(C607="Unknown","UoB",C607))&amp;"|"&amp;IF(F607&lt;=32,"32","40"),Reference!$D$5:$D$12,0)),""))</f>
        <v/>
      </c>
      <c r="J607" s="11" t="str">
        <f t="shared" si="56"/>
        <v/>
      </c>
      <c r="K607" s="12"/>
      <c r="L607" s="11" t="str">
        <f t="shared" si="57"/>
        <v/>
      </c>
      <c r="M607" s="12"/>
      <c r="N607" s="12"/>
      <c r="O607" s="11" t="str">
        <f t="shared" si="58"/>
        <v/>
      </c>
      <c r="P607" s="10" t="str">
        <f t="shared" si="59"/>
        <v/>
      </c>
    </row>
    <row r="608" spans="1:16" ht="15" customHeight="1" x14ac:dyDescent="0.2">
      <c r="A608" s="8"/>
      <c r="B608" s="8"/>
      <c r="C608" s="8"/>
      <c r="D608" s="9"/>
      <c r="E608" s="9"/>
      <c r="F608" s="8"/>
      <c r="G608" s="10" t="str">
        <f t="shared" si="54"/>
        <v/>
      </c>
      <c r="H608" s="10" t="str">
        <f t="shared" si="55"/>
        <v/>
      </c>
      <c r="I608" s="11" t="str">
        <f>IF(B608="Recreation",IFERROR(INDEX(RecPricing!$E$5:$E$10,MATCH(IF(C608="Mixed","External",IF(C608="Unknown","UoB",C608))&amp;"|"&amp;IF(F608&lt;=24,"&lt;=24",IF(F608&lt;=32,"&lt;=32","Above32")),RecPricing!$F$5:$F$10,0)),""),IFERROR(INDEX(Reference!$E$5:$E$12,MATCH(B608&amp;"|"&amp;IF(C608="Mixed","External",IF(C608="Unknown","UoB",C608))&amp;"|"&amp;IF(F608&lt;=32,"32","40"),Reference!$D$5:$D$12,0)),""))</f>
        <v/>
      </c>
      <c r="J608" s="11" t="str">
        <f t="shared" si="56"/>
        <v/>
      </c>
      <c r="K608" s="12"/>
      <c r="L608" s="11" t="str">
        <f t="shared" si="57"/>
        <v/>
      </c>
      <c r="M608" s="12"/>
      <c r="N608" s="12"/>
      <c r="O608" s="11" t="str">
        <f t="shared" si="58"/>
        <v/>
      </c>
      <c r="P608" s="10" t="str">
        <f t="shared" si="59"/>
        <v/>
      </c>
    </row>
    <row r="609" spans="1:16" ht="15" customHeight="1" x14ac:dyDescent="0.2">
      <c r="A609" s="8"/>
      <c r="B609" s="8"/>
      <c r="C609" s="8"/>
      <c r="D609" s="9"/>
      <c r="E609" s="9"/>
      <c r="F609" s="8"/>
      <c r="G609" s="10" t="str">
        <f t="shared" si="54"/>
        <v/>
      </c>
      <c r="H609" s="10" t="str">
        <f t="shared" si="55"/>
        <v/>
      </c>
      <c r="I609" s="11" t="str">
        <f>IF(B609="Recreation",IFERROR(INDEX(RecPricing!$E$5:$E$10,MATCH(IF(C609="Mixed","External",IF(C609="Unknown","UoB",C609))&amp;"|"&amp;IF(F609&lt;=24,"&lt;=24",IF(F609&lt;=32,"&lt;=32","Above32")),RecPricing!$F$5:$F$10,0)),""),IFERROR(INDEX(Reference!$E$5:$E$12,MATCH(B609&amp;"|"&amp;IF(C609="Mixed","External",IF(C609="Unknown","UoB",C609))&amp;"|"&amp;IF(F609&lt;=32,"32","40"),Reference!$D$5:$D$12,0)),""))</f>
        <v/>
      </c>
      <c r="J609" s="11" t="str">
        <f t="shared" si="56"/>
        <v/>
      </c>
      <c r="K609" s="12"/>
      <c r="L609" s="11" t="str">
        <f t="shared" si="57"/>
        <v/>
      </c>
      <c r="M609" s="12"/>
      <c r="N609" s="12"/>
      <c r="O609" s="11" t="str">
        <f t="shared" si="58"/>
        <v/>
      </c>
      <c r="P609" s="10" t="str">
        <f t="shared" si="59"/>
        <v/>
      </c>
    </row>
    <row r="610" spans="1:16" ht="15" customHeight="1" x14ac:dyDescent="0.2">
      <c r="A610" s="8"/>
      <c r="B610" s="8"/>
      <c r="C610" s="8"/>
      <c r="D610" s="9"/>
      <c r="E610" s="9"/>
      <c r="F610" s="8"/>
      <c r="G610" s="10" t="str">
        <f t="shared" si="54"/>
        <v/>
      </c>
      <c r="H610" s="10" t="str">
        <f t="shared" si="55"/>
        <v/>
      </c>
      <c r="I610" s="11" t="str">
        <f>IF(B610="Recreation",IFERROR(INDEX(RecPricing!$E$5:$E$10,MATCH(IF(C610="Mixed","External",IF(C610="Unknown","UoB",C610))&amp;"|"&amp;IF(F610&lt;=24,"&lt;=24",IF(F610&lt;=32,"&lt;=32","Above32")),RecPricing!$F$5:$F$10,0)),""),IFERROR(INDEX(Reference!$E$5:$E$12,MATCH(B610&amp;"|"&amp;IF(C610="Mixed","External",IF(C610="Unknown","UoB",C610))&amp;"|"&amp;IF(F610&lt;=32,"32","40"),Reference!$D$5:$D$12,0)),""))</f>
        <v/>
      </c>
      <c r="J610" s="11" t="str">
        <f t="shared" si="56"/>
        <v/>
      </c>
      <c r="K610" s="12"/>
      <c r="L610" s="11" t="str">
        <f t="shared" si="57"/>
        <v/>
      </c>
      <c r="M610" s="12"/>
      <c r="N610" s="12"/>
      <c r="O610" s="11" t="str">
        <f t="shared" si="58"/>
        <v/>
      </c>
      <c r="P610" s="10" t="str">
        <f t="shared" si="59"/>
        <v/>
      </c>
    </row>
    <row r="611" spans="1:16" ht="15" customHeight="1" x14ac:dyDescent="0.2">
      <c r="A611" s="8"/>
      <c r="B611" s="8"/>
      <c r="C611" s="8"/>
      <c r="D611" s="9"/>
      <c r="E611" s="9"/>
      <c r="F611" s="8"/>
      <c r="G611" s="10" t="str">
        <f t="shared" si="54"/>
        <v/>
      </c>
      <c r="H611" s="10" t="str">
        <f t="shared" si="55"/>
        <v/>
      </c>
      <c r="I611" s="11" t="str">
        <f>IF(B611="Recreation",IFERROR(INDEX(RecPricing!$E$5:$E$10,MATCH(IF(C611="Mixed","External",IF(C611="Unknown","UoB",C611))&amp;"|"&amp;IF(F611&lt;=24,"&lt;=24",IF(F611&lt;=32,"&lt;=32","Above32")),RecPricing!$F$5:$F$10,0)),""),IFERROR(INDEX(Reference!$E$5:$E$12,MATCH(B611&amp;"|"&amp;IF(C611="Mixed","External",IF(C611="Unknown","UoB",C611))&amp;"|"&amp;IF(F611&lt;=32,"32","40"),Reference!$D$5:$D$12,0)),""))</f>
        <v/>
      </c>
      <c r="J611" s="11" t="str">
        <f t="shared" si="56"/>
        <v/>
      </c>
      <c r="K611" s="12"/>
      <c r="L611" s="11" t="str">
        <f t="shared" si="57"/>
        <v/>
      </c>
      <c r="M611" s="12"/>
      <c r="N611" s="12"/>
      <c r="O611" s="11" t="str">
        <f t="shared" si="58"/>
        <v/>
      </c>
      <c r="P611" s="10" t="str">
        <f t="shared" si="59"/>
        <v/>
      </c>
    </row>
    <row r="612" spans="1:16" ht="15" customHeight="1" x14ac:dyDescent="0.2">
      <c r="A612" s="8"/>
      <c r="B612" s="8"/>
      <c r="C612" s="8"/>
      <c r="D612" s="9"/>
      <c r="E612" s="9"/>
      <c r="F612" s="8"/>
      <c r="G612" s="10" t="str">
        <f t="shared" si="54"/>
        <v/>
      </c>
      <c r="H612" s="10" t="str">
        <f t="shared" si="55"/>
        <v/>
      </c>
      <c r="I612" s="11" t="str">
        <f>IF(B612="Recreation",IFERROR(INDEX(RecPricing!$E$5:$E$10,MATCH(IF(C612="Mixed","External",IF(C612="Unknown","UoB",C612))&amp;"|"&amp;IF(F612&lt;=24,"&lt;=24",IF(F612&lt;=32,"&lt;=32","Above32")),RecPricing!$F$5:$F$10,0)),""),IFERROR(INDEX(Reference!$E$5:$E$12,MATCH(B612&amp;"|"&amp;IF(C612="Mixed","External",IF(C612="Unknown","UoB",C612))&amp;"|"&amp;IF(F612&lt;=32,"32","40"),Reference!$D$5:$D$12,0)),""))</f>
        <v/>
      </c>
      <c r="J612" s="11" t="str">
        <f t="shared" si="56"/>
        <v/>
      </c>
      <c r="K612" s="12"/>
      <c r="L612" s="11" t="str">
        <f t="shared" si="57"/>
        <v/>
      </c>
      <c r="M612" s="12"/>
      <c r="N612" s="12"/>
      <c r="O612" s="11" t="str">
        <f t="shared" si="58"/>
        <v/>
      </c>
      <c r="P612" s="10" t="str">
        <f t="shared" si="59"/>
        <v/>
      </c>
    </row>
    <row r="613" spans="1:16" ht="15" customHeight="1" x14ac:dyDescent="0.2">
      <c r="A613" s="8"/>
      <c r="B613" s="8"/>
      <c r="C613" s="8"/>
      <c r="D613" s="9"/>
      <c r="E613" s="9"/>
      <c r="F613" s="8"/>
      <c r="G613" s="10" t="str">
        <f t="shared" si="54"/>
        <v/>
      </c>
      <c r="H613" s="10" t="str">
        <f t="shared" si="55"/>
        <v/>
      </c>
      <c r="I613" s="11" t="str">
        <f>IF(B613="Recreation",IFERROR(INDEX(RecPricing!$E$5:$E$10,MATCH(IF(C613="Mixed","External",IF(C613="Unknown","UoB",C613))&amp;"|"&amp;IF(F613&lt;=24,"&lt;=24",IF(F613&lt;=32,"&lt;=32","Above32")),RecPricing!$F$5:$F$10,0)),""),IFERROR(INDEX(Reference!$E$5:$E$12,MATCH(B613&amp;"|"&amp;IF(C613="Mixed","External",IF(C613="Unknown","UoB",C613))&amp;"|"&amp;IF(F613&lt;=32,"32","40"),Reference!$D$5:$D$12,0)),""))</f>
        <v/>
      </c>
      <c r="J613" s="11" t="str">
        <f t="shared" si="56"/>
        <v/>
      </c>
      <c r="K613" s="12"/>
      <c r="L613" s="11" t="str">
        <f t="shared" si="57"/>
        <v/>
      </c>
      <c r="M613" s="12"/>
      <c r="N613" s="12"/>
      <c r="O613" s="11" t="str">
        <f t="shared" si="58"/>
        <v/>
      </c>
      <c r="P613" s="10" t="str">
        <f t="shared" si="59"/>
        <v/>
      </c>
    </row>
    <row r="614" spans="1:16" ht="15" customHeight="1" x14ac:dyDescent="0.2">
      <c r="A614" s="8"/>
      <c r="B614" s="8"/>
      <c r="C614" s="8"/>
      <c r="D614" s="9"/>
      <c r="E614" s="9"/>
      <c r="F614" s="8"/>
      <c r="G614" s="10" t="str">
        <f t="shared" si="54"/>
        <v/>
      </c>
      <c r="H614" s="10" t="str">
        <f t="shared" si="55"/>
        <v/>
      </c>
      <c r="I614" s="11" t="str">
        <f>IF(B614="Recreation",IFERROR(INDEX(RecPricing!$E$5:$E$10,MATCH(IF(C614="Mixed","External",IF(C614="Unknown","UoB",C614))&amp;"|"&amp;IF(F614&lt;=24,"&lt;=24",IF(F614&lt;=32,"&lt;=32","Above32")),RecPricing!$F$5:$F$10,0)),""),IFERROR(INDEX(Reference!$E$5:$E$12,MATCH(B614&amp;"|"&amp;IF(C614="Mixed","External",IF(C614="Unknown","UoB",C614))&amp;"|"&amp;IF(F614&lt;=32,"32","40"),Reference!$D$5:$D$12,0)),""))</f>
        <v/>
      </c>
      <c r="J614" s="11" t="str">
        <f t="shared" si="56"/>
        <v/>
      </c>
      <c r="K614" s="12"/>
      <c r="L614" s="11" t="str">
        <f t="shared" si="57"/>
        <v/>
      </c>
      <c r="M614" s="12"/>
      <c r="N614" s="12"/>
      <c r="O614" s="11" t="str">
        <f t="shared" si="58"/>
        <v/>
      </c>
      <c r="P614" s="10" t="str">
        <f t="shared" si="59"/>
        <v/>
      </c>
    </row>
    <row r="615" spans="1:16" ht="15" customHeight="1" x14ac:dyDescent="0.2">
      <c r="A615" s="8"/>
      <c r="B615" s="8"/>
      <c r="C615" s="8"/>
      <c r="D615" s="9"/>
      <c r="E615" s="9"/>
      <c r="F615" s="8"/>
      <c r="G615" s="10" t="str">
        <f t="shared" si="54"/>
        <v/>
      </c>
      <c r="H615" s="10" t="str">
        <f t="shared" si="55"/>
        <v/>
      </c>
      <c r="I615" s="11" t="str">
        <f>IF(B615="Recreation",IFERROR(INDEX(RecPricing!$E$5:$E$10,MATCH(IF(C615="Mixed","External",IF(C615="Unknown","UoB",C615))&amp;"|"&amp;IF(F615&lt;=24,"&lt;=24",IF(F615&lt;=32,"&lt;=32","Above32")),RecPricing!$F$5:$F$10,0)),""),IFERROR(INDEX(Reference!$E$5:$E$12,MATCH(B615&amp;"|"&amp;IF(C615="Mixed","External",IF(C615="Unknown","UoB",C615))&amp;"|"&amp;IF(F615&lt;=32,"32","40"),Reference!$D$5:$D$12,0)),""))</f>
        <v/>
      </c>
      <c r="J615" s="11" t="str">
        <f t="shared" si="56"/>
        <v/>
      </c>
      <c r="K615" s="12"/>
      <c r="L615" s="11" t="str">
        <f t="shared" si="57"/>
        <v/>
      </c>
      <c r="M615" s="12"/>
      <c r="N615" s="12"/>
      <c r="O615" s="11" t="str">
        <f t="shared" si="58"/>
        <v/>
      </c>
      <c r="P615" s="10" t="str">
        <f t="shared" si="59"/>
        <v/>
      </c>
    </row>
    <row r="616" spans="1:16" ht="15" customHeight="1" x14ac:dyDescent="0.2">
      <c r="A616" s="8"/>
      <c r="B616" s="8"/>
      <c r="C616" s="8"/>
      <c r="D616" s="9"/>
      <c r="E616" s="9"/>
      <c r="F616" s="8"/>
      <c r="G616" s="10" t="str">
        <f t="shared" si="54"/>
        <v/>
      </c>
      <c r="H616" s="10" t="str">
        <f t="shared" si="55"/>
        <v/>
      </c>
      <c r="I616" s="11" t="str">
        <f>IF(B616="Recreation",IFERROR(INDEX(RecPricing!$E$5:$E$10,MATCH(IF(C616="Mixed","External",IF(C616="Unknown","UoB",C616))&amp;"|"&amp;IF(F616&lt;=24,"&lt;=24",IF(F616&lt;=32,"&lt;=32","Above32")),RecPricing!$F$5:$F$10,0)),""),IFERROR(INDEX(Reference!$E$5:$E$12,MATCH(B616&amp;"|"&amp;IF(C616="Mixed","External",IF(C616="Unknown","UoB",C616))&amp;"|"&amp;IF(F616&lt;=32,"32","40"),Reference!$D$5:$D$12,0)),""))</f>
        <v/>
      </c>
      <c r="J616" s="11" t="str">
        <f t="shared" si="56"/>
        <v/>
      </c>
      <c r="K616" s="12"/>
      <c r="L616" s="11" t="str">
        <f t="shared" si="57"/>
        <v/>
      </c>
      <c r="M616" s="12"/>
      <c r="N616" s="12"/>
      <c r="O616" s="11" t="str">
        <f t="shared" si="58"/>
        <v/>
      </c>
      <c r="P616" s="10" t="str">
        <f t="shared" si="59"/>
        <v/>
      </c>
    </row>
    <row r="617" spans="1:16" ht="15" customHeight="1" x14ac:dyDescent="0.2">
      <c r="A617" s="8"/>
      <c r="B617" s="8"/>
      <c r="C617" s="8"/>
      <c r="D617" s="9"/>
      <c r="E617" s="9"/>
      <c r="F617" s="8"/>
      <c r="G617" s="10" t="str">
        <f t="shared" si="54"/>
        <v/>
      </c>
      <c r="H617" s="10" t="str">
        <f t="shared" si="55"/>
        <v/>
      </c>
      <c r="I617" s="11" t="str">
        <f>IF(B617="Recreation",IFERROR(INDEX(RecPricing!$E$5:$E$10,MATCH(IF(C617="Mixed","External",IF(C617="Unknown","UoB",C617))&amp;"|"&amp;IF(F617&lt;=24,"&lt;=24",IF(F617&lt;=32,"&lt;=32","Above32")),RecPricing!$F$5:$F$10,0)),""),IFERROR(INDEX(Reference!$E$5:$E$12,MATCH(B617&amp;"|"&amp;IF(C617="Mixed","External",IF(C617="Unknown","UoB",C617))&amp;"|"&amp;IF(F617&lt;=32,"32","40"),Reference!$D$5:$D$12,0)),""))</f>
        <v/>
      </c>
      <c r="J617" s="11" t="str">
        <f t="shared" si="56"/>
        <v/>
      </c>
      <c r="K617" s="12"/>
      <c r="L617" s="11" t="str">
        <f t="shared" si="57"/>
        <v/>
      </c>
      <c r="M617" s="12"/>
      <c r="N617" s="12"/>
      <c r="O617" s="11" t="str">
        <f t="shared" si="58"/>
        <v/>
      </c>
      <c r="P617" s="10" t="str">
        <f t="shared" si="59"/>
        <v/>
      </c>
    </row>
    <row r="618" spans="1:16" ht="15" customHeight="1" x14ac:dyDescent="0.2">
      <c r="A618" s="8"/>
      <c r="B618" s="8"/>
      <c r="C618" s="8"/>
      <c r="D618" s="9"/>
      <c r="E618" s="9"/>
      <c r="F618" s="8"/>
      <c r="G618" s="10" t="str">
        <f t="shared" si="54"/>
        <v/>
      </c>
      <c r="H618" s="10" t="str">
        <f t="shared" si="55"/>
        <v/>
      </c>
      <c r="I618" s="11" t="str">
        <f>IF(B618="Recreation",IFERROR(INDEX(RecPricing!$E$5:$E$10,MATCH(IF(C618="Mixed","External",IF(C618="Unknown","UoB",C618))&amp;"|"&amp;IF(F618&lt;=24,"&lt;=24",IF(F618&lt;=32,"&lt;=32","Above32")),RecPricing!$F$5:$F$10,0)),""),IFERROR(INDEX(Reference!$E$5:$E$12,MATCH(B618&amp;"|"&amp;IF(C618="Mixed","External",IF(C618="Unknown","UoB",C618))&amp;"|"&amp;IF(F618&lt;=32,"32","40"),Reference!$D$5:$D$12,0)),""))</f>
        <v/>
      </c>
      <c r="J618" s="11" t="str">
        <f t="shared" si="56"/>
        <v/>
      </c>
      <c r="K618" s="12"/>
      <c r="L618" s="11" t="str">
        <f t="shared" si="57"/>
        <v/>
      </c>
      <c r="M618" s="12"/>
      <c r="N618" s="12"/>
      <c r="O618" s="11" t="str">
        <f t="shared" si="58"/>
        <v/>
      </c>
      <c r="P618" s="10" t="str">
        <f t="shared" si="59"/>
        <v/>
      </c>
    </row>
    <row r="619" spans="1:16" ht="15" customHeight="1" x14ac:dyDescent="0.2">
      <c r="A619" s="8"/>
      <c r="B619" s="8"/>
      <c r="C619" s="8"/>
      <c r="D619" s="9"/>
      <c r="E619" s="9"/>
      <c r="F619" s="8"/>
      <c r="G619" s="10" t="str">
        <f t="shared" si="54"/>
        <v/>
      </c>
      <c r="H619" s="10" t="str">
        <f t="shared" si="55"/>
        <v/>
      </c>
      <c r="I619" s="11" t="str">
        <f>IF(B619="Recreation",IFERROR(INDEX(RecPricing!$E$5:$E$10,MATCH(IF(C619="Mixed","External",IF(C619="Unknown","UoB",C619))&amp;"|"&amp;IF(F619&lt;=24,"&lt;=24",IF(F619&lt;=32,"&lt;=32","Above32")),RecPricing!$F$5:$F$10,0)),""),IFERROR(INDEX(Reference!$E$5:$E$12,MATCH(B619&amp;"|"&amp;IF(C619="Mixed","External",IF(C619="Unknown","UoB",C619))&amp;"|"&amp;IF(F619&lt;=32,"32","40"),Reference!$D$5:$D$12,0)),""))</f>
        <v/>
      </c>
      <c r="J619" s="11" t="str">
        <f t="shared" si="56"/>
        <v/>
      </c>
      <c r="K619" s="12"/>
      <c r="L619" s="11" t="str">
        <f t="shared" si="57"/>
        <v/>
      </c>
      <c r="M619" s="12"/>
      <c r="N619" s="12"/>
      <c r="O619" s="11" t="str">
        <f t="shared" si="58"/>
        <v/>
      </c>
      <c r="P619" s="10" t="str">
        <f t="shared" si="59"/>
        <v/>
      </c>
    </row>
    <row r="620" spans="1:16" ht="15" customHeight="1" x14ac:dyDescent="0.2">
      <c r="A620" s="8"/>
      <c r="B620" s="8"/>
      <c r="C620" s="8"/>
      <c r="D620" s="9"/>
      <c r="E620" s="9"/>
      <c r="F620" s="8"/>
      <c r="G620" s="10" t="str">
        <f t="shared" si="54"/>
        <v/>
      </c>
      <c r="H620" s="10" t="str">
        <f t="shared" si="55"/>
        <v/>
      </c>
      <c r="I620" s="11" t="str">
        <f>IF(B620="Recreation",IFERROR(INDEX(RecPricing!$E$5:$E$10,MATCH(IF(C620="Mixed","External",IF(C620="Unknown","UoB",C620))&amp;"|"&amp;IF(F620&lt;=24,"&lt;=24",IF(F620&lt;=32,"&lt;=32","Above32")),RecPricing!$F$5:$F$10,0)),""),IFERROR(INDEX(Reference!$E$5:$E$12,MATCH(B620&amp;"|"&amp;IF(C620="Mixed","External",IF(C620="Unknown","UoB",C620))&amp;"|"&amp;IF(F620&lt;=32,"32","40"),Reference!$D$5:$D$12,0)),""))</f>
        <v/>
      </c>
      <c r="J620" s="11" t="str">
        <f t="shared" si="56"/>
        <v/>
      </c>
      <c r="K620" s="12"/>
      <c r="L620" s="11" t="str">
        <f t="shared" si="57"/>
        <v/>
      </c>
      <c r="M620" s="12"/>
      <c r="N620" s="12"/>
      <c r="O620" s="11" t="str">
        <f t="shared" si="58"/>
        <v/>
      </c>
      <c r="P620" s="10" t="str">
        <f t="shared" si="59"/>
        <v/>
      </c>
    </row>
    <row r="621" spans="1:16" ht="15" customHeight="1" x14ac:dyDescent="0.2">
      <c r="A621" s="8"/>
      <c r="B621" s="8"/>
      <c r="C621" s="8"/>
      <c r="D621" s="9"/>
      <c r="E621" s="9"/>
      <c r="F621" s="8"/>
      <c r="G621" s="10" t="str">
        <f t="shared" si="54"/>
        <v/>
      </c>
      <c r="H621" s="10" t="str">
        <f t="shared" si="55"/>
        <v/>
      </c>
      <c r="I621" s="11" t="str">
        <f>IF(B621="Recreation",IFERROR(INDEX(RecPricing!$E$5:$E$10,MATCH(IF(C621="Mixed","External",IF(C621="Unknown","UoB",C621))&amp;"|"&amp;IF(F621&lt;=24,"&lt;=24",IF(F621&lt;=32,"&lt;=32","Above32")),RecPricing!$F$5:$F$10,0)),""),IFERROR(INDEX(Reference!$E$5:$E$12,MATCH(B621&amp;"|"&amp;IF(C621="Mixed","External",IF(C621="Unknown","UoB",C621))&amp;"|"&amp;IF(F621&lt;=32,"32","40"),Reference!$D$5:$D$12,0)),""))</f>
        <v/>
      </c>
      <c r="J621" s="11" t="str">
        <f t="shared" si="56"/>
        <v/>
      </c>
      <c r="K621" s="12"/>
      <c r="L621" s="11" t="str">
        <f t="shared" si="57"/>
        <v/>
      </c>
      <c r="M621" s="12"/>
      <c r="N621" s="12"/>
      <c r="O621" s="11" t="str">
        <f t="shared" si="58"/>
        <v/>
      </c>
      <c r="P621" s="10" t="str">
        <f t="shared" si="59"/>
        <v/>
      </c>
    </row>
    <row r="622" spans="1:16" ht="15" customHeight="1" x14ac:dyDescent="0.2">
      <c r="A622" s="8"/>
      <c r="B622" s="8"/>
      <c r="C622" s="8"/>
      <c r="D622" s="9"/>
      <c r="E622" s="9"/>
      <c r="F622" s="8"/>
      <c r="G622" s="10" t="str">
        <f t="shared" si="54"/>
        <v/>
      </c>
      <c r="H622" s="10" t="str">
        <f t="shared" si="55"/>
        <v/>
      </c>
      <c r="I622" s="11" t="str">
        <f>IF(B622="Recreation",IFERROR(INDEX(RecPricing!$E$5:$E$10,MATCH(IF(C622="Mixed","External",IF(C622="Unknown","UoB",C622))&amp;"|"&amp;IF(F622&lt;=24,"&lt;=24",IF(F622&lt;=32,"&lt;=32","Above32")),RecPricing!$F$5:$F$10,0)),""),IFERROR(INDEX(Reference!$E$5:$E$12,MATCH(B622&amp;"|"&amp;IF(C622="Mixed","External",IF(C622="Unknown","UoB",C622))&amp;"|"&amp;IF(F622&lt;=32,"32","40"),Reference!$D$5:$D$12,0)),""))</f>
        <v/>
      </c>
      <c r="J622" s="11" t="str">
        <f t="shared" si="56"/>
        <v/>
      </c>
      <c r="K622" s="12"/>
      <c r="L622" s="11" t="str">
        <f t="shared" si="57"/>
        <v/>
      </c>
      <c r="M622" s="12"/>
      <c r="N622" s="12"/>
      <c r="O622" s="11" t="str">
        <f t="shared" si="58"/>
        <v/>
      </c>
      <c r="P622" s="10" t="str">
        <f t="shared" si="59"/>
        <v/>
      </c>
    </row>
    <row r="623" spans="1:16" ht="15" customHeight="1" x14ac:dyDescent="0.2">
      <c r="A623" s="8"/>
      <c r="B623" s="8"/>
      <c r="C623" s="8"/>
      <c r="D623" s="9"/>
      <c r="E623" s="9"/>
      <c r="F623" s="8"/>
      <c r="G623" s="10" t="str">
        <f t="shared" si="54"/>
        <v/>
      </c>
      <c r="H623" s="10" t="str">
        <f t="shared" si="55"/>
        <v/>
      </c>
      <c r="I623" s="11" t="str">
        <f>IF(B623="Recreation",IFERROR(INDEX(RecPricing!$E$5:$E$10,MATCH(IF(C623="Mixed","External",IF(C623="Unknown","UoB",C623))&amp;"|"&amp;IF(F623&lt;=24,"&lt;=24",IF(F623&lt;=32,"&lt;=32","Above32")),RecPricing!$F$5:$F$10,0)),""),IFERROR(INDEX(Reference!$E$5:$E$12,MATCH(B623&amp;"|"&amp;IF(C623="Mixed","External",IF(C623="Unknown","UoB",C623))&amp;"|"&amp;IF(F623&lt;=32,"32","40"),Reference!$D$5:$D$12,0)),""))</f>
        <v/>
      </c>
      <c r="J623" s="11" t="str">
        <f t="shared" si="56"/>
        <v/>
      </c>
      <c r="K623" s="12"/>
      <c r="L623" s="11" t="str">
        <f t="shared" si="57"/>
        <v/>
      </c>
      <c r="M623" s="12"/>
      <c r="N623" s="12"/>
      <c r="O623" s="11" t="str">
        <f t="shared" si="58"/>
        <v/>
      </c>
      <c r="P623" s="10" t="str">
        <f t="shared" si="59"/>
        <v/>
      </c>
    </row>
    <row r="624" spans="1:16" ht="15" customHeight="1" x14ac:dyDescent="0.2">
      <c r="A624" s="8"/>
      <c r="B624" s="8"/>
      <c r="C624" s="8"/>
      <c r="D624" s="9"/>
      <c r="E624" s="9"/>
      <c r="F624" s="8"/>
      <c r="G624" s="10" t="str">
        <f t="shared" si="54"/>
        <v/>
      </c>
      <c r="H624" s="10" t="str">
        <f t="shared" si="55"/>
        <v/>
      </c>
      <c r="I624" s="11" t="str">
        <f>IF(B624="Recreation",IFERROR(INDEX(RecPricing!$E$5:$E$10,MATCH(IF(C624="Mixed","External",IF(C624="Unknown","UoB",C624))&amp;"|"&amp;IF(F624&lt;=24,"&lt;=24",IF(F624&lt;=32,"&lt;=32","Above32")),RecPricing!$F$5:$F$10,0)),""),IFERROR(INDEX(Reference!$E$5:$E$12,MATCH(B624&amp;"|"&amp;IF(C624="Mixed","External",IF(C624="Unknown","UoB",C624))&amp;"|"&amp;IF(F624&lt;=32,"32","40"),Reference!$D$5:$D$12,0)),""))</f>
        <v/>
      </c>
      <c r="J624" s="11" t="str">
        <f t="shared" si="56"/>
        <v/>
      </c>
      <c r="K624" s="12"/>
      <c r="L624" s="11" t="str">
        <f t="shared" si="57"/>
        <v/>
      </c>
      <c r="M624" s="12"/>
      <c r="N624" s="12"/>
      <c r="O624" s="11" t="str">
        <f t="shared" si="58"/>
        <v/>
      </c>
      <c r="P624" s="10" t="str">
        <f t="shared" si="59"/>
        <v/>
      </c>
    </row>
    <row r="625" spans="1:16" ht="15" customHeight="1" x14ac:dyDescent="0.2">
      <c r="A625" s="8"/>
      <c r="B625" s="8"/>
      <c r="C625" s="8"/>
      <c r="D625" s="9"/>
      <c r="E625" s="9"/>
      <c r="F625" s="8"/>
      <c r="G625" s="10" t="str">
        <f t="shared" si="54"/>
        <v/>
      </c>
      <c r="H625" s="10" t="str">
        <f t="shared" si="55"/>
        <v/>
      </c>
      <c r="I625" s="11" t="str">
        <f>IF(B625="Recreation",IFERROR(INDEX(RecPricing!$E$5:$E$10,MATCH(IF(C625="Mixed","External",IF(C625="Unknown","UoB",C625))&amp;"|"&amp;IF(F625&lt;=24,"&lt;=24",IF(F625&lt;=32,"&lt;=32","Above32")),RecPricing!$F$5:$F$10,0)),""),IFERROR(INDEX(Reference!$E$5:$E$12,MATCH(B625&amp;"|"&amp;IF(C625="Mixed","External",IF(C625="Unknown","UoB",C625))&amp;"|"&amp;IF(F625&lt;=32,"32","40"),Reference!$D$5:$D$12,0)),""))</f>
        <v/>
      </c>
      <c r="J625" s="11" t="str">
        <f t="shared" si="56"/>
        <v/>
      </c>
      <c r="K625" s="12"/>
      <c r="L625" s="11" t="str">
        <f t="shared" si="57"/>
        <v/>
      </c>
      <c r="M625" s="12"/>
      <c r="N625" s="12"/>
      <c r="O625" s="11" t="str">
        <f t="shared" si="58"/>
        <v/>
      </c>
      <c r="P625" s="10" t="str">
        <f t="shared" si="59"/>
        <v/>
      </c>
    </row>
    <row r="626" spans="1:16" ht="15" customHeight="1" x14ac:dyDescent="0.2">
      <c r="A626" s="8"/>
      <c r="B626" s="8"/>
      <c r="C626" s="8"/>
      <c r="D626" s="9"/>
      <c r="E626" s="9"/>
      <c r="F626" s="8"/>
      <c r="G626" s="10" t="str">
        <f t="shared" si="54"/>
        <v/>
      </c>
      <c r="H626" s="10" t="str">
        <f t="shared" si="55"/>
        <v/>
      </c>
      <c r="I626" s="11" t="str">
        <f>IF(B626="Recreation",IFERROR(INDEX(RecPricing!$E$5:$E$10,MATCH(IF(C626="Mixed","External",IF(C626="Unknown","UoB",C626))&amp;"|"&amp;IF(F626&lt;=24,"&lt;=24",IF(F626&lt;=32,"&lt;=32","Above32")),RecPricing!$F$5:$F$10,0)),""),IFERROR(INDEX(Reference!$E$5:$E$12,MATCH(B626&amp;"|"&amp;IF(C626="Mixed","External",IF(C626="Unknown","UoB",C626))&amp;"|"&amp;IF(F626&lt;=32,"32","40"),Reference!$D$5:$D$12,0)),""))</f>
        <v/>
      </c>
      <c r="J626" s="11" t="str">
        <f t="shared" si="56"/>
        <v/>
      </c>
      <c r="K626" s="12"/>
      <c r="L626" s="11" t="str">
        <f t="shared" si="57"/>
        <v/>
      </c>
      <c r="M626" s="12"/>
      <c r="N626" s="12"/>
      <c r="O626" s="11" t="str">
        <f t="shared" si="58"/>
        <v/>
      </c>
      <c r="P626" s="10" t="str">
        <f t="shared" si="59"/>
        <v/>
      </c>
    </row>
    <row r="627" spans="1:16" ht="15" customHeight="1" x14ac:dyDescent="0.2">
      <c r="A627" s="8"/>
      <c r="B627" s="8"/>
      <c r="C627" s="8"/>
      <c r="D627" s="9"/>
      <c r="E627" s="9"/>
      <c r="F627" s="8"/>
      <c r="G627" s="10" t="str">
        <f t="shared" si="54"/>
        <v/>
      </c>
      <c r="H627" s="10" t="str">
        <f t="shared" si="55"/>
        <v/>
      </c>
      <c r="I627" s="11" t="str">
        <f>IF(B627="Recreation",IFERROR(INDEX(RecPricing!$E$5:$E$10,MATCH(IF(C627="Mixed","External",IF(C627="Unknown","UoB",C627))&amp;"|"&amp;IF(F627&lt;=24,"&lt;=24",IF(F627&lt;=32,"&lt;=32","Above32")),RecPricing!$F$5:$F$10,0)),""),IFERROR(INDEX(Reference!$E$5:$E$12,MATCH(B627&amp;"|"&amp;IF(C627="Mixed","External",IF(C627="Unknown","UoB",C627))&amp;"|"&amp;IF(F627&lt;=32,"32","40"),Reference!$D$5:$D$12,0)),""))</f>
        <v/>
      </c>
      <c r="J627" s="11" t="str">
        <f t="shared" si="56"/>
        <v/>
      </c>
      <c r="K627" s="12"/>
      <c r="L627" s="11" t="str">
        <f t="shared" si="57"/>
        <v/>
      </c>
      <c r="M627" s="12"/>
      <c r="N627" s="12"/>
      <c r="O627" s="11" t="str">
        <f t="shared" si="58"/>
        <v/>
      </c>
      <c r="P627" s="10" t="str">
        <f t="shared" si="59"/>
        <v/>
      </c>
    </row>
    <row r="628" spans="1:16" ht="15" customHeight="1" x14ac:dyDescent="0.2">
      <c r="A628" s="8"/>
      <c r="B628" s="8"/>
      <c r="C628" s="8"/>
      <c r="D628" s="9"/>
      <c r="E628" s="9"/>
      <c r="F628" s="8"/>
      <c r="G628" s="10" t="str">
        <f t="shared" si="54"/>
        <v/>
      </c>
      <c r="H628" s="10" t="str">
        <f t="shared" si="55"/>
        <v/>
      </c>
      <c r="I628" s="11" t="str">
        <f>IF(B628="Recreation",IFERROR(INDEX(RecPricing!$E$5:$E$10,MATCH(IF(C628="Mixed","External",IF(C628="Unknown","UoB",C628))&amp;"|"&amp;IF(F628&lt;=24,"&lt;=24",IF(F628&lt;=32,"&lt;=32","Above32")),RecPricing!$F$5:$F$10,0)),""),IFERROR(INDEX(Reference!$E$5:$E$12,MATCH(B628&amp;"|"&amp;IF(C628="Mixed","External",IF(C628="Unknown","UoB",C628))&amp;"|"&amp;IF(F628&lt;=32,"32","40"),Reference!$D$5:$D$12,0)),""))</f>
        <v/>
      </c>
      <c r="J628" s="11" t="str">
        <f t="shared" si="56"/>
        <v/>
      </c>
      <c r="K628" s="12"/>
      <c r="L628" s="11" t="str">
        <f t="shared" si="57"/>
        <v/>
      </c>
      <c r="M628" s="12"/>
      <c r="N628" s="12"/>
      <c r="O628" s="11" t="str">
        <f t="shared" si="58"/>
        <v/>
      </c>
      <c r="P628" s="10" t="str">
        <f t="shared" si="59"/>
        <v/>
      </c>
    </row>
    <row r="629" spans="1:16" ht="15" customHeight="1" x14ac:dyDescent="0.2">
      <c r="A629" s="8"/>
      <c r="B629" s="8"/>
      <c r="C629" s="8"/>
      <c r="D629" s="9"/>
      <c r="E629" s="9"/>
      <c r="F629" s="8"/>
      <c r="G629" s="10" t="str">
        <f t="shared" si="54"/>
        <v/>
      </c>
      <c r="H629" s="10" t="str">
        <f t="shared" si="55"/>
        <v/>
      </c>
      <c r="I629" s="11" t="str">
        <f>IF(B629="Recreation",IFERROR(INDEX(RecPricing!$E$5:$E$10,MATCH(IF(C629="Mixed","External",IF(C629="Unknown","UoB",C629))&amp;"|"&amp;IF(F629&lt;=24,"&lt;=24",IF(F629&lt;=32,"&lt;=32","Above32")),RecPricing!$F$5:$F$10,0)),""),IFERROR(INDEX(Reference!$E$5:$E$12,MATCH(B629&amp;"|"&amp;IF(C629="Mixed","External",IF(C629="Unknown","UoB",C629))&amp;"|"&amp;IF(F629&lt;=32,"32","40"),Reference!$D$5:$D$12,0)),""))</f>
        <v/>
      </c>
      <c r="J629" s="11" t="str">
        <f t="shared" si="56"/>
        <v/>
      </c>
      <c r="K629" s="12"/>
      <c r="L629" s="11" t="str">
        <f t="shared" si="57"/>
        <v/>
      </c>
      <c r="M629" s="12"/>
      <c r="N629" s="12"/>
      <c r="O629" s="11" t="str">
        <f t="shared" si="58"/>
        <v/>
      </c>
      <c r="P629" s="10" t="str">
        <f t="shared" si="59"/>
        <v/>
      </c>
    </row>
    <row r="630" spans="1:16" ht="15" customHeight="1" x14ac:dyDescent="0.2">
      <c r="A630" s="8"/>
      <c r="B630" s="8"/>
      <c r="C630" s="8"/>
      <c r="D630" s="9"/>
      <c r="E630" s="9"/>
      <c r="F630" s="8"/>
      <c r="G630" s="10" t="str">
        <f t="shared" si="54"/>
        <v/>
      </c>
      <c r="H630" s="10" t="str">
        <f t="shared" si="55"/>
        <v/>
      </c>
      <c r="I630" s="11" t="str">
        <f>IF(B630="Recreation",IFERROR(INDEX(RecPricing!$E$5:$E$10,MATCH(IF(C630="Mixed","External",IF(C630="Unknown","UoB",C630))&amp;"|"&amp;IF(F630&lt;=24,"&lt;=24",IF(F630&lt;=32,"&lt;=32","Above32")),RecPricing!$F$5:$F$10,0)),""),IFERROR(INDEX(Reference!$E$5:$E$12,MATCH(B630&amp;"|"&amp;IF(C630="Mixed","External",IF(C630="Unknown","UoB",C630))&amp;"|"&amp;IF(F630&lt;=32,"32","40"),Reference!$D$5:$D$12,0)),""))</f>
        <v/>
      </c>
      <c r="J630" s="11" t="str">
        <f t="shared" si="56"/>
        <v/>
      </c>
      <c r="K630" s="12"/>
      <c r="L630" s="11" t="str">
        <f t="shared" si="57"/>
        <v/>
      </c>
      <c r="M630" s="12"/>
      <c r="N630" s="12"/>
      <c r="O630" s="11" t="str">
        <f t="shared" si="58"/>
        <v/>
      </c>
      <c r="P630" s="10" t="str">
        <f t="shared" si="59"/>
        <v/>
      </c>
    </row>
    <row r="631" spans="1:16" ht="15" customHeight="1" x14ac:dyDescent="0.2">
      <c r="A631" s="8"/>
      <c r="B631" s="8"/>
      <c r="C631" s="8"/>
      <c r="D631" s="9"/>
      <c r="E631" s="9"/>
      <c r="F631" s="8"/>
      <c r="G631" s="10" t="str">
        <f t="shared" si="54"/>
        <v/>
      </c>
      <c r="H631" s="10" t="str">
        <f t="shared" si="55"/>
        <v/>
      </c>
      <c r="I631" s="11" t="str">
        <f>IF(B631="Recreation",IFERROR(INDEX(RecPricing!$E$5:$E$10,MATCH(IF(C631="Mixed","External",IF(C631="Unknown","UoB",C631))&amp;"|"&amp;IF(F631&lt;=24,"&lt;=24",IF(F631&lt;=32,"&lt;=32","Above32")),RecPricing!$F$5:$F$10,0)),""),IFERROR(INDEX(Reference!$E$5:$E$12,MATCH(B631&amp;"|"&amp;IF(C631="Mixed","External",IF(C631="Unknown","UoB",C631))&amp;"|"&amp;IF(F631&lt;=32,"32","40"),Reference!$D$5:$D$12,0)),""))</f>
        <v/>
      </c>
      <c r="J631" s="11" t="str">
        <f t="shared" si="56"/>
        <v/>
      </c>
      <c r="K631" s="12"/>
      <c r="L631" s="11" t="str">
        <f t="shared" si="57"/>
        <v/>
      </c>
      <c r="M631" s="12"/>
      <c r="N631" s="12"/>
      <c r="O631" s="11" t="str">
        <f t="shared" si="58"/>
        <v/>
      </c>
      <c r="P631" s="10" t="str">
        <f t="shared" si="59"/>
        <v/>
      </c>
    </row>
    <row r="632" spans="1:16" ht="15" customHeight="1" x14ac:dyDescent="0.2">
      <c r="A632" s="8"/>
      <c r="B632" s="8"/>
      <c r="C632" s="8"/>
      <c r="D632" s="9"/>
      <c r="E632" s="9"/>
      <c r="F632" s="8"/>
      <c r="G632" s="10" t="str">
        <f t="shared" si="54"/>
        <v/>
      </c>
      <c r="H632" s="10" t="str">
        <f t="shared" si="55"/>
        <v/>
      </c>
      <c r="I632" s="11" t="str">
        <f>IF(B632="Recreation",IFERROR(INDEX(RecPricing!$E$5:$E$10,MATCH(IF(C632="Mixed","External",IF(C632="Unknown","UoB",C632))&amp;"|"&amp;IF(F632&lt;=24,"&lt;=24",IF(F632&lt;=32,"&lt;=32","Above32")),RecPricing!$F$5:$F$10,0)),""),IFERROR(INDEX(Reference!$E$5:$E$12,MATCH(B632&amp;"|"&amp;IF(C632="Mixed","External",IF(C632="Unknown","UoB",C632))&amp;"|"&amp;IF(F632&lt;=32,"32","40"),Reference!$D$5:$D$12,0)),""))</f>
        <v/>
      </c>
      <c r="J632" s="11" t="str">
        <f t="shared" si="56"/>
        <v/>
      </c>
      <c r="K632" s="12"/>
      <c r="L632" s="11" t="str">
        <f t="shared" si="57"/>
        <v/>
      </c>
      <c r="M632" s="12"/>
      <c r="N632" s="12"/>
      <c r="O632" s="11" t="str">
        <f t="shared" si="58"/>
        <v/>
      </c>
      <c r="P632" s="10" t="str">
        <f t="shared" si="59"/>
        <v/>
      </c>
    </row>
    <row r="633" spans="1:16" ht="15" customHeight="1" x14ac:dyDescent="0.2">
      <c r="A633" s="8"/>
      <c r="B633" s="8"/>
      <c r="C633" s="8"/>
      <c r="D633" s="9"/>
      <c r="E633" s="9"/>
      <c r="F633" s="8"/>
      <c r="G633" s="10" t="str">
        <f t="shared" si="54"/>
        <v/>
      </c>
      <c r="H633" s="10" t="str">
        <f t="shared" si="55"/>
        <v/>
      </c>
      <c r="I633" s="11" t="str">
        <f>IF(B633="Recreation",IFERROR(INDEX(RecPricing!$E$5:$E$10,MATCH(IF(C633="Mixed","External",IF(C633="Unknown","UoB",C633))&amp;"|"&amp;IF(F633&lt;=24,"&lt;=24",IF(F633&lt;=32,"&lt;=32","Above32")),RecPricing!$F$5:$F$10,0)),""),IFERROR(INDEX(Reference!$E$5:$E$12,MATCH(B633&amp;"|"&amp;IF(C633="Mixed","External",IF(C633="Unknown","UoB",C633))&amp;"|"&amp;IF(F633&lt;=32,"32","40"),Reference!$D$5:$D$12,0)),""))</f>
        <v/>
      </c>
      <c r="J633" s="11" t="str">
        <f t="shared" si="56"/>
        <v/>
      </c>
      <c r="K633" s="12"/>
      <c r="L633" s="11" t="str">
        <f t="shared" si="57"/>
        <v/>
      </c>
      <c r="M633" s="12"/>
      <c r="N633" s="12"/>
      <c r="O633" s="11" t="str">
        <f t="shared" si="58"/>
        <v/>
      </c>
      <c r="P633" s="10" t="str">
        <f t="shared" si="59"/>
        <v/>
      </c>
    </row>
    <row r="634" spans="1:16" ht="15" customHeight="1" x14ac:dyDescent="0.2">
      <c r="A634" s="8"/>
      <c r="B634" s="8"/>
      <c r="C634" s="8"/>
      <c r="D634" s="9"/>
      <c r="E634" s="9"/>
      <c r="F634" s="8"/>
      <c r="G634" s="10" t="str">
        <f t="shared" si="54"/>
        <v/>
      </c>
      <c r="H634" s="10" t="str">
        <f t="shared" si="55"/>
        <v/>
      </c>
      <c r="I634" s="11" t="str">
        <f>IF(B634="Recreation",IFERROR(INDEX(RecPricing!$E$5:$E$10,MATCH(IF(C634="Mixed","External",IF(C634="Unknown","UoB",C634))&amp;"|"&amp;IF(F634&lt;=24,"&lt;=24",IF(F634&lt;=32,"&lt;=32","Above32")),RecPricing!$F$5:$F$10,0)),""),IFERROR(INDEX(Reference!$E$5:$E$12,MATCH(B634&amp;"|"&amp;IF(C634="Mixed","External",IF(C634="Unknown","UoB",C634))&amp;"|"&amp;IF(F634&lt;=32,"32","40"),Reference!$D$5:$D$12,0)),""))</f>
        <v/>
      </c>
      <c r="J634" s="11" t="str">
        <f t="shared" si="56"/>
        <v/>
      </c>
      <c r="K634" s="12"/>
      <c r="L634" s="11" t="str">
        <f t="shared" si="57"/>
        <v/>
      </c>
      <c r="M634" s="12"/>
      <c r="N634" s="12"/>
      <c r="O634" s="11" t="str">
        <f t="shared" si="58"/>
        <v/>
      </c>
      <c r="P634" s="10" t="str">
        <f t="shared" si="59"/>
        <v/>
      </c>
    </row>
    <row r="635" spans="1:16" ht="15" customHeight="1" x14ac:dyDescent="0.2">
      <c r="A635" s="8"/>
      <c r="B635" s="8"/>
      <c r="C635" s="8"/>
      <c r="D635" s="9"/>
      <c r="E635" s="9"/>
      <c r="F635" s="8"/>
      <c r="G635" s="10" t="str">
        <f t="shared" si="54"/>
        <v/>
      </c>
      <c r="H635" s="10" t="str">
        <f t="shared" si="55"/>
        <v/>
      </c>
      <c r="I635" s="11" t="str">
        <f>IF(B635="Recreation",IFERROR(INDEX(RecPricing!$E$5:$E$10,MATCH(IF(C635="Mixed","External",IF(C635="Unknown","UoB",C635))&amp;"|"&amp;IF(F635&lt;=24,"&lt;=24",IF(F635&lt;=32,"&lt;=32","Above32")),RecPricing!$F$5:$F$10,0)),""),IFERROR(INDEX(Reference!$E$5:$E$12,MATCH(B635&amp;"|"&amp;IF(C635="Mixed","External",IF(C635="Unknown","UoB",C635))&amp;"|"&amp;IF(F635&lt;=32,"32","40"),Reference!$D$5:$D$12,0)),""))</f>
        <v/>
      </c>
      <c r="J635" s="11" t="str">
        <f t="shared" si="56"/>
        <v/>
      </c>
      <c r="K635" s="12"/>
      <c r="L635" s="11" t="str">
        <f t="shared" si="57"/>
        <v/>
      </c>
      <c r="M635" s="12"/>
      <c r="N635" s="12"/>
      <c r="O635" s="11" t="str">
        <f t="shared" si="58"/>
        <v/>
      </c>
      <c r="P635" s="10" t="str">
        <f t="shared" si="59"/>
        <v/>
      </c>
    </row>
    <row r="636" spans="1:16" ht="15" customHeight="1" x14ac:dyDescent="0.2">
      <c r="A636" s="8"/>
      <c r="B636" s="8"/>
      <c r="C636" s="8"/>
      <c r="D636" s="9"/>
      <c r="E636" s="9"/>
      <c r="F636" s="8"/>
      <c r="G636" s="10" t="str">
        <f t="shared" si="54"/>
        <v/>
      </c>
      <c r="H636" s="10" t="str">
        <f t="shared" si="55"/>
        <v/>
      </c>
      <c r="I636" s="11" t="str">
        <f>IF(B636="Recreation",IFERROR(INDEX(RecPricing!$E$5:$E$10,MATCH(IF(C636="Mixed","External",IF(C636="Unknown","UoB",C636))&amp;"|"&amp;IF(F636&lt;=24,"&lt;=24",IF(F636&lt;=32,"&lt;=32","Above32")),RecPricing!$F$5:$F$10,0)),""),IFERROR(INDEX(Reference!$E$5:$E$12,MATCH(B636&amp;"|"&amp;IF(C636="Mixed","External",IF(C636="Unknown","UoB",C636))&amp;"|"&amp;IF(F636&lt;=32,"32","40"),Reference!$D$5:$D$12,0)),""))</f>
        <v/>
      </c>
      <c r="J636" s="11" t="str">
        <f t="shared" si="56"/>
        <v/>
      </c>
      <c r="K636" s="12"/>
      <c r="L636" s="11" t="str">
        <f t="shared" si="57"/>
        <v/>
      </c>
      <c r="M636" s="12"/>
      <c r="N636" s="12"/>
      <c r="O636" s="11" t="str">
        <f t="shared" si="58"/>
        <v/>
      </c>
      <c r="P636" s="10" t="str">
        <f t="shared" si="59"/>
        <v/>
      </c>
    </row>
    <row r="637" spans="1:16" ht="15" customHeight="1" x14ac:dyDescent="0.2">
      <c r="A637" s="8"/>
      <c r="B637" s="8"/>
      <c r="C637" s="8"/>
      <c r="D637" s="9"/>
      <c r="E637" s="9"/>
      <c r="F637" s="8"/>
      <c r="G637" s="10" t="str">
        <f t="shared" si="54"/>
        <v/>
      </c>
      <c r="H637" s="10" t="str">
        <f t="shared" si="55"/>
        <v/>
      </c>
      <c r="I637" s="11" t="str">
        <f>IF(B637="Recreation",IFERROR(INDEX(RecPricing!$E$5:$E$10,MATCH(IF(C637="Mixed","External",IF(C637="Unknown","UoB",C637))&amp;"|"&amp;IF(F637&lt;=24,"&lt;=24",IF(F637&lt;=32,"&lt;=32","Above32")),RecPricing!$F$5:$F$10,0)),""),IFERROR(INDEX(Reference!$E$5:$E$12,MATCH(B637&amp;"|"&amp;IF(C637="Mixed","External",IF(C637="Unknown","UoB",C637))&amp;"|"&amp;IF(F637&lt;=32,"32","40"),Reference!$D$5:$D$12,0)),""))</f>
        <v/>
      </c>
      <c r="J637" s="11" t="str">
        <f t="shared" si="56"/>
        <v/>
      </c>
      <c r="K637" s="12"/>
      <c r="L637" s="11" t="str">
        <f t="shared" si="57"/>
        <v/>
      </c>
      <c r="M637" s="12"/>
      <c r="N637" s="12"/>
      <c r="O637" s="11" t="str">
        <f t="shared" si="58"/>
        <v/>
      </c>
      <c r="P637" s="10" t="str">
        <f t="shared" si="59"/>
        <v/>
      </c>
    </row>
    <row r="638" spans="1:16" ht="15" customHeight="1" x14ac:dyDescent="0.2">
      <c r="A638" s="8"/>
      <c r="B638" s="8"/>
      <c r="C638" s="8"/>
      <c r="D638" s="9"/>
      <c r="E638" s="9"/>
      <c r="F638" s="8"/>
      <c r="G638" s="10" t="str">
        <f t="shared" si="54"/>
        <v/>
      </c>
      <c r="H638" s="10" t="str">
        <f t="shared" si="55"/>
        <v/>
      </c>
      <c r="I638" s="11" t="str">
        <f>IF(B638="Recreation",IFERROR(INDEX(RecPricing!$E$5:$E$10,MATCH(IF(C638="Mixed","External",IF(C638="Unknown","UoB",C638))&amp;"|"&amp;IF(F638&lt;=24,"&lt;=24",IF(F638&lt;=32,"&lt;=32","Above32")),RecPricing!$F$5:$F$10,0)),""),IFERROR(INDEX(Reference!$E$5:$E$12,MATCH(B638&amp;"|"&amp;IF(C638="Mixed","External",IF(C638="Unknown","UoB",C638))&amp;"|"&amp;IF(F638&lt;=32,"32","40"),Reference!$D$5:$D$12,0)),""))</f>
        <v/>
      </c>
      <c r="J638" s="11" t="str">
        <f t="shared" si="56"/>
        <v/>
      </c>
      <c r="K638" s="12"/>
      <c r="L638" s="11" t="str">
        <f t="shared" si="57"/>
        <v/>
      </c>
      <c r="M638" s="12"/>
      <c r="N638" s="12"/>
      <c r="O638" s="11" t="str">
        <f t="shared" si="58"/>
        <v/>
      </c>
      <c r="P638" s="10" t="str">
        <f t="shared" si="59"/>
        <v/>
      </c>
    </row>
    <row r="639" spans="1:16" ht="15" customHeight="1" x14ac:dyDescent="0.2">
      <c r="A639" s="8"/>
      <c r="B639" s="8"/>
      <c r="C639" s="8"/>
      <c r="D639" s="9"/>
      <c r="E639" s="9"/>
      <c r="F639" s="8"/>
      <c r="G639" s="10" t="str">
        <f t="shared" ref="G639:G702" si="60">IF(OR(D639="",E639=""),"",E639-D639)</f>
        <v/>
      </c>
      <c r="H639" s="10" t="str">
        <f t="shared" ref="H639:H702" si="61">IF(OR(F639="",G639=""),"",F639*G639)</f>
        <v/>
      </c>
      <c r="I639" s="11" t="str">
        <f>IF(B639="Recreation",IFERROR(INDEX(RecPricing!$E$5:$E$10,MATCH(IF(C639="Mixed","External",IF(C639="Unknown","UoB",C639))&amp;"|"&amp;IF(F639&lt;=24,"&lt;=24",IF(F639&lt;=32,"&lt;=32","Above32")),RecPricing!$F$5:$F$10,0)),""),IFERROR(INDEX(Reference!$E$5:$E$12,MATCH(B639&amp;"|"&amp;IF(C639="Mixed","External",IF(C639="Unknown","UoB",C639))&amp;"|"&amp;IF(F639&lt;=32,"32","40"),Reference!$D$5:$D$12,0)),""))</f>
        <v/>
      </c>
      <c r="J639" s="11" t="str">
        <f t="shared" ref="J639:J702" si="62">IF(I639="","",IF(B639="Recreation",IF(F639&lt;=32,I639,I639*IF(F639="",0,F639)),IF(AND(I639&lt;&gt;"",G639&lt;&gt;""),I639*G639,"")))</f>
        <v/>
      </c>
      <c r="K639" s="12"/>
      <c r="L639" s="11" t="str">
        <f t="shared" ref="L639:L702" si="63">IF(J639="","",J639-IF(K639="",0,K639))</f>
        <v/>
      </c>
      <c r="M639" s="12"/>
      <c r="N639" s="12"/>
      <c r="O639" s="11" t="str">
        <f t="shared" ref="O639:O702" si="64">IF(L639="","",L639-IF(M639="",0,M639)-IF(N639="",0,N639))</f>
        <v/>
      </c>
      <c r="P639" s="10" t="str">
        <f t="shared" ref="P639:P702" si="65">IF(D639="","",IF(MONTH(D639)&gt;=8,YEAR(D639)&amp;"-"&amp;RIGHT(YEAR(D639)+1,2),YEAR(D639)-1&amp;"-"&amp;RIGHT(YEAR(D639),2)))</f>
        <v/>
      </c>
    </row>
    <row r="640" spans="1:16" ht="15" customHeight="1" x14ac:dyDescent="0.2">
      <c r="A640" s="8"/>
      <c r="B640" s="8"/>
      <c r="C640" s="8"/>
      <c r="D640" s="9"/>
      <c r="E640" s="9"/>
      <c r="F640" s="8"/>
      <c r="G640" s="10" t="str">
        <f t="shared" si="60"/>
        <v/>
      </c>
      <c r="H640" s="10" t="str">
        <f t="shared" si="61"/>
        <v/>
      </c>
      <c r="I640" s="11" t="str">
        <f>IF(B640="Recreation",IFERROR(INDEX(RecPricing!$E$5:$E$10,MATCH(IF(C640="Mixed","External",IF(C640="Unknown","UoB",C640))&amp;"|"&amp;IF(F640&lt;=24,"&lt;=24",IF(F640&lt;=32,"&lt;=32","Above32")),RecPricing!$F$5:$F$10,0)),""),IFERROR(INDEX(Reference!$E$5:$E$12,MATCH(B640&amp;"|"&amp;IF(C640="Mixed","External",IF(C640="Unknown","UoB",C640))&amp;"|"&amp;IF(F640&lt;=32,"32","40"),Reference!$D$5:$D$12,0)),""))</f>
        <v/>
      </c>
      <c r="J640" s="11" t="str">
        <f t="shared" si="62"/>
        <v/>
      </c>
      <c r="K640" s="12"/>
      <c r="L640" s="11" t="str">
        <f t="shared" si="63"/>
        <v/>
      </c>
      <c r="M640" s="12"/>
      <c r="N640" s="12"/>
      <c r="O640" s="11" t="str">
        <f t="shared" si="64"/>
        <v/>
      </c>
      <c r="P640" s="10" t="str">
        <f t="shared" si="65"/>
        <v/>
      </c>
    </row>
    <row r="641" spans="1:16" ht="15" customHeight="1" x14ac:dyDescent="0.2">
      <c r="A641" s="8"/>
      <c r="B641" s="8"/>
      <c r="C641" s="8"/>
      <c r="D641" s="9"/>
      <c r="E641" s="9"/>
      <c r="F641" s="8"/>
      <c r="G641" s="10" t="str">
        <f t="shared" si="60"/>
        <v/>
      </c>
      <c r="H641" s="10" t="str">
        <f t="shared" si="61"/>
        <v/>
      </c>
      <c r="I641" s="11" t="str">
        <f>IF(B641="Recreation",IFERROR(INDEX(RecPricing!$E$5:$E$10,MATCH(IF(C641="Mixed","External",IF(C641="Unknown","UoB",C641))&amp;"|"&amp;IF(F641&lt;=24,"&lt;=24",IF(F641&lt;=32,"&lt;=32","Above32")),RecPricing!$F$5:$F$10,0)),""),IFERROR(INDEX(Reference!$E$5:$E$12,MATCH(B641&amp;"|"&amp;IF(C641="Mixed","External",IF(C641="Unknown","UoB",C641))&amp;"|"&amp;IF(F641&lt;=32,"32","40"),Reference!$D$5:$D$12,0)),""))</f>
        <v/>
      </c>
      <c r="J641" s="11" t="str">
        <f t="shared" si="62"/>
        <v/>
      </c>
      <c r="K641" s="12"/>
      <c r="L641" s="11" t="str">
        <f t="shared" si="63"/>
        <v/>
      </c>
      <c r="M641" s="12"/>
      <c r="N641" s="12"/>
      <c r="O641" s="11" t="str">
        <f t="shared" si="64"/>
        <v/>
      </c>
      <c r="P641" s="10" t="str">
        <f t="shared" si="65"/>
        <v/>
      </c>
    </row>
    <row r="642" spans="1:16" ht="15" customHeight="1" x14ac:dyDescent="0.2">
      <c r="A642" s="8"/>
      <c r="B642" s="8"/>
      <c r="C642" s="8"/>
      <c r="D642" s="9"/>
      <c r="E642" s="9"/>
      <c r="F642" s="8"/>
      <c r="G642" s="10" t="str">
        <f t="shared" si="60"/>
        <v/>
      </c>
      <c r="H642" s="10" t="str">
        <f t="shared" si="61"/>
        <v/>
      </c>
      <c r="I642" s="11" t="str">
        <f>IF(B642="Recreation",IFERROR(INDEX(RecPricing!$E$5:$E$10,MATCH(IF(C642="Mixed","External",IF(C642="Unknown","UoB",C642))&amp;"|"&amp;IF(F642&lt;=24,"&lt;=24",IF(F642&lt;=32,"&lt;=32","Above32")),RecPricing!$F$5:$F$10,0)),""),IFERROR(INDEX(Reference!$E$5:$E$12,MATCH(B642&amp;"|"&amp;IF(C642="Mixed","External",IF(C642="Unknown","UoB",C642))&amp;"|"&amp;IF(F642&lt;=32,"32","40"),Reference!$D$5:$D$12,0)),""))</f>
        <v/>
      </c>
      <c r="J642" s="11" t="str">
        <f t="shared" si="62"/>
        <v/>
      </c>
      <c r="K642" s="12"/>
      <c r="L642" s="11" t="str">
        <f t="shared" si="63"/>
        <v/>
      </c>
      <c r="M642" s="12"/>
      <c r="N642" s="12"/>
      <c r="O642" s="11" t="str">
        <f t="shared" si="64"/>
        <v/>
      </c>
      <c r="P642" s="10" t="str">
        <f t="shared" si="65"/>
        <v/>
      </c>
    </row>
    <row r="643" spans="1:16" ht="15" customHeight="1" x14ac:dyDescent="0.2">
      <c r="A643" s="8"/>
      <c r="B643" s="8"/>
      <c r="C643" s="8"/>
      <c r="D643" s="9"/>
      <c r="E643" s="9"/>
      <c r="F643" s="8"/>
      <c r="G643" s="10" t="str">
        <f t="shared" si="60"/>
        <v/>
      </c>
      <c r="H643" s="10" t="str">
        <f t="shared" si="61"/>
        <v/>
      </c>
      <c r="I643" s="11" t="str">
        <f>IF(B643="Recreation",IFERROR(INDEX(RecPricing!$E$5:$E$10,MATCH(IF(C643="Mixed","External",IF(C643="Unknown","UoB",C643))&amp;"|"&amp;IF(F643&lt;=24,"&lt;=24",IF(F643&lt;=32,"&lt;=32","Above32")),RecPricing!$F$5:$F$10,0)),""),IFERROR(INDEX(Reference!$E$5:$E$12,MATCH(B643&amp;"|"&amp;IF(C643="Mixed","External",IF(C643="Unknown","UoB",C643))&amp;"|"&amp;IF(F643&lt;=32,"32","40"),Reference!$D$5:$D$12,0)),""))</f>
        <v/>
      </c>
      <c r="J643" s="11" t="str">
        <f t="shared" si="62"/>
        <v/>
      </c>
      <c r="K643" s="12"/>
      <c r="L643" s="11" t="str">
        <f t="shared" si="63"/>
        <v/>
      </c>
      <c r="M643" s="12"/>
      <c r="N643" s="12"/>
      <c r="O643" s="11" t="str">
        <f t="shared" si="64"/>
        <v/>
      </c>
      <c r="P643" s="10" t="str">
        <f t="shared" si="65"/>
        <v/>
      </c>
    </row>
    <row r="644" spans="1:16" ht="15" customHeight="1" x14ac:dyDescent="0.2">
      <c r="A644" s="8"/>
      <c r="B644" s="8"/>
      <c r="C644" s="8"/>
      <c r="D644" s="9"/>
      <c r="E644" s="9"/>
      <c r="F644" s="8"/>
      <c r="G644" s="10" t="str">
        <f t="shared" si="60"/>
        <v/>
      </c>
      <c r="H644" s="10" t="str">
        <f t="shared" si="61"/>
        <v/>
      </c>
      <c r="I644" s="11" t="str">
        <f>IF(B644="Recreation",IFERROR(INDEX(RecPricing!$E$5:$E$10,MATCH(IF(C644="Mixed","External",IF(C644="Unknown","UoB",C644))&amp;"|"&amp;IF(F644&lt;=24,"&lt;=24",IF(F644&lt;=32,"&lt;=32","Above32")),RecPricing!$F$5:$F$10,0)),""),IFERROR(INDEX(Reference!$E$5:$E$12,MATCH(B644&amp;"|"&amp;IF(C644="Mixed","External",IF(C644="Unknown","UoB",C644))&amp;"|"&amp;IF(F644&lt;=32,"32","40"),Reference!$D$5:$D$12,0)),""))</f>
        <v/>
      </c>
      <c r="J644" s="11" t="str">
        <f t="shared" si="62"/>
        <v/>
      </c>
      <c r="K644" s="12"/>
      <c r="L644" s="11" t="str">
        <f t="shared" si="63"/>
        <v/>
      </c>
      <c r="M644" s="12"/>
      <c r="N644" s="12"/>
      <c r="O644" s="11" t="str">
        <f t="shared" si="64"/>
        <v/>
      </c>
      <c r="P644" s="10" t="str">
        <f t="shared" si="65"/>
        <v/>
      </c>
    </row>
    <row r="645" spans="1:16" ht="15" customHeight="1" x14ac:dyDescent="0.2">
      <c r="A645" s="8"/>
      <c r="B645" s="8"/>
      <c r="C645" s="8"/>
      <c r="D645" s="9"/>
      <c r="E645" s="9"/>
      <c r="F645" s="8"/>
      <c r="G645" s="10" t="str">
        <f t="shared" si="60"/>
        <v/>
      </c>
      <c r="H645" s="10" t="str">
        <f t="shared" si="61"/>
        <v/>
      </c>
      <c r="I645" s="11" t="str">
        <f>IF(B645="Recreation",IFERROR(INDEX(RecPricing!$E$5:$E$10,MATCH(IF(C645="Mixed","External",IF(C645="Unknown","UoB",C645))&amp;"|"&amp;IF(F645&lt;=24,"&lt;=24",IF(F645&lt;=32,"&lt;=32","Above32")),RecPricing!$F$5:$F$10,0)),""),IFERROR(INDEX(Reference!$E$5:$E$12,MATCH(B645&amp;"|"&amp;IF(C645="Mixed","External",IF(C645="Unknown","UoB",C645))&amp;"|"&amp;IF(F645&lt;=32,"32","40"),Reference!$D$5:$D$12,0)),""))</f>
        <v/>
      </c>
      <c r="J645" s="11" t="str">
        <f t="shared" si="62"/>
        <v/>
      </c>
      <c r="K645" s="12"/>
      <c r="L645" s="11" t="str">
        <f t="shared" si="63"/>
        <v/>
      </c>
      <c r="M645" s="12"/>
      <c r="N645" s="12"/>
      <c r="O645" s="11" t="str">
        <f t="shared" si="64"/>
        <v/>
      </c>
      <c r="P645" s="10" t="str">
        <f t="shared" si="65"/>
        <v/>
      </c>
    </row>
    <row r="646" spans="1:16" ht="15" customHeight="1" x14ac:dyDescent="0.2">
      <c r="A646" s="8"/>
      <c r="B646" s="8"/>
      <c r="C646" s="8"/>
      <c r="D646" s="9"/>
      <c r="E646" s="9"/>
      <c r="F646" s="8"/>
      <c r="G646" s="10" t="str">
        <f t="shared" si="60"/>
        <v/>
      </c>
      <c r="H646" s="10" t="str">
        <f t="shared" si="61"/>
        <v/>
      </c>
      <c r="I646" s="11" t="str">
        <f>IF(B646="Recreation",IFERROR(INDEX(RecPricing!$E$5:$E$10,MATCH(IF(C646="Mixed","External",IF(C646="Unknown","UoB",C646))&amp;"|"&amp;IF(F646&lt;=24,"&lt;=24",IF(F646&lt;=32,"&lt;=32","Above32")),RecPricing!$F$5:$F$10,0)),""),IFERROR(INDEX(Reference!$E$5:$E$12,MATCH(B646&amp;"|"&amp;IF(C646="Mixed","External",IF(C646="Unknown","UoB",C646))&amp;"|"&amp;IF(F646&lt;=32,"32","40"),Reference!$D$5:$D$12,0)),""))</f>
        <v/>
      </c>
      <c r="J646" s="11" t="str">
        <f t="shared" si="62"/>
        <v/>
      </c>
      <c r="K646" s="12"/>
      <c r="L646" s="11" t="str">
        <f t="shared" si="63"/>
        <v/>
      </c>
      <c r="M646" s="12"/>
      <c r="N646" s="12"/>
      <c r="O646" s="11" t="str">
        <f t="shared" si="64"/>
        <v/>
      </c>
      <c r="P646" s="10" t="str">
        <f t="shared" si="65"/>
        <v/>
      </c>
    </row>
    <row r="647" spans="1:16" ht="15" customHeight="1" x14ac:dyDescent="0.2">
      <c r="A647" s="8"/>
      <c r="B647" s="8"/>
      <c r="C647" s="8"/>
      <c r="D647" s="9"/>
      <c r="E647" s="9"/>
      <c r="F647" s="8"/>
      <c r="G647" s="10" t="str">
        <f t="shared" si="60"/>
        <v/>
      </c>
      <c r="H647" s="10" t="str">
        <f t="shared" si="61"/>
        <v/>
      </c>
      <c r="I647" s="11" t="str">
        <f>IF(B647="Recreation",IFERROR(INDEX(RecPricing!$E$5:$E$10,MATCH(IF(C647="Mixed","External",IF(C647="Unknown","UoB",C647))&amp;"|"&amp;IF(F647&lt;=24,"&lt;=24",IF(F647&lt;=32,"&lt;=32","Above32")),RecPricing!$F$5:$F$10,0)),""),IFERROR(INDEX(Reference!$E$5:$E$12,MATCH(B647&amp;"|"&amp;IF(C647="Mixed","External",IF(C647="Unknown","UoB",C647))&amp;"|"&amp;IF(F647&lt;=32,"32","40"),Reference!$D$5:$D$12,0)),""))</f>
        <v/>
      </c>
      <c r="J647" s="11" t="str">
        <f t="shared" si="62"/>
        <v/>
      </c>
      <c r="K647" s="12"/>
      <c r="L647" s="11" t="str">
        <f t="shared" si="63"/>
        <v/>
      </c>
      <c r="M647" s="12"/>
      <c r="N647" s="12"/>
      <c r="O647" s="11" t="str">
        <f t="shared" si="64"/>
        <v/>
      </c>
      <c r="P647" s="10" t="str">
        <f t="shared" si="65"/>
        <v/>
      </c>
    </row>
    <row r="648" spans="1:16" ht="15" customHeight="1" x14ac:dyDescent="0.2">
      <c r="A648" s="8"/>
      <c r="B648" s="8"/>
      <c r="C648" s="8"/>
      <c r="D648" s="9"/>
      <c r="E648" s="9"/>
      <c r="F648" s="8"/>
      <c r="G648" s="10" t="str">
        <f t="shared" si="60"/>
        <v/>
      </c>
      <c r="H648" s="10" t="str">
        <f t="shared" si="61"/>
        <v/>
      </c>
      <c r="I648" s="11" t="str">
        <f>IF(B648="Recreation",IFERROR(INDEX(RecPricing!$E$5:$E$10,MATCH(IF(C648="Mixed","External",IF(C648="Unknown","UoB",C648))&amp;"|"&amp;IF(F648&lt;=24,"&lt;=24",IF(F648&lt;=32,"&lt;=32","Above32")),RecPricing!$F$5:$F$10,0)),""),IFERROR(INDEX(Reference!$E$5:$E$12,MATCH(B648&amp;"|"&amp;IF(C648="Mixed","External",IF(C648="Unknown","UoB",C648))&amp;"|"&amp;IF(F648&lt;=32,"32","40"),Reference!$D$5:$D$12,0)),""))</f>
        <v/>
      </c>
      <c r="J648" s="11" t="str">
        <f t="shared" si="62"/>
        <v/>
      </c>
      <c r="K648" s="12"/>
      <c r="L648" s="11" t="str">
        <f t="shared" si="63"/>
        <v/>
      </c>
      <c r="M648" s="12"/>
      <c r="N648" s="12"/>
      <c r="O648" s="11" t="str">
        <f t="shared" si="64"/>
        <v/>
      </c>
      <c r="P648" s="10" t="str">
        <f t="shared" si="65"/>
        <v/>
      </c>
    </row>
    <row r="649" spans="1:16" ht="15" customHeight="1" x14ac:dyDescent="0.2">
      <c r="A649" s="8"/>
      <c r="B649" s="8"/>
      <c r="C649" s="8"/>
      <c r="D649" s="9"/>
      <c r="E649" s="9"/>
      <c r="F649" s="8"/>
      <c r="G649" s="10" t="str">
        <f t="shared" si="60"/>
        <v/>
      </c>
      <c r="H649" s="10" t="str">
        <f t="shared" si="61"/>
        <v/>
      </c>
      <c r="I649" s="11" t="str">
        <f>IF(B649="Recreation",IFERROR(INDEX(RecPricing!$E$5:$E$10,MATCH(IF(C649="Mixed","External",IF(C649="Unknown","UoB",C649))&amp;"|"&amp;IF(F649&lt;=24,"&lt;=24",IF(F649&lt;=32,"&lt;=32","Above32")),RecPricing!$F$5:$F$10,0)),""),IFERROR(INDEX(Reference!$E$5:$E$12,MATCH(B649&amp;"|"&amp;IF(C649="Mixed","External",IF(C649="Unknown","UoB",C649))&amp;"|"&amp;IF(F649&lt;=32,"32","40"),Reference!$D$5:$D$12,0)),""))</f>
        <v/>
      </c>
      <c r="J649" s="11" t="str">
        <f t="shared" si="62"/>
        <v/>
      </c>
      <c r="K649" s="12"/>
      <c r="L649" s="11" t="str">
        <f t="shared" si="63"/>
        <v/>
      </c>
      <c r="M649" s="12"/>
      <c r="N649" s="12"/>
      <c r="O649" s="11" t="str">
        <f t="shared" si="64"/>
        <v/>
      </c>
      <c r="P649" s="10" t="str">
        <f t="shared" si="65"/>
        <v/>
      </c>
    </row>
    <row r="650" spans="1:16" ht="15" customHeight="1" x14ac:dyDescent="0.2">
      <c r="A650" s="8"/>
      <c r="B650" s="8"/>
      <c r="C650" s="8"/>
      <c r="D650" s="9"/>
      <c r="E650" s="9"/>
      <c r="F650" s="8"/>
      <c r="G650" s="10" t="str">
        <f t="shared" si="60"/>
        <v/>
      </c>
      <c r="H650" s="10" t="str">
        <f t="shared" si="61"/>
        <v/>
      </c>
      <c r="I650" s="11" t="str">
        <f>IF(B650="Recreation",IFERROR(INDEX(RecPricing!$E$5:$E$10,MATCH(IF(C650="Mixed","External",IF(C650="Unknown","UoB",C650))&amp;"|"&amp;IF(F650&lt;=24,"&lt;=24",IF(F650&lt;=32,"&lt;=32","Above32")),RecPricing!$F$5:$F$10,0)),""),IFERROR(INDEX(Reference!$E$5:$E$12,MATCH(B650&amp;"|"&amp;IF(C650="Mixed","External",IF(C650="Unknown","UoB",C650))&amp;"|"&amp;IF(F650&lt;=32,"32","40"),Reference!$D$5:$D$12,0)),""))</f>
        <v/>
      </c>
      <c r="J650" s="11" t="str">
        <f t="shared" si="62"/>
        <v/>
      </c>
      <c r="K650" s="12"/>
      <c r="L650" s="11" t="str">
        <f t="shared" si="63"/>
        <v/>
      </c>
      <c r="M650" s="12"/>
      <c r="N650" s="12"/>
      <c r="O650" s="11" t="str">
        <f t="shared" si="64"/>
        <v/>
      </c>
      <c r="P650" s="10" t="str">
        <f t="shared" si="65"/>
        <v/>
      </c>
    </row>
    <row r="651" spans="1:16" ht="15" customHeight="1" x14ac:dyDescent="0.2">
      <c r="A651" s="8"/>
      <c r="B651" s="8"/>
      <c r="C651" s="8"/>
      <c r="D651" s="9"/>
      <c r="E651" s="9"/>
      <c r="F651" s="8"/>
      <c r="G651" s="10" t="str">
        <f t="shared" si="60"/>
        <v/>
      </c>
      <c r="H651" s="10" t="str">
        <f t="shared" si="61"/>
        <v/>
      </c>
      <c r="I651" s="11" t="str">
        <f>IF(B651="Recreation",IFERROR(INDEX(RecPricing!$E$5:$E$10,MATCH(IF(C651="Mixed","External",IF(C651="Unknown","UoB",C651))&amp;"|"&amp;IF(F651&lt;=24,"&lt;=24",IF(F651&lt;=32,"&lt;=32","Above32")),RecPricing!$F$5:$F$10,0)),""),IFERROR(INDEX(Reference!$E$5:$E$12,MATCH(B651&amp;"|"&amp;IF(C651="Mixed","External",IF(C651="Unknown","UoB",C651))&amp;"|"&amp;IF(F651&lt;=32,"32","40"),Reference!$D$5:$D$12,0)),""))</f>
        <v/>
      </c>
      <c r="J651" s="11" t="str">
        <f t="shared" si="62"/>
        <v/>
      </c>
      <c r="K651" s="12"/>
      <c r="L651" s="11" t="str">
        <f t="shared" si="63"/>
        <v/>
      </c>
      <c r="M651" s="12"/>
      <c r="N651" s="12"/>
      <c r="O651" s="11" t="str">
        <f t="shared" si="64"/>
        <v/>
      </c>
      <c r="P651" s="10" t="str">
        <f t="shared" si="65"/>
        <v/>
      </c>
    </row>
    <row r="652" spans="1:16" ht="15" customHeight="1" x14ac:dyDescent="0.2">
      <c r="A652" s="8"/>
      <c r="B652" s="8"/>
      <c r="C652" s="8"/>
      <c r="D652" s="9"/>
      <c r="E652" s="9"/>
      <c r="F652" s="8"/>
      <c r="G652" s="10" t="str">
        <f t="shared" si="60"/>
        <v/>
      </c>
      <c r="H652" s="10" t="str">
        <f t="shared" si="61"/>
        <v/>
      </c>
      <c r="I652" s="11" t="str">
        <f>IF(B652="Recreation",IFERROR(INDEX(RecPricing!$E$5:$E$10,MATCH(IF(C652="Mixed","External",IF(C652="Unknown","UoB",C652))&amp;"|"&amp;IF(F652&lt;=24,"&lt;=24",IF(F652&lt;=32,"&lt;=32","Above32")),RecPricing!$F$5:$F$10,0)),""),IFERROR(INDEX(Reference!$E$5:$E$12,MATCH(B652&amp;"|"&amp;IF(C652="Mixed","External",IF(C652="Unknown","UoB",C652))&amp;"|"&amp;IF(F652&lt;=32,"32","40"),Reference!$D$5:$D$12,0)),""))</f>
        <v/>
      </c>
      <c r="J652" s="11" t="str">
        <f t="shared" si="62"/>
        <v/>
      </c>
      <c r="K652" s="12"/>
      <c r="L652" s="11" t="str">
        <f t="shared" si="63"/>
        <v/>
      </c>
      <c r="M652" s="12"/>
      <c r="N652" s="12"/>
      <c r="O652" s="11" t="str">
        <f t="shared" si="64"/>
        <v/>
      </c>
      <c r="P652" s="10" t="str">
        <f t="shared" si="65"/>
        <v/>
      </c>
    </row>
    <row r="653" spans="1:16" ht="15" customHeight="1" x14ac:dyDescent="0.2">
      <c r="A653" s="8"/>
      <c r="B653" s="8"/>
      <c r="C653" s="8"/>
      <c r="D653" s="9"/>
      <c r="E653" s="9"/>
      <c r="F653" s="8"/>
      <c r="G653" s="10" t="str">
        <f t="shared" si="60"/>
        <v/>
      </c>
      <c r="H653" s="10" t="str">
        <f t="shared" si="61"/>
        <v/>
      </c>
      <c r="I653" s="11" t="str">
        <f>IF(B653="Recreation",IFERROR(INDEX(RecPricing!$E$5:$E$10,MATCH(IF(C653="Mixed","External",IF(C653="Unknown","UoB",C653))&amp;"|"&amp;IF(F653&lt;=24,"&lt;=24",IF(F653&lt;=32,"&lt;=32","Above32")),RecPricing!$F$5:$F$10,0)),""),IFERROR(INDEX(Reference!$E$5:$E$12,MATCH(B653&amp;"|"&amp;IF(C653="Mixed","External",IF(C653="Unknown","UoB",C653))&amp;"|"&amp;IF(F653&lt;=32,"32","40"),Reference!$D$5:$D$12,0)),""))</f>
        <v/>
      </c>
      <c r="J653" s="11" t="str">
        <f t="shared" si="62"/>
        <v/>
      </c>
      <c r="K653" s="12"/>
      <c r="L653" s="11" t="str">
        <f t="shared" si="63"/>
        <v/>
      </c>
      <c r="M653" s="12"/>
      <c r="N653" s="12"/>
      <c r="O653" s="11" t="str">
        <f t="shared" si="64"/>
        <v/>
      </c>
      <c r="P653" s="10" t="str">
        <f t="shared" si="65"/>
        <v/>
      </c>
    </row>
    <row r="654" spans="1:16" ht="15" customHeight="1" x14ac:dyDescent="0.2">
      <c r="A654" s="8"/>
      <c r="B654" s="8"/>
      <c r="C654" s="8"/>
      <c r="D654" s="9"/>
      <c r="E654" s="9"/>
      <c r="F654" s="8"/>
      <c r="G654" s="10" t="str">
        <f t="shared" si="60"/>
        <v/>
      </c>
      <c r="H654" s="10" t="str">
        <f t="shared" si="61"/>
        <v/>
      </c>
      <c r="I654" s="11" t="str">
        <f>IF(B654="Recreation",IFERROR(INDEX(RecPricing!$E$5:$E$10,MATCH(IF(C654="Mixed","External",IF(C654="Unknown","UoB",C654))&amp;"|"&amp;IF(F654&lt;=24,"&lt;=24",IF(F654&lt;=32,"&lt;=32","Above32")),RecPricing!$F$5:$F$10,0)),""),IFERROR(INDEX(Reference!$E$5:$E$12,MATCH(B654&amp;"|"&amp;IF(C654="Mixed","External",IF(C654="Unknown","UoB",C654))&amp;"|"&amp;IF(F654&lt;=32,"32","40"),Reference!$D$5:$D$12,0)),""))</f>
        <v/>
      </c>
      <c r="J654" s="11" t="str">
        <f t="shared" si="62"/>
        <v/>
      </c>
      <c r="K654" s="12"/>
      <c r="L654" s="11" t="str">
        <f t="shared" si="63"/>
        <v/>
      </c>
      <c r="M654" s="12"/>
      <c r="N654" s="12"/>
      <c r="O654" s="11" t="str">
        <f t="shared" si="64"/>
        <v/>
      </c>
      <c r="P654" s="10" t="str">
        <f t="shared" si="65"/>
        <v/>
      </c>
    </row>
    <row r="655" spans="1:16" ht="15" customHeight="1" x14ac:dyDescent="0.2">
      <c r="A655" s="8"/>
      <c r="B655" s="8"/>
      <c r="C655" s="8"/>
      <c r="D655" s="9"/>
      <c r="E655" s="9"/>
      <c r="F655" s="8"/>
      <c r="G655" s="10" t="str">
        <f t="shared" si="60"/>
        <v/>
      </c>
      <c r="H655" s="10" t="str">
        <f t="shared" si="61"/>
        <v/>
      </c>
      <c r="I655" s="11" t="str">
        <f>IF(B655="Recreation",IFERROR(INDEX(RecPricing!$E$5:$E$10,MATCH(IF(C655="Mixed","External",IF(C655="Unknown","UoB",C655))&amp;"|"&amp;IF(F655&lt;=24,"&lt;=24",IF(F655&lt;=32,"&lt;=32","Above32")),RecPricing!$F$5:$F$10,0)),""),IFERROR(INDEX(Reference!$E$5:$E$12,MATCH(B655&amp;"|"&amp;IF(C655="Mixed","External",IF(C655="Unknown","UoB",C655))&amp;"|"&amp;IF(F655&lt;=32,"32","40"),Reference!$D$5:$D$12,0)),""))</f>
        <v/>
      </c>
      <c r="J655" s="11" t="str">
        <f t="shared" si="62"/>
        <v/>
      </c>
      <c r="K655" s="12"/>
      <c r="L655" s="11" t="str">
        <f t="shared" si="63"/>
        <v/>
      </c>
      <c r="M655" s="12"/>
      <c r="N655" s="12"/>
      <c r="O655" s="11" t="str">
        <f t="shared" si="64"/>
        <v/>
      </c>
      <c r="P655" s="10" t="str">
        <f t="shared" si="65"/>
        <v/>
      </c>
    </row>
    <row r="656" spans="1:16" ht="15" customHeight="1" x14ac:dyDescent="0.2">
      <c r="A656" s="8"/>
      <c r="B656" s="8"/>
      <c r="C656" s="8"/>
      <c r="D656" s="9"/>
      <c r="E656" s="9"/>
      <c r="F656" s="8"/>
      <c r="G656" s="10" t="str">
        <f t="shared" si="60"/>
        <v/>
      </c>
      <c r="H656" s="10" t="str">
        <f t="shared" si="61"/>
        <v/>
      </c>
      <c r="I656" s="11" t="str">
        <f>IF(B656="Recreation",IFERROR(INDEX(RecPricing!$E$5:$E$10,MATCH(IF(C656="Mixed","External",IF(C656="Unknown","UoB",C656))&amp;"|"&amp;IF(F656&lt;=24,"&lt;=24",IF(F656&lt;=32,"&lt;=32","Above32")),RecPricing!$F$5:$F$10,0)),""),IFERROR(INDEX(Reference!$E$5:$E$12,MATCH(B656&amp;"|"&amp;IF(C656="Mixed","External",IF(C656="Unknown","UoB",C656))&amp;"|"&amp;IF(F656&lt;=32,"32","40"),Reference!$D$5:$D$12,0)),""))</f>
        <v/>
      </c>
      <c r="J656" s="11" t="str">
        <f t="shared" si="62"/>
        <v/>
      </c>
      <c r="K656" s="12"/>
      <c r="L656" s="11" t="str">
        <f t="shared" si="63"/>
        <v/>
      </c>
      <c r="M656" s="12"/>
      <c r="N656" s="12"/>
      <c r="O656" s="11" t="str">
        <f t="shared" si="64"/>
        <v/>
      </c>
      <c r="P656" s="10" t="str">
        <f t="shared" si="65"/>
        <v/>
      </c>
    </row>
    <row r="657" spans="1:16" ht="15" customHeight="1" x14ac:dyDescent="0.2">
      <c r="A657" s="8"/>
      <c r="B657" s="8"/>
      <c r="C657" s="8"/>
      <c r="D657" s="9"/>
      <c r="E657" s="9"/>
      <c r="F657" s="8"/>
      <c r="G657" s="10" t="str">
        <f t="shared" si="60"/>
        <v/>
      </c>
      <c r="H657" s="10" t="str">
        <f t="shared" si="61"/>
        <v/>
      </c>
      <c r="I657" s="11" t="str">
        <f>IF(B657="Recreation",IFERROR(INDEX(RecPricing!$E$5:$E$10,MATCH(IF(C657="Mixed","External",IF(C657="Unknown","UoB",C657))&amp;"|"&amp;IF(F657&lt;=24,"&lt;=24",IF(F657&lt;=32,"&lt;=32","Above32")),RecPricing!$F$5:$F$10,0)),""),IFERROR(INDEX(Reference!$E$5:$E$12,MATCH(B657&amp;"|"&amp;IF(C657="Mixed","External",IF(C657="Unknown","UoB",C657))&amp;"|"&amp;IF(F657&lt;=32,"32","40"),Reference!$D$5:$D$12,0)),""))</f>
        <v/>
      </c>
      <c r="J657" s="11" t="str">
        <f t="shared" si="62"/>
        <v/>
      </c>
      <c r="K657" s="12"/>
      <c r="L657" s="11" t="str">
        <f t="shared" si="63"/>
        <v/>
      </c>
      <c r="M657" s="12"/>
      <c r="N657" s="12"/>
      <c r="O657" s="11" t="str">
        <f t="shared" si="64"/>
        <v/>
      </c>
      <c r="P657" s="10" t="str">
        <f t="shared" si="65"/>
        <v/>
      </c>
    </row>
    <row r="658" spans="1:16" ht="15" customHeight="1" x14ac:dyDescent="0.2">
      <c r="A658" s="8"/>
      <c r="B658" s="8"/>
      <c r="C658" s="8"/>
      <c r="D658" s="9"/>
      <c r="E658" s="9"/>
      <c r="F658" s="8"/>
      <c r="G658" s="10" t="str">
        <f t="shared" si="60"/>
        <v/>
      </c>
      <c r="H658" s="10" t="str">
        <f t="shared" si="61"/>
        <v/>
      </c>
      <c r="I658" s="11" t="str">
        <f>IF(B658="Recreation",IFERROR(INDEX(RecPricing!$E$5:$E$10,MATCH(IF(C658="Mixed","External",IF(C658="Unknown","UoB",C658))&amp;"|"&amp;IF(F658&lt;=24,"&lt;=24",IF(F658&lt;=32,"&lt;=32","Above32")),RecPricing!$F$5:$F$10,0)),""),IFERROR(INDEX(Reference!$E$5:$E$12,MATCH(B658&amp;"|"&amp;IF(C658="Mixed","External",IF(C658="Unknown","UoB",C658))&amp;"|"&amp;IF(F658&lt;=32,"32","40"),Reference!$D$5:$D$12,0)),""))</f>
        <v/>
      </c>
      <c r="J658" s="11" t="str">
        <f t="shared" si="62"/>
        <v/>
      </c>
      <c r="K658" s="12"/>
      <c r="L658" s="11" t="str">
        <f t="shared" si="63"/>
        <v/>
      </c>
      <c r="M658" s="12"/>
      <c r="N658" s="12"/>
      <c r="O658" s="11" t="str">
        <f t="shared" si="64"/>
        <v/>
      </c>
      <c r="P658" s="10" t="str">
        <f t="shared" si="65"/>
        <v/>
      </c>
    </row>
    <row r="659" spans="1:16" ht="15" customHeight="1" x14ac:dyDescent="0.2">
      <c r="A659" s="8"/>
      <c r="B659" s="8"/>
      <c r="C659" s="8"/>
      <c r="D659" s="9"/>
      <c r="E659" s="9"/>
      <c r="F659" s="8"/>
      <c r="G659" s="10" t="str">
        <f t="shared" si="60"/>
        <v/>
      </c>
      <c r="H659" s="10" t="str">
        <f t="shared" si="61"/>
        <v/>
      </c>
      <c r="I659" s="11" t="str">
        <f>IF(B659="Recreation",IFERROR(INDEX(RecPricing!$E$5:$E$10,MATCH(IF(C659="Mixed","External",IF(C659="Unknown","UoB",C659))&amp;"|"&amp;IF(F659&lt;=24,"&lt;=24",IF(F659&lt;=32,"&lt;=32","Above32")),RecPricing!$F$5:$F$10,0)),""),IFERROR(INDEX(Reference!$E$5:$E$12,MATCH(B659&amp;"|"&amp;IF(C659="Mixed","External",IF(C659="Unknown","UoB",C659))&amp;"|"&amp;IF(F659&lt;=32,"32","40"),Reference!$D$5:$D$12,0)),""))</f>
        <v/>
      </c>
      <c r="J659" s="11" t="str">
        <f t="shared" si="62"/>
        <v/>
      </c>
      <c r="K659" s="12"/>
      <c r="L659" s="11" t="str">
        <f t="shared" si="63"/>
        <v/>
      </c>
      <c r="M659" s="12"/>
      <c r="N659" s="12"/>
      <c r="O659" s="11" t="str">
        <f t="shared" si="64"/>
        <v/>
      </c>
      <c r="P659" s="10" t="str">
        <f t="shared" si="65"/>
        <v/>
      </c>
    </row>
    <row r="660" spans="1:16" ht="15" customHeight="1" x14ac:dyDescent="0.2">
      <c r="A660" s="8"/>
      <c r="B660" s="8"/>
      <c r="C660" s="8"/>
      <c r="D660" s="9"/>
      <c r="E660" s="9"/>
      <c r="F660" s="8"/>
      <c r="G660" s="10" t="str">
        <f t="shared" si="60"/>
        <v/>
      </c>
      <c r="H660" s="10" t="str">
        <f t="shared" si="61"/>
        <v/>
      </c>
      <c r="I660" s="11" t="str">
        <f>IF(B660="Recreation",IFERROR(INDEX(RecPricing!$E$5:$E$10,MATCH(IF(C660="Mixed","External",IF(C660="Unknown","UoB",C660))&amp;"|"&amp;IF(F660&lt;=24,"&lt;=24",IF(F660&lt;=32,"&lt;=32","Above32")),RecPricing!$F$5:$F$10,0)),""),IFERROR(INDEX(Reference!$E$5:$E$12,MATCH(B660&amp;"|"&amp;IF(C660="Mixed","External",IF(C660="Unknown","UoB",C660))&amp;"|"&amp;IF(F660&lt;=32,"32","40"),Reference!$D$5:$D$12,0)),""))</f>
        <v/>
      </c>
      <c r="J660" s="11" t="str">
        <f t="shared" si="62"/>
        <v/>
      </c>
      <c r="K660" s="12"/>
      <c r="L660" s="11" t="str">
        <f t="shared" si="63"/>
        <v/>
      </c>
      <c r="M660" s="12"/>
      <c r="N660" s="12"/>
      <c r="O660" s="11" t="str">
        <f t="shared" si="64"/>
        <v/>
      </c>
      <c r="P660" s="10" t="str">
        <f t="shared" si="65"/>
        <v/>
      </c>
    </row>
    <row r="661" spans="1:16" ht="15" customHeight="1" x14ac:dyDescent="0.2">
      <c r="A661" s="8"/>
      <c r="B661" s="8"/>
      <c r="C661" s="8"/>
      <c r="D661" s="9"/>
      <c r="E661" s="9"/>
      <c r="F661" s="8"/>
      <c r="G661" s="10" t="str">
        <f t="shared" si="60"/>
        <v/>
      </c>
      <c r="H661" s="10" t="str">
        <f t="shared" si="61"/>
        <v/>
      </c>
      <c r="I661" s="11" t="str">
        <f>IF(B661="Recreation",IFERROR(INDEX(RecPricing!$E$5:$E$10,MATCH(IF(C661="Mixed","External",IF(C661="Unknown","UoB",C661))&amp;"|"&amp;IF(F661&lt;=24,"&lt;=24",IF(F661&lt;=32,"&lt;=32","Above32")),RecPricing!$F$5:$F$10,0)),""),IFERROR(INDEX(Reference!$E$5:$E$12,MATCH(B661&amp;"|"&amp;IF(C661="Mixed","External",IF(C661="Unknown","UoB",C661))&amp;"|"&amp;IF(F661&lt;=32,"32","40"),Reference!$D$5:$D$12,0)),""))</f>
        <v/>
      </c>
      <c r="J661" s="11" t="str">
        <f t="shared" si="62"/>
        <v/>
      </c>
      <c r="K661" s="12"/>
      <c r="L661" s="11" t="str">
        <f t="shared" si="63"/>
        <v/>
      </c>
      <c r="M661" s="12"/>
      <c r="N661" s="12"/>
      <c r="O661" s="11" t="str">
        <f t="shared" si="64"/>
        <v/>
      </c>
      <c r="P661" s="10" t="str">
        <f t="shared" si="65"/>
        <v/>
      </c>
    </row>
    <row r="662" spans="1:16" ht="15" customHeight="1" x14ac:dyDescent="0.2">
      <c r="A662" s="8"/>
      <c r="B662" s="8"/>
      <c r="C662" s="8"/>
      <c r="D662" s="9"/>
      <c r="E662" s="9"/>
      <c r="F662" s="8"/>
      <c r="G662" s="10" t="str">
        <f t="shared" si="60"/>
        <v/>
      </c>
      <c r="H662" s="10" t="str">
        <f t="shared" si="61"/>
        <v/>
      </c>
      <c r="I662" s="11" t="str">
        <f>IF(B662="Recreation",IFERROR(INDEX(RecPricing!$E$5:$E$10,MATCH(IF(C662="Mixed","External",IF(C662="Unknown","UoB",C662))&amp;"|"&amp;IF(F662&lt;=24,"&lt;=24",IF(F662&lt;=32,"&lt;=32","Above32")),RecPricing!$F$5:$F$10,0)),""),IFERROR(INDEX(Reference!$E$5:$E$12,MATCH(B662&amp;"|"&amp;IF(C662="Mixed","External",IF(C662="Unknown","UoB",C662))&amp;"|"&amp;IF(F662&lt;=32,"32","40"),Reference!$D$5:$D$12,0)),""))</f>
        <v/>
      </c>
      <c r="J662" s="11" t="str">
        <f t="shared" si="62"/>
        <v/>
      </c>
      <c r="K662" s="12"/>
      <c r="L662" s="11" t="str">
        <f t="shared" si="63"/>
        <v/>
      </c>
      <c r="M662" s="12"/>
      <c r="N662" s="12"/>
      <c r="O662" s="11" t="str">
        <f t="shared" si="64"/>
        <v/>
      </c>
      <c r="P662" s="10" t="str">
        <f t="shared" si="65"/>
        <v/>
      </c>
    </row>
    <row r="663" spans="1:16" ht="15" customHeight="1" x14ac:dyDescent="0.2">
      <c r="A663" s="8"/>
      <c r="B663" s="8"/>
      <c r="C663" s="8"/>
      <c r="D663" s="9"/>
      <c r="E663" s="9"/>
      <c r="F663" s="8"/>
      <c r="G663" s="10" t="str">
        <f t="shared" si="60"/>
        <v/>
      </c>
      <c r="H663" s="10" t="str">
        <f t="shared" si="61"/>
        <v/>
      </c>
      <c r="I663" s="11" t="str">
        <f>IF(B663="Recreation",IFERROR(INDEX(RecPricing!$E$5:$E$10,MATCH(IF(C663="Mixed","External",IF(C663="Unknown","UoB",C663))&amp;"|"&amp;IF(F663&lt;=24,"&lt;=24",IF(F663&lt;=32,"&lt;=32","Above32")),RecPricing!$F$5:$F$10,0)),""),IFERROR(INDEX(Reference!$E$5:$E$12,MATCH(B663&amp;"|"&amp;IF(C663="Mixed","External",IF(C663="Unknown","UoB",C663))&amp;"|"&amp;IF(F663&lt;=32,"32","40"),Reference!$D$5:$D$12,0)),""))</f>
        <v/>
      </c>
      <c r="J663" s="11" t="str">
        <f t="shared" si="62"/>
        <v/>
      </c>
      <c r="K663" s="12"/>
      <c r="L663" s="11" t="str">
        <f t="shared" si="63"/>
        <v/>
      </c>
      <c r="M663" s="12"/>
      <c r="N663" s="12"/>
      <c r="O663" s="11" t="str">
        <f t="shared" si="64"/>
        <v/>
      </c>
      <c r="P663" s="10" t="str">
        <f t="shared" si="65"/>
        <v/>
      </c>
    </row>
    <row r="664" spans="1:16" ht="15" customHeight="1" x14ac:dyDescent="0.2">
      <c r="A664" s="8"/>
      <c r="B664" s="8"/>
      <c r="C664" s="8"/>
      <c r="D664" s="9"/>
      <c r="E664" s="9"/>
      <c r="F664" s="8"/>
      <c r="G664" s="10" t="str">
        <f t="shared" si="60"/>
        <v/>
      </c>
      <c r="H664" s="10" t="str">
        <f t="shared" si="61"/>
        <v/>
      </c>
      <c r="I664" s="11" t="str">
        <f>IF(B664="Recreation",IFERROR(INDEX(RecPricing!$E$5:$E$10,MATCH(IF(C664="Mixed","External",IF(C664="Unknown","UoB",C664))&amp;"|"&amp;IF(F664&lt;=24,"&lt;=24",IF(F664&lt;=32,"&lt;=32","Above32")),RecPricing!$F$5:$F$10,0)),""),IFERROR(INDEX(Reference!$E$5:$E$12,MATCH(B664&amp;"|"&amp;IF(C664="Mixed","External",IF(C664="Unknown","UoB",C664))&amp;"|"&amp;IF(F664&lt;=32,"32","40"),Reference!$D$5:$D$12,0)),""))</f>
        <v/>
      </c>
      <c r="J664" s="11" t="str">
        <f t="shared" si="62"/>
        <v/>
      </c>
      <c r="K664" s="12"/>
      <c r="L664" s="11" t="str">
        <f t="shared" si="63"/>
        <v/>
      </c>
      <c r="M664" s="12"/>
      <c r="N664" s="12"/>
      <c r="O664" s="11" t="str">
        <f t="shared" si="64"/>
        <v/>
      </c>
      <c r="P664" s="10" t="str">
        <f t="shared" si="65"/>
        <v/>
      </c>
    </row>
    <row r="665" spans="1:16" ht="15" customHeight="1" x14ac:dyDescent="0.2">
      <c r="A665" s="8"/>
      <c r="B665" s="8"/>
      <c r="C665" s="8"/>
      <c r="D665" s="9"/>
      <c r="E665" s="9"/>
      <c r="F665" s="8"/>
      <c r="G665" s="10" t="str">
        <f t="shared" si="60"/>
        <v/>
      </c>
      <c r="H665" s="10" t="str">
        <f t="shared" si="61"/>
        <v/>
      </c>
      <c r="I665" s="11" t="str">
        <f>IF(B665="Recreation",IFERROR(INDEX(RecPricing!$E$5:$E$10,MATCH(IF(C665="Mixed","External",IF(C665="Unknown","UoB",C665))&amp;"|"&amp;IF(F665&lt;=24,"&lt;=24",IF(F665&lt;=32,"&lt;=32","Above32")),RecPricing!$F$5:$F$10,0)),""),IFERROR(INDEX(Reference!$E$5:$E$12,MATCH(B665&amp;"|"&amp;IF(C665="Mixed","External",IF(C665="Unknown","UoB",C665))&amp;"|"&amp;IF(F665&lt;=32,"32","40"),Reference!$D$5:$D$12,0)),""))</f>
        <v/>
      </c>
      <c r="J665" s="11" t="str">
        <f t="shared" si="62"/>
        <v/>
      </c>
      <c r="K665" s="12"/>
      <c r="L665" s="11" t="str">
        <f t="shared" si="63"/>
        <v/>
      </c>
      <c r="M665" s="12"/>
      <c r="N665" s="12"/>
      <c r="O665" s="11" t="str">
        <f t="shared" si="64"/>
        <v/>
      </c>
      <c r="P665" s="10" t="str">
        <f t="shared" si="65"/>
        <v/>
      </c>
    </row>
    <row r="666" spans="1:16" ht="15" customHeight="1" x14ac:dyDescent="0.2">
      <c r="A666" s="8"/>
      <c r="B666" s="8"/>
      <c r="C666" s="8"/>
      <c r="D666" s="9"/>
      <c r="E666" s="9"/>
      <c r="F666" s="8"/>
      <c r="G666" s="10" t="str">
        <f t="shared" si="60"/>
        <v/>
      </c>
      <c r="H666" s="10" t="str">
        <f t="shared" si="61"/>
        <v/>
      </c>
      <c r="I666" s="11" t="str">
        <f>IF(B666="Recreation",IFERROR(INDEX(RecPricing!$E$5:$E$10,MATCH(IF(C666="Mixed","External",IF(C666="Unknown","UoB",C666))&amp;"|"&amp;IF(F666&lt;=24,"&lt;=24",IF(F666&lt;=32,"&lt;=32","Above32")),RecPricing!$F$5:$F$10,0)),""),IFERROR(INDEX(Reference!$E$5:$E$12,MATCH(B666&amp;"|"&amp;IF(C666="Mixed","External",IF(C666="Unknown","UoB",C666))&amp;"|"&amp;IF(F666&lt;=32,"32","40"),Reference!$D$5:$D$12,0)),""))</f>
        <v/>
      </c>
      <c r="J666" s="11" t="str">
        <f t="shared" si="62"/>
        <v/>
      </c>
      <c r="K666" s="12"/>
      <c r="L666" s="11" t="str">
        <f t="shared" si="63"/>
        <v/>
      </c>
      <c r="M666" s="12"/>
      <c r="N666" s="12"/>
      <c r="O666" s="11" t="str">
        <f t="shared" si="64"/>
        <v/>
      </c>
      <c r="P666" s="10" t="str">
        <f t="shared" si="65"/>
        <v/>
      </c>
    </row>
    <row r="667" spans="1:16" ht="15" customHeight="1" x14ac:dyDescent="0.2">
      <c r="A667" s="8"/>
      <c r="B667" s="8"/>
      <c r="C667" s="8"/>
      <c r="D667" s="9"/>
      <c r="E667" s="9"/>
      <c r="F667" s="8"/>
      <c r="G667" s="10" t="str">
        <f t="shared" si="60"/>
        <v/>
      </c>
      <c r="H667" s="10" t="str">
        <f t="shared" si="61"/>
        <v/>
      </c>
      <c r="I667" s="11" t="str">
        <f>IF(B667="Recreation",IFERROR(INDEX(RecPricing!$E$5:$E$10,MATCH(IF(C667="Mixed","External",IF(C667="Unknown","UoB",C667))&amp;"|"&amp;IF(F667&lt;=24,"&lt;=24",IF(F667&lt;=32,"&lt;=32","Above32")),RecPricing!$F$5:$F$10,0)),""),IFERROR(INDEX(Reference!$E$5:$E$12,MATCH(B667&amp;"|"&amp;IF(C667="Mixed","External",IF(C667="Unknown","UoB",C667))&amp;"|"&amp;IF(F667&lt;=32,"32","40"),Reference!$D$5:$D$12,0)),""))</f>
        <v/>
      </c>
      <c r="J667" s="11" t="str">
        <f t="shared" si="62"/>
        <v/>
      </c>
      <c r="K667" s="12"/>
      <c r="L667" s="11" t="str">
        <f t="shared" si="63"/>
        <v/>
      </c>
      <c r="M667" s="12"/>
      <c r="N667" s="12"/>
      <c r="O667" s="11" t="str">
        <f t="shared" si="64"/>
        <v/>
      </c>
      <c r="P667" s="10" t="str">
        <f t="shared" si="65"/>
        <v/>
      </c>
    </row>
    <row r="668" spans="1:16" ht="15" customHeight="1" x14ac:dyDescent="0.2">
      <c r="A668" s="8"/>
      <c r="B668" s="8"/>
      <c r="C668" s="8"/>
      <c r="D668" s="9"/>
      <c r="E668" s="9"/>
      <c r="F668" s="8"/>
      <c r="G668" s="10" t="str">
        <f t="shared" si="60"/>
        <v/>
      </c>
      <c r="H668" s="10" t="str">
        <f t="shared" si="61"/>
        <v/>
      </c>
      <c r="I668" s="11" t="str">
        <f>IF(B668="Recreation",IFERROR(INDEX(RecPricing!$E$5:$E$10,MATCH(IF(C668="Mixed","External",IF(C668="Unknown","UoB",C668))&amp;"|"&amp;IF(F668&lt;=24,"&lt;=24",IF(F668&lt;=32,"&lt;=32","Above32")),RecPricing!$F$5:$F$10,0)),""),IFERROR(INDEX(Reference!$E$5:$E$12,MATCH(B668&amp;"|"&amp;IF(C668="Mixed","External",IF(C668="Unknown","UoB",C668))&amp;"|"&amp;IF(F668&lt;=32,"32","40"),Reference!$D$5:$D$12,0)),""))</f>
        <v/>
      </c>
      <c r="J668" s="11" t="str">
        <f t="shared" si="62"/>
        <v/>
      </c>
      <c r="K668" s="12"/>
      <c r="L668" s="11" t="str">
        <f t="shared" si="63"/>
        <v/>
      </c>
      <c r="M668" s="12"/>
      <c r="N668" s="12"/>
      <c r="O668" s="11" t="str">
        <f t="shared" si="64"/>
        <v/>
      </c>
      <c r="P668" s="10" t="str">
        <f t="shared" si="65"/>
        <v/>
      </c>
    </row>
    <row r="669" spans="1:16" ht="15" customHeight="1" x14ac:dyDescent="0.2">
      <c r="A669" s="8"/>
      <c r="B669" s="8"/>
      <c r="C669" s="8"/>
      <c r="D669" s="9"/>
      <c r="E669" s="9"/>
      <c r="F669" s="8"/>
      <c r="G669" s="10" t="str">
        <f t="shared" si="60"/>
        <v/>
      </c>
      <c r="H669" s="10" t="str">
        <f t="shared" si="61"/>
        <v/>
      </c>
      <c r="I669" s="11" t="str">
        <f>IF(B669="Recreation",IFERROR(INDEX(RecPricing!$E$5:$E$10,MATCH(IF(C669="Mixed","External",IF(C669="Unknown","UoB",C669))&amp;"|"&amp;IF(F669&lt;=24,"&lt;=24",IF(F669&lt;=32,"&lt;=32","Above32")),RecPricing!$F$5:$F$10,0)),""),IFERROR(INDEX(Reference!$E$5:$E$12,MATCH(B669&amp;"|"&amp;IF(C669="Mixed","External",IF(C669="Unknown","UoB",C669))&amp;"|"&amp;IF(F669&lt;=32,"32","40"),Reference!$D$5:$D$12,0)),""))</f>
        <v/>
      </c>
      <c r="J669" s="11" t="str">
        <f t="shared" si="62"/>
        <v/>
      </c>
      <c r="K669" s="12"/>
      <c r="L669" s="11" t="str">
        <f t="shared" si="63"/>
        <v/>
      </c>
      <c r="M669" s="12"/>
      <c r="N669" s="12"/>
      <c r="O669" s="11" t="str">
        <f t="shared" si="64"/>
        <v/>
      </c>
      <c r="P669" s="10" t="str">
        <f t="shared" si="65"/>
        <v/>
      </c>
    </row>
    <row r="670" spans="1:16" ht="15" customHeight="1" x14ac:dyDescent="0.2">
      <c r="A670" s="8"/>
      <c r="B670" s="8"/>
      <c r="C670" s="8"/>
      <c r="D670" s="9"/>
      <c r="E670" s="9"/>
      <c r="F670" s="8"/>
      <c r="G670" s="10" t="str">
        <f t="shared" si="60"/>
        <v/>
      </c>
      <c r="H670" s="10" t="str">
        <f t="shared" si="61"/>
        <v/>
      </c>
      <c r="I670" s="11" t="str">
        <f>IF(B670="Recreation",IFERROR(INDEX(RecPricing!$E$5:$E$10,MATCH(IF(C670="Mixed","External",IF(C670="Unknown","UoB",C670))&amp;"|"&amp;IF(F670&lt;=24,"&lt;=24",IF(F670&lt;=32,"&lt;=32","Above32")),RecPricing!$F$5:$F$10,0)),""),IFERROR(INDEX(Reference!$E$5:$E$12,MATCH(B670&amp;"|"&amp;IF(C670="Mixed","External",IF(C670="Unknown","UoB",C670))&amp;"|"&amp;IF(F670&lt;=32,"32","40"),Reference!$D$5:$D$12,0)),""))</f>
        <v/>
      </c>
      <c r="J670" s="11" t="str">
        <f t="shared" si="62"/>
        <v/>
      </c>
      <c r="K670" s="12"/>
      <c r="L670" s="11" t="str">
        <f t="shared" si="63"/>
        <v/>
      </c>
      <c r="M670" s="12"/>
      <c r="N670" s="12"/>
      <c r="O670" s="11" t="str">
        <f t="shared" si="64"/>
        <v/>
      </c>
      <c r="P670" s="10" t="str">
        <f t="shared" si="65"/>
        <v/>
      </c>
    </row>
    <row r="671" spans="1:16" ht="15" customHeight="1" x14ac:dyDescent="0.2">
      <c r="A671" s="8"/>
      <c r="B671" s="8"/>
      <c r="C671" s="8"/>
      <c r="D671" s="9"/>
      <c r="E671" s="9"/>
      <c r="F671" s="8"/>
      <c r="G671" s="10" t="str">
        <f t="shared" si="60"/>
        <v/>
      </c>
      <c r="H671" s="10" t="str">
        <f t="shared" si="61"/>
        <v/>
      </c>
      <c r="I671" s="11" t="str">
        <f>IF(B671="Recreation",IFERROR(INDEX(RecPricing!$E$5:$E$10,MATCH(IF(C671="Mixed","External",IF(C671="Unknown","UoB",C671))&amp;"|"&amp;IF(F671&lt;=24,"&lt;=24",IF(F671&lt;=32,"&lt;=32","Above32")),RecPricing!$F$5:$F$10,0)),""),IFERROR(INDEX(Reference!$E$5:$E$12,MATCH(B671&amp;"|"&amp;IF(C671="Mixed","External",IF(C671="Unknown","UoB",C671))&amp;"|"&amp;IF(F671&lt;=32,"32","40"),Reference!$D$5:$D$12,0)),""))</f>
        <v/>
      </c>
      <c r="J671" s="11" t="str">
        <f t="shared" si="62"/>
        <v/>
      </c>
      <c r="K671" s="12"/>
      <c r="L671" s="11" t="str">
        <f t="shared" si="63"/>
        <v/>
      </c>
      <c r="M671" s="12"/>
      <c r="N671" s="12"/>
      <c r="O671" s="11" t="str">
        <f t="shared" si="64"/>
        <v/>
      </c>
      <c r="P671" s="10" t="str">
        <f t="shared" si="65"/>
        <v/>
      </c>
    </row>
    <row r="672" spans="1:16" ht="15" customHeight="1" x14ac:dyDescent="0.2">
      <c r="A672" s="8"/>
      <c r="B672" s="8"/>
      <c r="C672" s="8"/>
      <c r="D672" s="9"/>
      <c r="E672" s="9"/>
      <c r="F672" s="8"/>
      <c r="G672" s="10" t="str">
        <f t="shared" si="60"/>
        <v/>
      </c>
      <c r="H672" s="10" t="str">
        <f t="shared" si="61"/>
        <v/>
      </c>
      <c r="I672" s="11" t="str">
        <f>IF(B672="Recreation",IFERROR(INDEX(RecPricing!$E$5:$E$10,MATCH(IF(C672="Mixed","External",IF(C672="Unknown","UoB",C672))&amp;"|"&amp;IF(F672&lt;=24,"&lt;=24",IF(F672&lt;=32,"&lt;=32","Above32")),RecPricing!$F$5:$F$10,0)),""),IFERROR(INDEX(Reference!$E$5:$E$12,MATCH(B672&amp;"|"&amp;IF(C672="Mixed","External",IF(C672="Unknown","UoB",C672))&amp;"|"&amp;IF(F672&lt;=32,"32","40"),Reference!$D$5:$D$12,0)),""))</f>
        <v/>
      </c>
      <c r="J672" s="11" t="str">
        <f t="shared" si="62"/>
        <v/>
      </c>
      <c r="K672" s="12"/>
      <c r="L672" s="11" t="str">
        <f t="shared" si="63"/>
        <v/>
      </c>
      <c r="M672" s="12"/>
      <c r="N672" s="12"/>
      <c r="O672" s="11" t="str">
        <f t="shared" si="64"/>
        <v/>
      </c>
      <c r="P672" s="10" t="str">
        <f t="shared" si="65"/>
        <v/>
      </c>
    </row>
    <row r="673" spans="1:16" ht="15" customHeight="1" x14ac:dyDescent="0.2">
      <c r="A673" s="8"/>
      <c r="B673" s="8"/>
      <c r="C673" s="8"/>
      <c r="D673" s="9"/>
      <c r="E673" s="9"/>
      <c r="F673" s="8"/>
      <c r="G673" s="10" t="str">
        <f t="shared" si="60"/>
        <v/>
      </c>
      <c r="H673" s="10" t="str">
        <f t="shared" si="61"/>
        <v/>
      </c>
      <c r="I673" s="11" t="str">
        <f>IF(B673="Recreation",IFERROR(INDEX(RecPricing!$E$5:$E$10,MATCH(IF(C673="Mixed","External",IF(C673="Unknown","UoB",C673))&amp;"|"&amp;IF(F673&lt;=24,"&lt;=24",IF(F673&lt;=32,"&lt;=32","Above32")),RecPricing!$F$5:$F$10,0)),""),IFERROR(INDEX(Reference!$E$5:$E$12,MATCH(B673&amp;"|"&amp;IF(C673="Mixed","External",IF(C673="Unknown","UoB",C673))&amp;"|"&amp;IF(F673&lt;=32,"32","40"),Reference!$D$5:$D$12,0)),""))</f>
        <v/>
      </c>
      <c r="J673" s="11" t="str">
        <f t="shared" si="62"/>
        <v/>
      </c>
      <c r="K673" s="12"/>
      <c r="L673" s="11" t="str">
        <f t="shared" si="63"/>
        <v/>
      </c>
      <c r="M673" s="12"/>
      <c r="N673" s="12"/>
      <c r="O673" s="11" t="str">
        <f t="shared" si="64"/>
        <v/>
      </c>
      <c r="P673" s="10" t="str">
        <f t="shared" si="65"/>
        <v/>
      </c>
    </row>
    <row r="674" spans="1:16" ht="15" customHeight="1" x14ac:dyDescent="0.2">
      <c r="A674" s="8"/>
      <c r="B674" s="8"/>
      <c r="C674" s="8"/>
      <c r="D674" s="9"/>
      <c r="E674" s="9"/>
      <c r="F674" s="8"/>
      <c r="G674" s="10" t="str">
        <f t="shared" si="60"/>
        <v/>
      </c>
      <c r="H674" s="10" t="str">
        <f t="shared" si="61"/>
        <v/>
      </c>
      <c r="I674" s="11" t="str">
        <f>IF(B674="Recreation",IFERROR(INDEX(RecPricing!$E$5:$E$10,MATCH(IF(C674="Mixed","External",IF(C674="Unknown","UoB",C674))&amp;"|"&amp;IF(F674&lt;=24,"&lt;=24",IF(F674&lt;=32,"&lt;=32","Above32")),RecPricing!$F$5:$F$10,0)),""),IFERROR(INDEX(Reference!$E$5:$E$12,MATCH(B674&amp;"|"&amp;IF(C674="Mixed","External",IF(C674="Unknown","UoB",C674))&amp;"|"&amp;IF(F674&lt;=32,"32","40"),Reference!$D$5:$D$12,0)),""))</f>
        <v/>
      </c>
      <c r="J674" s="11" t="str">
        <f t="shared" si="62"/>
        <v/>
      </c>
      <c r="K674" s="12"/>
      <c r="L674" s="11" t="str">
        <f t="shared" si="63"/>
        <v/>
      </c>
      <c r="M674" s="12"/>
      <c r="N674" s="12"/>
      <c r="O674" s="11" t="str">
        <f t="shared" si="64"/>
        <v/>
      </c>
      <c r="P674" s="10" t="str">
        <f t="shared" si="65"/>
        <v/>
      </c>
    </row>
    <row r="675" spans="1:16" ht="15" customHeight="1" x14ac:dyDescent="0.2">
      <c r="A675" s="8"/>
      <c r="B675" s="8"/>
      <c r="C675" s="8"/>
      <c r="D675" s="9"/>
      <c r="E675" s="9"/>
      <c r="F675" s="8"/>
      <c r="G675" s="10" t="str">
        <f t="shared" si="60"/>
        <v/>
      </c>
      <c r="H675" s="10" t="str">
        <f t="shared" si="61"/>
        <v/>
      </c>
      <c r="I675" s="11" t="str">
        <f>IF(B675="Recreation",IFERROR(INDEX(RecPricing!$E$5:$E$10,MATCH(IF(C675="Mixed","External",IF(C675="Unknown","UoB",C675))&amp;"|"&amp;IF(F675&lt;=24,"&lt;=24",IF(F675&lt;=32,"&lt;=32","Above32")),RecPricing!$F$5:$F$10,0)),""),IFERROR(INDEX(Reference!$E$5:$E$12,MATCH(B675&amp;"|"&amp;IF(C675="Mixed","External",IF(C675="Unknown","UoB",C675))&amp;"|"&amp;IF(F675&lt;=32,"32","40"),Reference!$D$5:$D$12,0)),""))</f>
        <v/>
      </c>
      <c r="J675" s="11" t="str">
        <f t="shared" si="62"/>
        <v/>
      </c>
      <c r="K675" s="12"/>
      <c r="L675" s="11" t="str">
        <f t="shared" si="63"/>
        <v/>
      </c>
      <c r="M675" s="12"/>
      <c r="N675" s="12"/>
      <c r="O675" s="11" t="str">
        <f t="shared" si="64"/>
        <v/>
      </c>
      <c r="P675" s="10" t="str">
        <f t="shared" si="65"/>
        <v/>
      </c>
    </row>
    <row r="676" spans="1:16" ht="15" customHeight="1" x14ac:dyDescent="0.2">
      <c r="A676" s="8"/>
      <c r="B676" s="8"/>
      <c r="C676" s="8"/>
      <c r="D676" s="9"/>
      <c r="E676" s="9"/>
      <c r="F676" s="8"/>
      <c r="G676" s="10" t="str">
        <f t="shared" si="60"/>
        <v/>
      </c>
      <c r="H676" s="10" t="str">
        <f t="shared" si="61"/>
        <v/>
      </c>
      <c r="I676" s="11" t="str">
        <f>IF(B676="Recreation",IFERROR(INDEX(RecPricing!$E$5:$E$10,MATCH(IF(C676="Mixed","External",IF(C676="Unknown","UoB",C676))&amp;"|"&amp;IF(F676&lt;=24,"&lt;=24",IF(F676&lt;=32,"&lt;=32","Above32")),RecPricing!$F$5:$F$10,0)),""),IFERROR(INDEX(Reference!$E$5:$E$12,MATCH(B676&amp;"|"&amp;IF(C676="Mixed","External",IF(C676="Unknown","UoB",C676))&amp;"|"&amp;IF(F676&lt;=32,"32","40"),Reference!$D$5:$D$12,0)),""))</f>
        <v/>
      </c>
      <c r="J676" s="11" t="str">
        <f t="shared" si="62"/>
        <v/>
      </c>
      <c r="K676" s="12"/>
      <c r="L676" s="11" t="str">
        <f t="shared" si="63"/>
        <v/>
      </c>
      <c r="M676" s="12"/>
      <c r="N676" s="12"/>
      <c r="O676" s="11" t="str">
        <f t="shared" si="64"/>
        <v/>
      </c>
      <c r="P676" s="10" t="str">
        <f t="shared" si="65"/>
        <v/>
      </c>
    </row>
    <row r="677" spans="1:16" ht="15" customHeight="1" x14ac:dyDescent="0.2">
      <c r="A677" s="8"/>
      <c r="B677" s="8"/>
      <c r="C677" s="8"/>
      <c r="D677" s="9"/>
      <c r="E677" s="9"/>
      <c r="F677" s="8"/>
      <c r="G677" s="10" t="str">
        <f t="shared" si="60"/>
        <v/>
      </c>
      <c r="H677" s="10" t="str">
        <f t="shared" si="61"/>
        <v/>
      </c>
      <c r="I677" s="11" t="str">
        <f>IF(B677="Recreation",IFERROR(INDEX(RecPricing!$E$5:$E$10,MATCH(IF(C677="Mixed","External",IF(C677="Unknown","UoB",C677))&amp;"|"&amp;IF(F677&lt;=24,"&lt;=24",IF(F677&lt;=32,"&lt;=32","Above32")),RecPricing!$F$5:$F$10,0)),""),IFERROR(INDEX(Reference!$E$5:$E$12,MATCH(B677&amp;"|"&amp;IF(C677="Mixed","External",IF(C677="Unknown","UoB",C677))&amp;"|"&amp;IF(F677&lt;=32,"32","40"),Reference!$D$5:$D$12,0)),""))</f>
        <v/>
      </c>
      <c r="J677" s="11" t="str">
        <f t="shared" si="62"/>
        <v/>
      </c>
      <c r="K677" s="12"/>
      <c r="L677" s="11" t="str">
        <f t="shared" si="63"/>
        <v/>
      </c>
      <c r="M677" s="12"/>
      <c r="N677" s="12"/>
      <c r="O677" s="11" t="str">
        <f t="shared" si="64"/>
        <v/>
      </c>
      <c r="P677" s="10" t="str">
        <f t="shared" si="65"/>
        <v/>
      </c>
    </row>
    <row r="678" spans="1:16" ht="15" customHeight="1" x14ac:dyDescent="0.2">
      <c r="A678" s="8"/>
      <c r="B678" s="8"/>
      <c r="C678" s="8"/>
      <c r="D678" s="9"/>
      <c r="E678" s="9"/>
      <c r="F678" s="8"/>
      <c r="G678" s="10" t="str">
        <f t="shared" si="60"/>
        <v/>
      </c>
      <c r="H678" s="10" t="str">
        <f t="shared" si="61"/>
        <v/>
      </c>
      <c r="I678" s="11" t="str">
        <f>IF(B678="Recreation",IFERROR(INDEX(RecPricing!$E$5:$E$10,MATCH(IF(C678="Mixed","External",IF(C678="Unknown","UoB",C678))&amp;"|"&amp;IF(F678&lt;=24,"&lt;=24",IF(F678&lt;=32,"&lt;=32","Above32")),RecPricing!$F$5:$F$10,0)),""),IFERROR(INDEX(Reference!$E$5:$E$12,MATCH(B678&amp;"|"&amp;IF(C678="Mixed","External",IF(C678="Unknown","UoB",C678))&amp;"|"&amp;IF(F678&lt;=32,"32","40"),Reference!$D$5:$D$12,0)),""))</f>
        <v/>
      </c>
      <c r="J678" s="11" t="str">
        <f t="shared" si="62"/>
        <v/>
      </c>
      <c r="K678" s="12"/>
      <c r="L678" s="11" t="str">
        <f t="shared" si="63"/>
        <v/>
      </c>
      <c r="M678" s="12"/>
      <c r="N678" s="12"/>
      <c r="O678" s="11" t="str">
        <f t="shared" si="64"/>
        <v/>
      </c>
      <c r="P678" s="10" t="str">
        <f t="shared" si="65"/>
        <v/>
      </c>
    </row>
    <row r="679" spans="1:16" ht="15" customHeight="1" x14ac:dyDescent="0.2">
      <c r="A679" s="8"/>
      <c r="B679" s="8"/>
      <c r="C679" s="8"/>
      <c r="D679" s="9"/>
      <c r="E679" s="9"/>
      <c r="F679" s="8"/>
      <c r="G679" s="10" t="str">
        <f t="shared" si="60"/>
        <v/>
      </c>
      <c r="H679" s="10" t="str">
        <f t="shared" si="61"/>
        <v/>
      </c>
      <c r="I679" s="11" t="str">
        <f>IF(B679="Recreation",IFERROR(INDEX(RecPricing!$E$5:$E$10,MATCH(IF(C679="Mixed","External",IF(C679="Unknown","UoB",C679))&amp;"|"&amp;IF(F679&lt;=24,"&lt;=24",IF(F679&lt;=32,"&lt;=32","Above32")),RecPricing!$F$5:$F$10,0)),""),IFERROR(INDEX(Reference!$E$5:$E$12,MATCH(B679&amp;"|"&amp;IF(C679="Mixed","External",IF(C679="Unknown","UoB",C679))&amp;"|"&amp;IF(F679&lt;=32,"32","40"),Reference!$D$5:$D$12,0)),""))</f>
        <v/>
      </c>
      <c r="J679" s="11" t="str">
        <f t="shared" si="62"/>
        <v/>
      </c>
      <c r="K679" s="12"/>
      <c r="L679" s="11" t="str">
        <f t="shared" si="63"/>
        <v/>
      </c>
      <c r="M679" s="12"/>
      <c r="N679" s="12"/>
      <c r="O679" s="11" t="str">
        <f t="shared" si="64"/>
        <v/>
      </c>
      <c r="P679" s="10" t="str">
        <f t="shared" si="65"/>
        <v/>
      </c>
    </row>
    <row r="680" spans="1:16" ht="15" customHeight="1" x14ac:dyDescent="0.2">
      <c r="A680" s="8"/>
      <c r="B680" s="8"/>
      <c r="C680" s="8"/>
      <c r="D680" s="9"/>
      <c r="E680" s="9"/>
      <c r="F680" s="8"/>
      <c r="G680" s="10" t="str">
        <f t="shared" si="60"/>
        <v/>
      </c>
      <c r="H680" s="10" t="str">
        <f t="shared" si="61"/>
        <v/>
      </c>
      <c r="I680" s="11" t="str">
        <f>IF(B680="Recreation",IFERROR(INDEX(RecPricing!$E$5:$E$10,MATCH(IF(C680="Mixed","External",IF(C680="Unknown","UoB",C680))&amp;"|"&amp;IF(F680&lt;=24,"&lt;=24",IF(F680&lt;=32,"&lt;=32","Above32")),RecPricing!$F$5:$F$10,0)),""),IFERROR(INDEX(Reference!$E$5:$E$12,MATCH(B680&amp;"|"&amp;IF(C680="Mixed","External",IF(C680="Unknown","UoB",C680))&amp;"|"&amp;IF(F680&lt;=32,"32","40"),Reference!$D$5:$D$12,0)),""))</f>
        <v/>
      </c>
      <c r="J680" s="11" t="str">
        <f t="shared" si="62"/>
        <v/>
      </c>
      <c r="K680" s="12"/>
      <c r="L680" s="11" t="str">
        <f t="shared" si="63"/>
        <v/>
      </c>
      <c r="M680" s="12"/>
      <c r="N680" s="12"/>
      <c r="O680" s="11" t="str">
        <f t="shared" si="64"/>
        <v/>
      </c>
      <c r="P680" s="10" t="str">
        <f t="shared" si="65"/>
        <v/>
      </c>
    </row>
    <row r="681" spans="1:16" ht="15" customHeight="1" x14ac:dyDescent="0.2">
      <c r="A681" s="8"/>
      <c r="B681" s="8"/>
      <c r="C681" s="8"/>
      <c r="D681" s="9"/>
      <c r="E681" s="9"/>
      <c r="F681" s="8"/>
      <c r="G681" s="10" t="str">
        <f t="shared" si="60"/>
        <v/>
      </c>
      <c r="H681" s="10" t="str">
        <f t="shared" si="61"/>
        <v/>
      </c>
      <c r="I681" s="11" t="str">
        <f>IF(B681="Recreation",IFERROR(INDEX(RecPricing!$E$5:$E$10,MATCH(IF(C681="Mixed","External",IF(C681="Unknown","UoB",C681))&amp;"|"&amp;IF(F681&lt;=24,"&lt;=24",IF(F681&lt;=32,"&lt;=32","Above32")),RecPricing!$F$5:$F$10,0)),""),IFERROR(INDEX(Reference!$E$5:$E$12,MATCH(B681&amp;"|"&amp;IF(C681="Mixed","External",IF(C681="Unknown","UoB",C681))&amp;"|"&amp;IF(F681&lt;=32,"32","40"),Reference!$D$5:$D$12,0)),""))</f>
        <v/>
      </c>
      <c r="J681" s="11" t="str">
        <f t="shared" si="62"/>
        <v/>
      </c>
      <c r="K681" s="12"/>
      <c r="L681" s="11" t="str">
        <f t="shared" si="63"/>
        <v/>
      </c>
      <c r="M681" s="12"/>
      <c r="N681" s="12"/>
      <c r="O681" s="11" t="str">
        <f t="shared" si="64"/>
        <v/>
      </c>
      <c r="P681" s="10" t="str">
        <f t="shared" si="65"/>
        <v/>
      </c>
    </row>
    <row r="682" spans="1:16" ht="15" customHeight="1" x14ac:dyDescent="0.2">
      <c r="A682" s="8"/>
      <c r="B682" s="8"/>
      <c r="C682" s="8"/>
      <c r="D682" s="9"/>
      <c r="E682" s="9"/>
      <c r="F682" s="8"/>
      <c r="G682" s="10" t="str">
        <f t="shared" si="60"/>
        <v/>
      </c>
      <c r="H682" s="10" t="str">
        <f t="shared" si="61"/>
        <v/>
      </c>
      <c r="I682" s="11" t="str">
        <f>IF(B682="Recreation",IFERROR(INDEX(RecPricing!$E$5:$E$10,MATCH(IF(C682="Mixed","External",IF(C682="Unknown","UoB",C682))&amp;"|"&amp;IF(F682&lt;=24,"&lt;=24",IF(F682&lt;=32,"&lt;=32","Above32")),RecPricing!$F$5:$F$10,0)),""),IFERROR(INDEX(Reference!$E$5:$E$12,MATCH(B682&amp;"|"&amp;IF(C682="Mixed","External",IF(C682="Unknown","UoB",C682))&amp;"|"&amp;IF(F682&lt;=32,"32","40"),Reference!$D$5:$D$12,0)),""))</f>
        <v/>
      </c>
      <c r="J682" s="11" t="str">
        <f t="shared" si="62"/>
        <v/>
      </c>
      <c r="K682" s="12"/>
      <c r="L682" s="11" t="str">
        <f t="shared" si="63"/>
        <v/>
      </c>
      <c r="M682" s="12"/>
      <c r="N682" s="12"/>
      <c r="O682" s="11" t="str">
        <f t="shared" si="64"/>
        <v/>
      </c>
      <c r="P682" s="10" t="str">
        <f t="shared" si="65"/>
        <v/>
      </c>
    </row>
    <row r="683" spans="1:16" ht="15" customHeight="1" x14ac:dyDescent="0.2">
      <c r="A683" s="8"/>
      <c r="B683" s="8"/>
      <c r="C683" s="8"/>
      <c r="D683" s="9"/>
      <c r="E683" s="9"/>
      <c r="F683" s="8"/>
      <c r="G683" s="10" t="str">
        <f t="shared" si="60"/>
        <v/>
      </c>
      <c r="H683" s="10" t="str">
        <f t="shared" si="61"/>
        <v/>
      </c>
      <c r="I683" s="11" t="str">
        <f>IF(B683="Recreation",IFERROR(INDEX(RecPricing!$E$5:$E$10,MATCH(IF(C683="Mixed","External",IF(C683="Unknown","UoB",C683))&amp;"|"&amp;IF(F683&lt;=24,"&lt;=24",IF(F683&lt;=32,"&lt;=32","Above32")),RecPricing!$F$5:$F$10,0)),""),IFERROR(INDEX(Reference!$E$5:$E$12,MATCH(B683&amp;"|"&amp;IF(C683="Mixed","External",IF(C683="Unknown","UoB",C683))&amp;"|"&amp;IF(F683&lt;=32,"32","40"),Reference!$D$5:$D$12,0)),""))</f>
        <v/>
      </c>
      <c r="J683" s="11" t="str">
        <f t="shared" si="62"/>
        <v/>
      </c>
      <c r="K683" s="12"/>
      <c r="L683" s="11" t="str">
        <f t="shared" si="63"/>
        <v/>
      </c>
      <c r="M683" s="12"/>
      <c r="N683" s="12"/>
      <c r="O683" s="11" t="str">
        <f t="shared" si="64"/>
        <v/>
      </c>
      <c r="P683" s="10" t="str">
        <f t="shared" si="65"/>
        <v/>
      </c>
    </row>
    <row r="684" spans="1:16" ht="15" customHeight="1" x14ac:dyDescent="0.2">
      <c r="A684" s="8"/>
      <c r="B684" s="8"/>
      <c r="C684" s="8"/>
      <c r="D684" s="9"/>
      <c r="E684" s="9"/>
      <c r="F684" s="8"/>
      <c r="G684" s="10" t="str">
        <f t="shared" si="60"/>
        <v/>
      </c>
      <c r="H684" s="10" t="str">
        <f t="shared" si="61"/>
        <v/>
      </c>
      <c r="I684" s="11" t="str">
        <f>IF(B684="Recreation",IFERROR(INDEX(RecPricing!$E$5:$E$10,MATCH(IF(C684="Mixed","External",IF(C684="Unknown","UoB",C684))&amp;"|"&amp;IF(F684&lt;=24,"&lt;=24",IF(F684&lt;=32,"&lt;=32","Above32")),RecPricing!$F$5:$F$10,0)),""),IFERROR(INDEX(Reference!$E$5:$E$12,MATCH(B684&amp;"|"&amp;IF(C684="Mixed","External",IF(C684="Unknown","UoB",C684))&amp;"|"&amp;IF(F684&lt;=32,"32","40"),Reference!$D$5:$D$12,0)),""))</f>
        <v/>
      </c>
      <c r="J684" s="11" t="str">
        <f t="shared" si="62"/>
        <v/>
      </c>
      <c r="K684" s="12"/>
      <c r="L684" s="11" t="str">
        <f t="shared" si="63"/>
        <v/>
      </c>
      <c r="M684" s="12"/>
      <c r="N684" s="12"/>
      <c r="O684" s="11" t="str">
        <f t="shared" si="64"/>
        <v/>
      </c>
      <c r="P684" s="10" t="str">
        <f t="shared" si="65"/>
        <v/>
      </c>
    </row>
    <row r="685" spans="1:16" ht="15" customHeight="1" x14ac:dyDescent="0.2">
      <c r="A685" s="8"/>
      <c r="B685" s="8"/>
      <c r="C685" s="8"/>
      <c r="D685" s="9"/>
      <c r="E685" s="9"/>
      <c r="F685" s="8"/>
      <c r="G685" s="10" t="str">
        <f t="shared" si="60"/>
        <v/>
      </c>
      <c r="H685" s="10" t="str">
        <f t="shared" si="61"/>
        <v/>
      </c>
      <c r="I685" s="11" t="str">
        <f>IF(B685="Recreation",IFERROR(INDEX(RecPricing!$E$5:$E$10,MATCH(IF(C685="Mixed","External",IF(C685="Unknown","UoB",C685))&amp;"|"&amp;IF(F685&lt;=24,"&lt;=24",IF(F685&lt;=32,"&lt;=32","Above32")),RecPricing!$F$5:$F$10,0)),""),IFERROR(INDEX(Reference!$E$5:$E$12,MATCH(B685&amp;"|"&amp;IF(C685="Mixed","External",IF(C685="Unknown","UoB",C685))&amp;"|"&amp;IF(F685&lt;=32,"32","40"),Reference!$D$5:$D$12,0)),""))</f>
        <v/>
      </c>
      <c r="J685" s="11" t="str">
        <f t="shared" si="62"/>
        <v/>
      </c>
      <c r="K685" s="12"/>
      <c r="L685" s="11" t="str">
        <f t="shared" si="63"/>
        <v/>
      </c>
      <c r="M685" s="12"/>
      <c r="N685" s="12"/>
      <c r="O685" s="11" t="str">
        <f t="shared" si="64"/>
        <v/>
      </c>
      <c r="P685" s="10" t="str">
        <f t="shared" si="65"/>
        <v/>
      </c>
    </row>
    <row r="686" spans="1:16" ht="15" customHeight="1" x14ac:dyDescent="0.2">
      <c r="A686" s="8"/>
      <c r="B686" s="8"/>
      <c r="C686" s="8"/>
      <c r="D686" s="9"/>
      <c r="E686" s="9"/>
      <c r="F686" s="8"/>
      <c r="G686" s="10" t="str">
        <f t="shared" si="60"/>
        <v/>
      </c>
      <c r="H686" s="10" t="str">
        <f t="shared" si="61"/>
        <v/>
      </c>
      <c r="I686" s="11" t="str">
        <f>IF(B686="Recreation",IFERROR(INDEX(RecPricing!$E$5:$E$10,MATCH(IF(C686="Mixed","External",IF(C686="Unknown","UoB",C686))&amp;"|"&amp;IF(F686&lt;=24,"&lt;=24",IF(F686&lt;=32,"&lt;=32","Above32")),RecPricing!$F$5:$F$10,0)),""),IFERROR(INDEX(Reference!$E$5:$E$12,MATCH(B686&amp;"|"&amp;IF(C686="Mixed","External",IF(C686="Unknown","UoB",C686))&amp;"|"&amp;IF(F686&lt;=32,"32","40"),Reference!$D$5:$D$12,0)),""))</f>
        <v/>
      </c>
      <c r="J686" s="11" t="str">
        <f t="shared" si="62"/>
        <v/>
      </c>
      <c r="K686" s="12"/>
      <c r="L686" s="11" t="str">
        <f t="shared" si="63"/>
        <v/>
      </c>
      <c r="M686" s="12"/>
      <c r="N686" s="12"/>
      <c r="O686" s="11" t="str">
        <f t="shared" si="64"/>
        <v/>
      </c>
      <c r="P686" s="10" t="str">
        <f t="shared" si="65"/>
        <v/>
      </c>
    </row>
    <row r="687" spans="1:16" ht="15" customHeight="1" x14ac:dyDescent="0.2">
      <c r="A687" s="8"/>
      <c r="B687" s="8"/>
      <c r="C687" s="8"/>
      <c r="D687" s="9"/>
      <c r="E687" s="9"/>
      <c r="F687" s="8"/>
      <c r="G687" s="10" t="str">
        <f t="shared" si="60"/>
        <v/>
      </c>
      <c r="H687" s="10" t="str">
        <f t="shared" si="61"/>
        <v/>
      </c>
      <c r="I687" s="11" t="str">
        <f>IF(B687="Recreation",IFERROR(INDEX(RecPricing!$E$5:$E$10,MATCH(IF(C687="Mixed","External",IF(C687="Unknown","UoB",C687))&amp;"|"&amp;IF(F687&lt;=24,"&lt;=24",IF(F687&lt;=32,"&lt;=32","Above32")),RecPricing!$F$5:$F$10,0)),""),IFERROR(INDEX(Reference!$E$5:$E$12,MATCH(B687&amp;"|"&amp;IF(C687="Mixed","External",IF(C687="Unknown","UoB",C687))&amp;"|"&amp;IF(F687&lt;=32,"32","40"),Reference!$D$5:$D$12,0)),""))</f>
        <v/>
      </c>
      <c r="J687" s="11" t="str">
        <f t="shared" si="62"/>
        <v/>
      </c>
      <c r="K687" s="12"/>
      <c r="L687" s="11" t="str">
        <f t="shared" si="63"/>
        <v/>
      </c>
      <c r="M687" s="12"/>
      <c r="N687" s="12"/>
      <c r="O687" s="11" t="str">
        <f t="shared" si="64"/>
        <v/>
      </c>
      <c r="P687" s="10" t="str">
        <f t="shared" si="65"/>
        <v/>
      </c>
    </row>
    <row r="688" spans="1:16" ht="15" customHeight="1" x14ac:dyDescent="0.2">
      <c r="A688" s="8"/>
      <c r="B688" s="8"/>
      <c r="C688" s="8"/>
      <c r="D688" s="9"/>
      <c r="E688" s="9"/>
      <c r="F688" s="8"/>
      <c r="G688" s="10" t="str">
        <f t="shared" si="60"/>
        <v/>
      </c>
      <c r="H688" s="10" t="str">
        <f t="shared" si="61"/>
        <v/>
      </c>
      <c r="I688" s="11" t="str">
        <f>IF(B688="Recreation",IFERROR(INDEX(RecPricing!$E$5:$E$10,MATCH(IF(C688="Mixed","External",IF(C688="Unknown","UoB",C688))&amp;"|"&amp;IF(F688&lt;=24,"&lt;=24",IF(F688&lt;=32,"&lt;=32","Above32")),RecPricing!$F$5:$F$10,0)),""),IFERROR(INDEX(Reference!$E$5:$E$12,MATCH(B688&amp;"|"&amp;IF(C688="Mixed","External",IF(C688="Unknown","UoB",C688))&amp;"|"&amp;IF(F688&lt;=32,"32","40"),Reference!$D$5:$D$12,0)),""))</f>
        <v/>
      </c>
      <c r="J688" s="11" t="str">
        <f t="shared" si="62"/>
        <v/>
      </c>
      <c r="K688" s="12"/>
      <c r="L688" s="11" t="str">
        <f t="shared" si="63"/>
        <v/>
      </c>
      <c r="M688" s="12"/>
      <c r="N688" s="12"/>
      <c r="O688" s="11" t="str">
        <f t="shared" si="64"/>
        <v/>
      </c>
      <c r="P688" s="10" t="str">
        <f t="shared" si="65"/>
        <v/>
      </c>
    </row>
    <row r="689" spans="1:16" ht="15" customHeight="1" x14ac:dyDescent="0.2">
      <c r="A689" s="8"/>
      <c r="B689" s="8"/>
      <c r="C689" s="8"/>
      <c r="D689" s="9"/>
      <c r="E689" s="9"/>
      <c r="F689" s="8"/>
      <c r="G689" s="10" t="str">
        <f t="shared" si="60"/>
        <v/>
      </c>
      <c r="H689" s="10" t="str">
        <f t="shared" si="61"/>
        <v/>
      </c>
      <c r="I689" s="11" t="str">
        <f>IF(B689="Recreation",IFERROR(INDEX(RecPricing!$E$5:$E$10,MATCH(IF(C689="Mixed","External",IF(C689="Unknown","UoB",C689))&amp;"|"&amp;IF(F689&lt;=24,"&lt;=24",IF(F689&lt;=32,"&lt;=32","Above32")),RecPricing!$F$5:$F$10,0)),""),IFERROR(INDEX(Reference!$E$5:$E$12,MATCH(B689&amp;"|"&amp;IF(C689="Mixed","External",IF(C689="Unknown","UoB",C689))&amp;"|"&amp;IF(F689&lt;=32,"32","40"),Reference!$D$5:$D$12,0)),""))</f>
        <v/>
      </c>
      <c r="J689" s="11" t="str">
        <f t="shared" si="62"/>
        <v/>
      </c>
      <c r="K689" s="12"/>
      <c r="L689" s="11" t="str">
        <f t="shared" si="63"/>
        <v/>
      </c>
      <c r="M689" s="12"/>
      <c r="N689" s="12"/>
      <c r="O689" s="11" t="str">
        <f t="shared" si="64"/>
        <v/>
      </c>
      <c r="P689" s="10" t="str">
        <f t="shared" si="65"/>
        <v/>
      </c>
    </row>
    <row r="690" spans="1:16" ht="15" customHeight="1" x14ac:dyDescent="0.2">
      <c r="A690" s="8"/>
      <c r="B690" s="8"/>
      <c r="C690" s="8"/>
      <c r="D690" s="9"/>
      <c r="E690" s="9"/>
      <c r="F690" s="8"/>
      <c r="G690" s="10" t="str">
        <f t="shared" si="60"/>
        <v/>
      </c>
      <c r="H690" s="10" t="str">
        <f t="shared" si="61"/>
        <v/>
      </c>
      <c r="I690" s="11" t="str">
        <f>IF(B690="Recreation",IFERROR(INDEX(RecPricing!$E$5:$E$10,MATCH(IF(C690="Mixed","External",IF(C690="Unknown","UoB",C690))&amp;"|"&amp;IF(F690&lt;=24,"&lt;=24",IF(F690&lt;=32,"&lt;=32","Above32")),RecPricing!$F$5:$F$10,0)),""),IFERROR(INDEX(Reference!$E$5:$E$12,MATCH(B690&amp;"|"&amp;IF(C690="Mixed","External",IF(C690="Unknown","UoB",C690))&amp;"|"&amp;IF(F690&lt;=32,"32","40"),Reference!$D$5:$D$12,0)),""))</f>
        <v/>
      </c>
      <c r="J690" s="11" t="str">
        <f t="shared" si="62"/>
        <v/>
      </c>
      <c r="K690" s="12"/>
      <c r="L690" s="11" t="str">
        <f t="shared" si="63"/>
        <v/>
      </c>
      <c r="M690" s="12"/>
      <c r="N690" s="12"/>
      <c r="O690" s="11" t="str">
        <f t="shared" si="64"/>
        <v/>
      </c>
      <c r="P690" s="10" t="str">
        <f t="shared" si="65"/>
        <v/>
      </c>
    </row>
    <row r="691" spans="1:16" ht="15" customHeight="1" x14ac:dyDescent="0.2">
      <c r="A691" s="8"/>
      <c r="B691" s="8"/>
      <c r="C691" s="8"/>
      <c r="D691" s="9"/>
      <c r="E691" s="9"/>
      <c r="F691" s="8"/>
      <c r="G691" s="10" t="str">
        <f t="shared" si="60"/>
        <v/>
      </c>
      <c r="H691" s="10" t="str">
        <f t="shared" si="61"/>
        <v/>
      </c>
      <c r="I691" s="11" t="str">
        <f>IF(B691="Recreation",IFERROR(INDEX(RecPricing!$E$5:$E$10,MATCH(IF(C691="Mixed","External",IF(C691="Unknown","UoB",C691))&amp;"|"&amp;IF(F691&lt;=24,"&lt;=24",IF(F691&lt;=32,"&lt;=32","Above32")),RecPricing!$F$5:$F$10,0)),""),IFERROR(INDEX(Reference!$E$5:$E$12,MATCH(B691&amp;"|"&amp;IF(C691="Mixed","External",IF(C691="Unknown","UoB",C691))&amp;"|"&amp;IF(F691&lt;=32,"32","40"),Reference!$D$5:$D$12,0)),""))</f>
        <v/>
      </c>
      <c r="J691" s="11" t="str">
        <f t="shared" si="62"/>
        <v/>
      </c>
      <c r="K691" s="12"/>
      <c r="L691" s="11" t="str">
        <f t="shared" si="63"/>
        <v/>
      </c>
      <c r="M691" s="12"/>
      <c r="N691" s="12"/>
      <c r="O691" s="11" t="str">
        <f t="shared" si="64"/>
        <v/>
      </c>
      <c r="P691" s="10" t="str">
        <f t="shared" si="65"/>
        <v/>
      </c>
    </row>
    <row r="692" spans="1:16" ht="15" customHeight="1" x14ac:dyDescent="0.2">
      <c r="A692" s="8"/>
      <c r="B692" s="8"/>
      <c r="C692" s="8"/>
      <c r="D692" s="9"/>
      <c r="E692" s="9"/>
      <c r="F692" s="8"/>
      <c r="G692" s="10" t="str">
        <f t="shared" si="60"/>
        <v/>
      </c>
      <c r="H692" s="10" t="str">
        <f t="shared" si="61"/>
        <v/>
      </c>
      <c r="I692" s="11" t="str">
        <f>IF(B692="Recreation",IFERROR(INDEX(RecPricing!$E$5:$E$10,MATCH(IF(C692="Mixed","External",IF(C692="Unknown","UoB",C692))&amp;"|"&amp;IF(F692&lt;=24,"&lt;=24",IF(F692&lt;=32,"&lt;=32","Above32")),RecPricing!$F$5:$F$10,0)),""),IFERROR(INDEX(Reference!$E$5:$E$12,MATCH(B692&amp;"|"&amp;IF(C692="Mixed","External",IF(C692="Unknown","UoB",C692))&amp;"|"&amp;IF(F692&lt;=32,"32","40"),Reference!$D$5:$D$12,0)),""))</f>
        <v/>
      </c>
      <c r="J692" s="11" t="str">
        <f t="shared" si="62"/>
        <v/>
      </c>
      <c r="K692" s="12"/>
      <c r="L692" s="11" t="str">
        <f t="shared" si="63"/>
        <v/>
      </c>
      <c r="M692" s="12"/>
      <c r="N692" s="12"/>
      <c r="O692" s="11" t="str">
        <f t="shared" si="64"/>
        <v/>
      </c>
      <c r="P692" s="10" t="str">
        <f t="shared" si="65"/>
        <v/>
      </c>
    </row>
    <row r="693" spans="1:16" ht="15" customHeight="1" x14ac:dyDescent="0.2">
      <c r="A693" s="8"/>
      <c r="B693" s="8"/>
      <c r="C693" s="8"/>
      <c r="D693" s="9"/>
      <c r="E693" s="9"/>
      <c r="F693" s="8"/>
      <c r="G693" s="10" t="str">
        <f t="shared" si="60"/>
        <v/>
      </c>
      <c r="H693" s="10" t="str">
        <f t="shared" si="61"/>
        <v/>
      </c>
      <c r="I693" s="11" t="str">
        <f>IF(B693="Recreation",IFERROR(INDEX(RecPricing!$E$5:$E$10,MATCH(IF(C693="Mixed","External",IF(C693="Unknown","UoB",C693))&amp;"|"&amp;IF(F693&lt;=24,"&lt;=24",IF(F693&lt;=32,"&lt;=32","Above32")),RecPricing!$F$5:$F$10,0)),""),IFERROR(INDEX(Reference!$E$5:$E$12,MATCH(B693&amp;"|"&amp;IF(C693="Mixed","External",IF(C693="Unknown","UoB",C693))&amp;"|"&amp;IF(F693&lt;=32,"32","40"),Reference!$D$5:$D$12,0)),""))</f>
        <v/>
      </c>
      <c r="J693" s="11" t="str">
        <f t="shared" si="62"/>
        <v/>
      </c>
      <c r="K693" s="12"/>
      <c r="L693" s="11" t="str">
        <f t="shared" si="63"/>
        <v/>
      </c>
      <c r="M693" s="12"/>
      <c r="N693" s="12"/>
      <c r="O693" s="11" t="str">
        <f t="shared" si="64"/>
        <v/>
      </c>
      <c r="P693" s="10" t="str">
        <f t="shared" si="65"/>
        <v/>
      </c>
    </row>
    <row r="694" spans="1:16" ht="15" customHeight="1" x14ac:dyDescent="0.2">
      <c r="A694" s="8"/>
      <c r="B694" s="8"/>
      <c r="C694" s="8"/>
      <c r="D694" s="9"/>
      <c r="E694" s="9"/>
      <c r="F694" s="8"/>
      <c r="G694" s="10" t="str">
        <f t="shared" si="60"/>
        <v/>
      </c>
      <c r="H694" s="10" t="str">
        <f t="shared" si="61"/>
        <v/>
      </c>
      <c r="I694" s="11" t="str">
        <f>IF(B694="Recreation",IFERROR(INDEX(RecPricing!$E$5:$E$10,MATCH(IF(C694="Mixed","External",IF(C694="Unknown","UoB",C694))&amp;"|"&amp;IF(F694&lt;=24,"&lt;=24",IF(F694&lt;=32,"&lt;=32","Above32")),RecPricing!$F$5:$F$10,0)),""),IFERROR(INDEX(Reference!$E$5:$E$12,MATCH(B694&amp;"|"&amp;IF(C694="Mixed","External",IF(C694="Unknown","UoB",C694))&amp;"|"&amp;IF(F694&lt;=32,"32","40"),Reference!$D$5:$D$12,0)),""))</f>
        <v/>
      </c>
      <c r="J694" s="11" t="str">
        <f t="shared" si="62"/>
        <v/>
      </c>
      <c r="K694" s="12"/>
      <c r="L694" s="11" t="str">
        <f t="shared" si="63"/>
        <v/>
      </c>
      <c r="M694" s="12"/>
      <c r="N694" s="12"/>
      <c r="O694" s="11" t="str">
        <f t="shared" si="64"/>
        <v/>
      </c>
      <c r="P694" s="10" t="str">
        <f t="shared" si="65"/>
        <v/>
      </c>
    </row>
    <row r="695" spans="1:16" ht="15" customHeight="1" x14ac:dyDescent="0.2">
      <c r="A695" s="8"/>
      <c r="B695" s="8"/>
      <c r="C695" s="8"/>
      <c r="D695" s="9"/>
      <c r="E695" s="9"/>
      <c r="F695" s="8"/>
      <c r="G695" s="10" t="str">
        <f t="shared" si="60"/>
        <v/>
      </c>
      <c r="H695" s="10" t="str">
        <f t="shared" si="61"/>
        <v/>
      </c>
      <c r="I695" s="11" t="str">
        <f>IF(B695="Recreation",IFERROR(INDEX(RecPricing!$E$5:$E$10,MATCH(IF(C695="Mixed","External",IF(C695="Unknown","UoB",C695))&amp;"|"&amp;IF(F695&lt;=24,"&lt;=24",IF(F695&lt;=32,"&lt;=32","Above32")),RecPricing!$F$5:$F$10,0)),""),IFERROR(INDEX(Reference!$E$5:$E$12,MATCH(B695&amp;"|"&amp;IF(C695="Mixed","External",IF(C695="Unknown","UoB",C695))&amp;"|"&amp;IF(F695&lt;=32,"32","40"),Reference!$D$5:$D$12,0)),""))</f>
        <v/>
      </c>
      <c r="J695" s="11" t="str">
        <f t="shared" si="62"/>
        <v/>
      </c>
      <c r="K695" s="12"/>
      <c r="L695" s="11" t="str">
        <f t="shared" si="63"/>
        <v/>
      </c>
      <c r="M695" s="12"/>
      <c r="N695" s="12"/>
      <c r="O695" s="11" t="str">
        <f t="shared" si="64"/>
        <v/>
      </c>
      <c r="P695" s="10" t="str">
        <f t="shared" si="65"/>
        <v/>
      </c>
    </row>
    <row r="696" spans="1:16" ht="15" customHeight="1" x14ac:dyDescent="0.2">
      <c r="A696" s="8"/>
      <c r="B696" s="8"/>
      <c r="C696" s="8"/>
      <c r="D696" s="9"/>
      <c r="E696" s="9"/>
      <c r="F696" s="8"/>
      <c r="G696" s="10" t="str">
        <f t="shared" si="60"/>
        <v/>
      </c>
      <c r="H696" s="10" t="str">
        <f t="shared" si="61"/>
        <v/>
      </c>
      <c r="I696" s="11" t="str">
        <f>IF(B696="Recreation",IFERROR(INDEX(RecPricing!$E$5:$E$10,MATCH(IF(C696="Mixed","External",IF(C696="Unknown","UoB",C696))&amp;"|"&amp;IF(F696&lt;=24,"&lt;=24",IF(F696&lt;=32,"&lt;=32","Above32")),RecPricing!$F$5:$F$10,0)),""),IFERROR(INDEX(Reference!$E$5:$E$12,MATCH(B696&amp;"|"&amp;IF(C696="Mixed","External",IF(C696="Unknown","UoB",C696))&amp;"|"&amp;IF(F696&lt;=32,"32","40"),Reference!$D$5:$D$12,0)),""))</f>
        <v/>
      </c>
      <c r="J696" s="11" t="str">
        <f t="shared" si="62"/>
        <v/>
      </c>
      <c r="K696" s="12"/>
      <c r="L696" s="11" t="str">
        <f t="shared" si="63"/>
        <v/>
      </c>
      <c r="M696" s="12"/>
      <c r="N696" s="12"/>
      <c r="O696" s="11" t="str">
        <f t="shared" si="64"/>
        <v/>
      </c>
      <c r="P696" s="10" t="str">
        <f t="shared" si="65"/>
        <v/>
      </c>
    </row>
    <row r="697" spans="1:16" ht="15" customHeight="1" x14ac:dyDescent="0.2">
      <c r="A697" s="8"/>
      <c r="B697" s="8"/>
      <c r="C697" s="8"/>
      <c r="D697" s="9"/>
      <c r="E697" s="9"/>
      <c r="F697" s="8"/>
      <c r="G697" s="10" t="str">
        <f t="shared" si="60"/>
        <v/>
      </c>
      <c r="H697" s="10" t="str">
        <f t="shared" si="61"/>
        <v/>
      </c>
      <c r="I697" s="11" t="str">
        <f>IF(B697="Recreation",IFERROR(INDEX(RecPricing!$E$5:$E$10,MATCH(IF(C697="Mixed","External",IF(C697="Unknown","UoB",C697))&amp;"|"&amp;IF(F697&lt;=24,"&lt;=24",IF(F697&lt;=32,"&lt;=32","Above32")),RecPricing!$F$5:$F$10,0)),""),IFERROR(INDEX(Reference!$E$5:$E$12,MATCH(B697&amp;"|"&amp;IF(C697="Mixed","External",IF(C697="Unknown","UoB",C697))&amp;"|"&amp;IF(F697&lt;=32,"32","40"),Reference!$D$5:$D$12,0)),""))</f>
        <v/>
      </c>
      <c r="J697" s="11" t="str">
        <f t="shared" si="62"/>
        <v/>
      </c>
      <c r="K697" s="12"/>
      <c r="L697" s="11" t="str">
        <f t="shared" si="63"/>
        <v/>
      </c>
      <c r="M697" s="12"/>
      <c r="N697" s="12"/>
      <c r="O697" s="11" t="str">
        <f t="shared" si="64"/>
        <v/>
      </c>
      <c r="P697" s="10" t="str">
        <f t="shared" si="65"/>
        <v/>
      </c>
    </row>
    <row r="698" spans="1:16" ht="15" customHeight="1" x14ac:dyDescent="0.2">
      <c r="A698" s="8"/>
      <c r="B698" s="8"/>
      <c r="C698" s="8"/>
      <c r="D698" s="9"/>
      <c r="E698" s="9"/>
      <c r="F698" s="8"/>
      <c r="G698" s="10" t="str">
        <f t="shared" si="60"/>
        <v/>
      </c>
      <c r="H698" s="10" t="str">
        <f t="shared" si="61"/>
        <v/>
      </c>
      <c r="I698" s="11" t="str">
        <f>IF(B698="Recreation",IFERROR(INDEX(RecPricing!$E$5:$E$10,MATCH(IF(C698="Mixed","External",IF(C698="Unknown","UoB",C698))&amp;"|"&amp;IF(F698&lt;=24,"&lt;=24",IF(F698&lt;=32,"&lt;=32","Above32")),RecPricing!$F$5:$F$10,0)),""),IFERROR(INDEX(Reference!$E$5:$E$12,MATCH(B698&amp;"|"&amp;IF(C698="Mixed","External",IF(C698="Unknown","UoB",C698))&amp;"|"&amp;IF(F698&lt;=32,"32","40"),Reference!$D$5:$D$12,0)),""))</f>
        <v/>
      </c>
      <c r="J698" s="11" t="str">
        <f t="shared" si="62"/>
        <v/>
      </c>
      <c r="K698" s="12"/>
      <c r="L698" s="11" t="str">
        <f t="shared" si="63"/>
        <v/>
      </c>
      <c r="M698" s="12"/>
      <c r="N698" s="12"/>
      <c r="O698" s="11" t="str">
        <f t="shared" si="64"/>
        <v/>
      </c>
      <c r="P698" s="10" t="str">
        <f t="shared" si="65"/>
        <v/>
      </c>
    </row>
    <row r="699" spans="1:16" ht="15" customHeight="1" x14ac:dyDescent="0.2">
      <c r="A699" s="8"/>
      <c r="B699" s="8"/>
      <c r="C699" s="8"/>
      <c r="D699" s="9"/>
      <c r="E699" s="9"/>
      <c r="F699" s="8"/>
      <c r="G699" s="10" t="str">
        <f t="shared" si="60"/>
        <v/>
      </c>
      <c r="H699" s="10" t="str">
        <f t="shared" si="61"/>
        <v/>
      </c>
      <c r="I699" s="11" t="str">
        <f>IF(B699="Recreation",IFERROR(INDEX(RecPricing!$E$5:$E$10,MATCH(IF(C699="Mixed","External",IF(C699="Unknown","UoB",C699))&amp;"|"&amp;IF(F699&lt;=24,"&lt;=24",IF(F699&lt;=32,"&lt;=32","Above32")),RecPricing!$F$5:$F$10,0)),""),IFERROR(INDEX(Reference!$E$5:$E$12,MATCH(B699&amp;"|"&amp;IF(C699="Mixed","External",IF(C699="Unknown","UoB",C699))&amp;"|"&amp;IF(F699&lt;=32,"32","40"),Reference!$D$5:$D$12,0)),""))</f>
        <v/>
      </c>
      <c r="J699" s="11" t="str">
        <f t="shared" si="62"/>
        <v/>
      </c>
      <c r="K699" s="12"/>
      <c r="L699" s="11" t="str">
        <f t="shared" si="63"/>
        <v/>
      </c>
      <c r="M699" s="12"/>
      <c r="N699" s="12"/>
      <c r="O699" s="11" t="str">
        <f t="shared" si="64"/>
        <v/>
      </c>
      <c r="P699" s="10" t="str">
        <f t="shared" si="65"/>
        <v/>
      </c>
    </row>
    <row r="700" spans="1:16" ht="15" customHeight="1" x14ac:dyDescent="0.2">
      <c r="A700" s="8"/>
      <c r="B700" s="8"/>
      <c r="C700" s="8"/>
      <c r="D700" s="9"/>
      <c r="E700" s="9"/>
      <c r="F700" s="8"/>
      <c r="G700" s="10" t="str">
        <f t="shared" si="60"/>
        <v/>
      </c>
      <c r="H700" s="10" t="str">
        <f t="shared" si="61"/>
        <v/>
      </c>
      <c r="I700" s="11" t="str">
        <f>IF(B700="Recreation",IFERROR(INDEX(RecPricing!$E$5:$E$10,MATCH(IF(C700="Mixed","External",IF(C700="Unknown","UoB",C700))&amp;"|"&amp;IF(F700&lt;=24,"&lt;=24",IF(F700&lt;=32,"&lt;=32","Above32")),RecPricing!$F$5:$F$10,0)),""),IFERROR(INDEX(Reference!$E$5:$E$12,MATCH(B700&amp;"|"&amp;IF(C700="Mixed","External",IF(C700="Unknown","UoB",C700))&amp;"|"&amp;IF(F700&lt;=32,"32","40"),Reference!$D$5:$D$12,0)),""))</f>
        <v/>
      </c>
      <c r="J700" s="11" t="str">
        <f t="shared" si="62"/>
        <v/>
      </c>
      <c r="K700" s="12"/>
      <c r="L700" s="11" t="str">
        <f t="shared" si="63"/>
        <v/>
      </c>
      <c r="M700" s="12"/>
      <c r="N700" s="12"/>
      <c r="O700" s="11" t="str">
        <f t="shared" si="64"/>
        <v/>
      </c>
      <c r="P700" s="10" t="str">
        <f t="shared" si="65"/>
        <v/>
      </c>
    </row>
    <row r="701" spans="1:16" ht="15" customHeight="1" x14ac:dyDescent="0.2">
      <c r="A701" s="8"/>
      <c r="B701" s="8"/>
      <c r="C701" s="8"/>
      <c r="D701" s="9"/>
      <c r="E701" s="9"/>
      <c r="F701" s="8"/>
      <c r="G701" s="10" t="str">
        <f t="shared" si="60"/>
        <v/>
      </c>
      <c r="H701" s="10" t="str">
        <f t="shared" si="61"/>
        <v/>
      </c>
      <c r="I701" s="11" t="str">
        <f>IF(B701="Recreation",IFERROR(INDEX(RecPricing!$E$5:$E$10,MATCH(IF(C701="Mixed","External",IF(C701="Unknown","UoB",C701))&amp;"|"&amp;IF(F701&lt;=24,"&lt;=24",IF(F701&lt;=32,"&lt;=32","Above32")),RecPricing!$F$5:$F$10,0)),""),IFERROR(INDEX(Reference!$E$5:$E$12,MATCH(B701&amp;"|"&amp;IF(C701="Mixed","External",IF(C701="Unknown","UoB",C701))&amp;"|"&amp;IF(F701&lt;=32,"32","40"),Reference!$D$5:$D$12,0)),""))</f>
        <v/>
      </c>
      <c r="J701" s="11" t="str">
        <f t="shared" si="62"/>
        <v/>
      </c>
      <c r="K701" s="12"/>
      <c r="L701" s="11" t="str">
        <f t="shared" si="63"/>
        <v/>
      </c>
      <c r="M701" s="12"/>
      <c r="N701" s="12"/>
      <c r="O701" s="11" t="str">
        <f t="shared" si="64"/>
        <v/>
      </c>
      <c r="P701" s="10" t="str">
        <f t="shared" si="65"/>
        <v/>
      </c>
    </row>
    <row r="702" spans="1:16" ht="15" customHeight="1" x14ac:dyDescent="0.2">
      <c r="A702" s="8"/>
      <c r="B702" s="8"/>
      <c r="C702" s="8"/>
      <c r="D702" s="9"/>
      <c r="E702" s="9"/>
      <c r="F702" s="8"/>
      <c r="G702" s="10" t="str">
        <f t="shared" si="60"/>
        <v/>
      </c>
      <c r="H702" s="10" t="str">
        <f t="shared" si="61"/>
        <v/>
      </c>
      <c r="I702" s="11" t="str">
        <f>IF(B702="Recreation",IFERROR(INDEX(RecPricing!$E$5:$E$10,MATCH(IF(C702="Mixed","External",IF(C702="Unknown","UoB",C702))&amp;"|"&amp;IF(F702&lt;=24,"&lt;=24",IF(F702&lt;=32,"&lt;=32","Above32")),RecPricing!$F$5:$F$10,0)),""),IFERROR(INDEX(Reference!$E$5:$E$12,MATCH(B702&amp;"|"&amp;IF(C702="Mixed","External",IF(C702="Unknown","UoB",C702))&amp;"|"&amp;IF(F702&lt;=32,"32","40"),Reference!$D$5:$D$12,0)),""))</f>
        <v/>
      </c>
      <c r="J702" s="11" t="str">
        <f t="shared" si="62"/>
        <v/>
      </c>
      <c r="K702" s="12"/>
      <c r="L702" s="11" t="str">
        <f t="shared" si="63"/>
        <v/>
      </c>
      <c r="M702" s="12"/>
      <c r="N702" s="12"/>
      <c r="O702" s="11" t="str">
        <f t="shared" si="64"/>
        <v/>
      </c>
      <c r="P702" s="10" t="str">
        <f t="shared" si="65"/>
        <v/>
      </c>
    </row>
    <row r="703" spans="1:16" ht="15" customHeight="1" x14ac:dyDescent="0.2">
      <c r="A703" s="8"/>
      <c r="B703" s="8"/>
      <c r="C703" s="8"/>
      <c r="D703" s="9"/>
      <c r="E703" s="9"/>
      <c r="F703" s="8"/>
      <c r="G703" s="10" t="str">
        <f t="shared" ref="G703:G766" si="66">IF(OR(D703="",E703=""),"",E703-D703)</f>
        <v/>
      </c>
      <c r="H703" s="10" t="str">
        <f t="shared" ref="H703:H766" si="67">IF(OR(F703="",G703=""),"",F703*G703)</f>
        <v/>
      </c>
      <c r="I703" s="11" t="str">
        <f>IF(B703="Recreation",IFERROR(INDEX(RecPricing!$E$5:$E$10,MATCH(IF(C703="Mixed","External",IF(C703="Unknown","UoB",C703))&amp;"|"&amp;IF(F703&lt;=24,"&lt;=24",IF(F703&lt;=32,"&lt;=32","Above32")),RecPricing!$F$5:$F$10,0)),""),IFERROR(INDEX(Reference!$E$5:$E$12,MATCH(B703&amp;"|"&amp;IF(C703="Mixed","External",IF(C703="Unknown","UoB",C703))&amp;"|"&amp;IF(F703&lt;=32,"32","40"),Reference!$D$5:$D$12,0)),""))</f>
        <v/>
      </c>
      <c r="J703" s="11" t="str">
        <f t="shared" ref="J703:J766" si="68">IF(I703="","",IF(B703="Recreation",IF(F703&lt;=32,I703,I703*IF(F703="",0,F703)),IF(AND(I703&lt;&gt;"",G703&lt;&gt;""),I703*G703,"")))</f>
        <v/>
      </c>
      <c r="K703" s="12"/>
      <c r="L703" s="11" t="str">
        <f t="shared" ref="L703:L766" si="69">IF(J703="","",J703-IF(K703="",0,K703))</f>
        <v/>
      </c>
      <c r="M703" s="12"/>
      <c r="N703" s="12"/>
      <c r="O703" s="11" t="str">
        <f t="shared" ref="O703:O766" si="70">IF(L703="","",L703-IF(M703="",0,M703)-IF(N703="",0,N703))</f>
        <v/>
      </c>
      <c r="P703" s="10" t="str">
        <f t="shared" ref="P703:P766" si="71">IF(D703="","",IF(MONTH(D703)&gt;=8,YEAR(D703)&amp;"-"&amp;RIGHT(YEAR(D703)+1,2),YEAR(D703)-1&amp;"-"&amp;RIGHT(YEAR(D703),2)))</f>
        <v/>
      </c>
    </row>
    <row r="704" spans="1:16" ht="15" customHeight="1" x14ac:dyDescent="0.2">
      <c r="A704" s="8"/>
      <c r="B704" s="8"/>
      <c r="C704" s="8"/>
      <c r="D704" s="9"/>
      <c r="E704" s="9"/>
      <c r="F704" s="8"/>
      <c r="G704" s="10" t="str">
        <f t="shared" si="66"/>
        <v/>
      </c>
      <c r="H704" s="10" t="str">
        <f t="shared" si="67"/>
        <v/>
      </c>
      <c r="I704" s="11" t="str">
        <f>IF(B704="Recreation",IFERROR(INDEX(RecPricing!$E$5:$E$10,MATCH(IF(C704="Mixed","External",IF(C704="Unknown","UoB",C704))&amp;"|"&amp;IF(F704&lt;=24,"&lt;=24",IF(F704&lt;=32,"&lt;=32","Above32")),RecPricing!$F$5:$F$10,0)),""),IFERROR(INDEX(Reference!$E$5:$E$12,MATCH(B704&amp;"|"&amp;IF(C704="Mixed","External",IF(C704="Unknown","UoB",C704))&amp;"|"&amp;IF(F704&lt;=32,"32","40"),Reference!$D$5:$D$12,0)),""))</f>
        <v/>
      </c>
      <c r="J704" s="11" t="str">
        <f t="shared" si="68"/>
        <v/>
      </c>
      <c r="K704" s="12"/>
      <c r="L704" s="11" t="str">
        <f t="shared" si="69"/>
        <v/>
      </c>
      <c r="M704" s="12"/>
      <c r="N704" s="12"/>
      <c r="O704" s="11" t="str">
        <f t="shared" si="70"/>
        <v/>
      </c>
      <c r="P704" s="10" t="str">
        <f t="shared" si="71"/>
        <v/>
      </c>
    </row>
    <row r="705" spans="1:16" ht="15" customHeight="1" x14ac:dyDescent="0.2">
      <c r="A705" s="8"/>
      <c r="B705" s="8"/>
      <c r="C705" s="8"/>
      <c r="D705" s="9"/>
      <c r="E705" s="9"/>
      <c r="F705" s="8"/>
      <c r="G705" s="10" t="str">
        <f t="shared" si="66"/>
        <v/>
      </c>
      <c r="H705" s="10" t="str">
        <f t="shared" si="67"/>
        <v/>
      </c>
      <c r="I705" s="11" t="str">
        <f>IF(B705="Recreation",IFERROR(INDEX(RecPricing!$E$5:$E$10,MATCH(IF(C705="Mixed","External",IF(C705="Unknown","UoB",C705))&amp;"|"&amp;IF(F705&lt;=24,"&lt;=24",IF(F705&lt;=32,"&lt;=32","Above32")),RecPricing!$F$5:$F$10,0)),""),IFERROR(INDEX(Reference!$E$5:$E$12,MATCH(B705&amp;"|"&amp;IF(C705="Mixed","External",IF(C705="Unknown","UoB",C705))&amp;"|"&amp;IF(F705&lt;=32,"32","40"),Reference!$D$5:$D$12,0)),""))</f>
        <v/>
      </c>
      <c r="J705" s="11" t="str">
        <f t="shared" si="68"/>
        <v/>
      </c>
      <c r="K705" s="12"/>
      <c r="L705" s="11" t="str">
        <f t="shared" si="69"/>
        <v/>
      </c>
      <c r="M705" s="12"/>
      <c r="N705" s="12"/>
      <c r="O705" s="11" t="str">
        <f t="shared" si="70"/>
        <v/>
      </c>
      <c r="P705" s="10" t="str">
        <f t="shared" si="71"/>
        <v/>
      </c>
    </row>
    <row r="706" spans="1:16" ht="15" customHeight="1" x14ac:dyDescent="0.2">
      <c r="A706" s="8"/>
      <c r="B706" s="8"/>
      <c r="C706" s="8"/>
      <c r="D706" s="9"/>
      <c r="E706" s="9"/>
      <c r="F706" s="8"/>
      <c r="G706" s="10" t="str">
        <f t="shared" si="66"/>
        <v/>
      </c>
      <c r="H706" s="10" t="str">
        <f t="shared" si="67"/>
        <v/>
      </c>
      <c r="I706" s="11" t="str">
        <f>IF(B706="Recreation",IFERROR(INDEX(RecPricing!$E$5:$E$10,MATCH(IF(C706="Mixed","External",IF(C706="Unknown","UoB",C706))&amp;"|"&amp;IF(F706&lt;=24,"&lt;=24",IF(F706&lt;=32,"&lt;=32","Above32")),RecPricing!$F$5:$F$10,0)),""),IFERROR(INDEX(Reference!$E$5:$E$12,MATCH(B706&amp;"|"&amp;IF(C706="Mixed","External",IF(C706="Unknown","UoB",C706))&amp;"|"&amp;IF(F706&lt;=32,"32","40"),Reference!$D$5:$D$12,0)),""))</f>
        <v/>
      </c>
      <c r="J706" s="11" t="str">
        <f t="shared" si="68"/>
        <v/>
      </c>
      <c r="K706" s="12"/>
      <c r="L706" s="11" t="str">
        <f t="shared" si="69"/>
        <v/>
      </c>
      <c r="M706" s="12"/>
      <c r="N706" s="12"/>
      <c r="O706" s="11" t="str">
        <f t="shared" si="70"/>
        <v/>
      </c>
      <c r="P706" s="10" t="str">
        <f t="shared" si="71"/>
        <v/>
      </c>
    </row>
    <row r="707" spans="1:16" ht="15" customHeight="1" x14ac:dyDescent="0.2">
      <c r="A707" s="8"/>
      <c r="B707" s="8"/>
      <c r="C707" s="8"/>
      <c r="D707" s="9"/>
      <c r="E707" s="9"/>
      <c r="F707" s="8"/>
      <c r="G707" s="10" t="str">
        <f t="shared" si="66"/>
        <v/>
      </c>
      <c r="H707" s="10" t="str">
        <f t="shared" si="67"/>
        <v/>
      </c>
      <c r="I707" s="11" t="str">
        <f>IF(B707="Recreation",IFERROR(INDEX(RecPricing!$E$5:$E$10,MATCH(IF(C707="Mixed","External",IF(C707="Unknown","UoB",C707))&amp;"|"&amp;IF(F707&lt;=24,"&lt;=24",IF(F707&lt;=32,"&lt;=32","Above32")),RecPricing!$F$5:$F$10,0)),""),IFERROR(INDEX(Reference!$E$5:$E$12,MATCH(B707&amp;"|"&amp;IF(C707="Mixed","External",IF(C707="Unknown","UoB",C707))&amp;"|"&amp;IF(F707&lt;=32,"32","40"),Reference!$D$5:$D$12,0)),""))</f>
        <v/>
      </c>
      <c r="J707" s="11" t="str">
        <f t="shared" si="68"/>
        <v/>
      </c>
      <c r="K707" s="12"/>
      <c r="L707" s="11" t="str">
        <f t="shared" si="69"/>
        <v/>
      </c>
      <c r="M707" s="12"/>
      <c r="N707" s="12"/>
      <c r="O707" s="11" t="str">
        <f t="shared" si="70"/>
        <v/>
      </c>
      <c r="P707" s="10" t="str">
        <f t="shared" si="71"/>
        <v/>
      </c>
    </row>
    <row r="708" spans="1:16" ht="15" customHeight="1" x14ac:dyDescent="0.2">
      <c r="A708" s="8"/>
      <c r="B708" s="8"/>
      <c r="C708" s="8"/>
      <c r="D708" s="9"/>
      <c r="E708" s="9"/>
      <c r="F708" s="8"/>
      <c r="G708" s="10" t="str">
        <f t="shared" si="66"/>
        <v/>
      </c>
      <c r="H708" s="10" t="str">
        <f t="shared" si="67"/>
        <v/>
      </c>
      <c r="I708" s="11" t="str">
        <f>IF(B708="Recreation",IFERROR(INDEX(RecPricing!$E$5:$E$10,MATCH(IF(C708="Mixed","External",IF(C708="Unknown","UoB",C708))&amp;"|"&amp;IF(F708&lt;=24,"&lt;=24",IF(F708&lt;=32,"&lt;=32","Above32")),RecPricing!$F$5:$F$10,0)),""),IFERROR(INDEX(Reference!$E$5:$E$12,MATCH(B708&amp;"|"&amp;IF(C708="Mixed","External",IF(C708="Unknown","UoB",C708))&amp;"|"&amp;IF(F708&lt;=32,"32","40"),Reference!$D$5:$D$12,0)),""))</f>
        <v/>
      </c>
      <c r="J708" s="11" t="str">
        <f t="shared" si="68"/>
        <v/>
      </c>
      <c r="K708" s="12"/>
      <c r="L708" s="11" t="str">
        <f t="shared" si="69"/>
        <v/>
      </c>
      <c r="M708" s="12"/>
      <c r="N708" s="12"/>
      <c r="O708" s="11" t="str">
        <f t="shared" si="70"/>
        <v/>
      </c>
      <c r="P708" s="10" t="str">
        <f t="shared" si="71"/>
        <v/>
      </c>
    </row>
    <row r="709" spans="1:16" ht="15" customHeight="1" x14ac:dyDescent="0.2">
      <c r="A709" s="8"/>
      <c r="B709" s="8"/>
      <c r="C709" s="8"/>
      <c r="D709" s="9"/>
      <c r="E709" s="9"/>
      <c r="F709" s="8"/>
      <c r="G709" s="10" t="str">
        <f t="shared" si="66"/>
        <v/>
      </c>
      <c r="H709" s="10" t="str">
        <f t="shared" si="67"/>
        <v/>
      </c>
      <c r="I709" s="11" t="str">
        <f>IF(B709="Recreation",IFERROR(INDEX(RecPricing!$E$5:$E$10,MATCH(IF(C709="Mixed","External",IF(C709="Unknown","UoB",C709))&amp;"|"&amp;IF(F709&lt;=24,"&lt;=24",IF(F709&lt;=32,"&lt;=32","Above32")),RecPricing!$F$5:$F$10,0)),""),IFERROR(INDEX(Reference!$E$5:$E$12,MATCH(B709&amp;"|"&amp;IF(C709="Mixed","External",IF(C709="Unknown","UoB",C709))&amp;"|"&amp;IF(F709&lt;=32,"32","40"),Reference!$D$5:$D$12,0)),""))</f>
        <v/>
      </c>
      <c r="J709" s="11" t="str">
        <f t="shared" si="68"/>
        <v/>
      </c>
      <c r="K709" s="12"/>
      <c r="L709" s="11" t="str">
        <f t="shared" si="69"/>
        <v/>
      </c>
      <c r="M709" s="12"/>
      <c r="N709" s="12"/>
      <c r="O709" s="11" t="str">
        <f t="shared" si="70"/>
        <v/>
      </c>
      <c r="P709" s="10" t="str">
        <f t="shared" si="71"/>
        <v/>
      </c>
    </row>
    <row r="710" spans="1:16" ht="15" customHeight="1" x14ac:dyDescent="0.2">
      <c r="A710" s="8"/>
      <c r="B710" s="8"/>
      <c r="C710" s="8"/>
      <c r="D710" s="9"/>
      <c r="E710" s="9"/>
      <c r="F710" s="8"/>
      <c r="G710" s="10" t="str">
        <f t="shared" si="66"/>
        <v/>
      </c>
      <c r="H710" s="10" t="str">
        <f t="shared" si="67"/>
        <v/>
      </c>
      <c r="I710" s="11" t="str">
        <f>IF(B710="Recreation",IFERROR(INDEX(RecPricing!$E$5:$E$10,MATCH(IF(C710="Mixed","External",IF(C710="Unknown","UoB",C710))&amp;"|"&amp;IF(F710&lt;=24,"&lt;=24",IF(F710&lt;=32,"&lt;=32","Above32")),RecPricing!$F$5:$F$10,0)),""),IFERROR(INDEX(Reference!$E$5:$E$12,MATCH(B710&amp;"|"&amp;IF(C710="Mixed","External",IF(C710="Unknown","UoB",C710))&amp;"|"&amp;IF(F710&lt;=32,"32","40"),Reference!$D$5:$D$12,0)),""))</f>
        <v/>
      </c>
      <c r="J710" s="11" t="str">
        <f t="shared" si="68"/>
        <v/>
      </c>
      <c r="K710" s="12"/>
      <c r="L710" s="11" t="str">
        <f t="shared" si="69"/>
        <v/>
      </c>
      <c r="M710" s="12"/>
      <c r="N710" s="12"/>
      <c r="O710" s="11" t="str">
        <f t="shared" si="70"/>
        <v/>
      </c>
      <c r="P710" s="10" t="str">
        <f t="shared" si="71"/>
        <v/>
      </c>
    </row>
    <row r="711" spans="1:16" ht="15" customHeight="1" x14ac:dyDescent="0.2">
      <c r="A711" s="8"/>
      <c r="B711" s="8"/>
      <c r="C711" s="8"/>
      <c r="D711" s="9"/>
      <c r="E711" s="9"/>
      <c r="F711" s="8"/>
      <c r="G711" s="10" t="str">
        <f t="shared" si="66"/>
        <v/>
      </c>
      <c r="H711" s="10" t="str">
        <f t="shared" si="67"/>
        <v/>
      </c>
      <c r="I711" s="11" t="str">
        <f>IF(B711="Recreation",IFERROR(INDEX(RecPricing!$E$5:$E$10,MATCH(IF(C711="Mixed","External",IF(C711="Unknown","UoB",C711))&amp;"|"&amp;IF(F711&lt;=24,"&lt;=24",IF(F711&lt;=32,"&lt;=32","Above32")),RecPricing!$F$5:$F$10,0)),""),IFERROR(INDEX(Reference!$E$5:$E$12,MATCH(B711&amp;"|"&amp;IF(C711="Mixed","External",IF(C711="Unknown","UoB",C711))&amp;"|"&amp;IF(F711&lt;=32,"32","40"),Reference!$D$5:$D$12,0)),""))</f>
        <v/>
      </c>
      <c r="J711" s="11" t="str">
        <f t="shared" si="68"/>
        <v/>
      </c>
      <c r="K711" s="12"/>
      <c r="L711" s="11" t="str">
        <f t="shared" si="69"/>
        <v/>
      </c>
      <c r="M711" s="12"/>
      <c r="N711" s="12"/>
      <c r="O711" s="11" t="str">
        <f t="shared" si="70"/>
        <v/>
      </c>
      <c r="P711" s="10" t="str">
        <f t="shared" si="71"/>
        <v/>
      </c>
    </row>
    <row r="712" spans="1:16" ht="15" customHeight="1" x14ac:dyDescent="0.2">
      <c r="A712" s="8"/>
      <c r="B712" s="8"/>
      <c r="C712" s="8"/>
      <c r="D712" s="9"/>
      <c r="E712" s="9"/>
      <c r="F712" s="8"/>
      <c r="G712" s="10" t="str">
        <f t="shared" si="66"/>
        <v/>
      </c>
      <c r="H712" s="10" t="str">
        <f t="shared" si="67"/>
        <v/>
      </c>
      <c r="I712" s="11" t="str">
        <f>IF(B712="Recreation",IFERROR(INDEX(RecPricing!$E$5:$E$10,MATCH(IF(C712="Mixed","External",IF(C712="Unknown","UoB",C712))&amp;"|"&amp;IF(F712&lt;=24,"&lt;=24",IF(F712&lt;=32,"&lt;=32","Above32")),RecPricing!$F$5:$F$10,0)),""),IFERROR(INDEX(Reference!$E$5:$E$12,MATCH(B712&amp;"|"&amp;IF(C712="Mixed","External",IF(C712="Unknown","UoB",C712))&amp;"|"&amp;IF(F712&lt;=32,"32","40"),Reference!$D$5:$D$12,0)),""))</f>
        <v/>
      </c>
      <c r="J712" s="11" t="str">
        <f t="shared" si="68"/>
        <v/>
      </c>
      <c r="K712" s="12"/>
      <c r="L712" s="11" t="str">
        <f t="shared" si="69"/>
        <v/>
      </c>
      <c r="M712" s="12"/>
      <c r="N712" s="12"/>
      <c r="O712" s="11" t="str">
        <f t="shared" si="70"/>
        <v/>
      </c>
      <c r="P712" s="10" t="str">
        <f t="shared" si="71"/>
        <v/>
      </c>
    </row>
    <row r="713" spans="1:16" ht="15" customHeight="1" x14ac:dyDescent="0.2">
      <c r="A713" s="8"/>
      <c r="B713" s="8"/>
      <c r="C713" s="8"/>
      <c r="D713" s="9"/>
      <c r="E713" s="9"/>
      <c r="F713" s="8"/>
      <c r="G713" s="10" t="str">
        <f t="shared" si="66"/>
        <v/>
      </c>
      <c r="H713" s="10" t="str">
        <f t="shared" si="67"/>
        <v/>
      </c>
      <c r="I713" s="11" t="str">
        <f>IF(B713="Recreation",IFERROR(INDEX(RecPricing!$E$5:$E$10,MATCH(IF(C713="Mixed","External",IF(C713="Unknown","UoB",C713))&amp;"|"&amp;IF(F713&lt;=24,"&lt;=24",IF(F713&lt;=32,"&lt;=32","Above32")),RecPricing!$F$5:$F$10,0)),""),IFERROR(INDEX(Reference!$E$5:$E$12,MATCH(B713&amp;"|"&amp;IF(C713="Mixed","External",IF(C713="Unknown","UoB",C713))&amp;"|"&amp;IF(F713&lt;=32,"32","40"),Reference!$D$5:$D$12,0)),""))</f>
        <v/>
      </c>
      <c r="J713" s="11" t="str">
        <f t="shared" si="68"/>
        <v/>
      </c>
      <c r="K713" s="12"/>
      <c r="L713" s="11" t="str">
        <f t="shared" si="69"/>
        <v/>
      </c>
      <c r="M713" s="12"/>
      <c r="N713" s="12"/>
      <c r="O713" s="11" t="str">
        <f t="shared" si="70"/>
        <v/>
      </c>
      <c r="P713" s="10" t="str">
        <f t="shared" si="71"/>
        <v/>
      </c>
    </row>
    <row r="714" spans="1:16" ht="15" customHeight="1" x14ac:dyDescent="0.2">
      <c r="A714" s="8"/>
      <c r="B714" s="8"/>
      <c r="C714" s="8"/>
      <c r="D714" s="9"/>
      <c r="E714" s="9"/>
      <c r="F714" s="8"/>
      <c r="G714" s="10" t="str">
        <f t="shared" si="66"/>
        <v/>
      </c>
      <c r="H714" s="10" t="str">
        <f t="shared" si="67"/>
        <v/>
      </c>
      <c r="I714" s="11" t="str">
        <f>IF(B714="Recreation",IFERROR(INDEX(RecPricing!$E$5:$E$10,MATCH(IF(C714="Mixed","External",IF(C714="Unknown","UoB",C714))&amp;"|"&amp;IF(F714&lt;=24,"&lt;=24",IF(F714&lt;=32,"&lt;=32","Above32")),RecPricing!$F$5:$F$10,0)),""),IFERROR(INDEX(Reference!$E$5:$E$12,MATCH(B714&amp;"|"&amp;IF(C714="Mixed","External",IF(C714="Unknown","UoB",C714))&amp;"|"&amp;IF(F714&lt;=32,"32","40"),Reference!$D$5:$D$12,0)),""))</f>
        <v/>
      </c>
      <c r="J714" s="11" t="str">
        <f t="shared" si="68"/>
        <v/>
      </c>
      <c r="K714" s="12"/>
      <c r="L714" s="11" t="str">
        <f t="shared" si="69"/>
        <v/>
      </c>
      <c r="M714" s="12"/>
      <c r="N714" s="12"/>
      <c r="O714" s="11" t="str">
        <f t="shared" si="70"/>
        <v/>
      </c>
      <c r="P714" s="10" t="str">
        <f t="shared" si="71"/>
        <v/>
      </c>
    </row>
    <row r="715" spans="1:16" ht="15" customHeight="1" x14ac:dyDescent="0.2">
      <c r="A715" s="8"/>
      <c r="B715" s="8"/>
      <c r="C715" s="8"/>
      <c r="D715" s="9"/>
      <c r="E715" s="9"/>
      <c r="F715" s="8"/>
      <c r="G715" s="10" t="str">
        <f t="shared" si="66"/>
        <v/>
      </c>
      <c r="H715" s="10" t="str">
        <f t="shared" si="67"/>
        <v/>
      </c>
      <c r="I715" s="11" t="str">
        <f>IF(B715="Recreation",IFERROR(INDEX(RecPricing!$E$5:$E$10,MATCH(IF(C715="Mixed","External",IF(C715="Unknown","UoB",C715))&amp;"|"&amp;IF(F715&lt;=24,"&lt;=24",IF(F715&lt;=32,"&lt;=32","Above32")),RecPricing!$F$5:$F$10,0)),""),IFERROR(INDEX(Reference!$E$5:$E$12,MATCH(B715&amp;"|"&amp;IF(C715="Mixed","External",IF(C715="Unknown","UoB",C715))&amp;"|"&amp;IF(F715&lt;=32,"32","40"),Reference!$D$5:$D$12,0)),""))</f>
        <v/>
      </c>
      <c r="J715" s="11" t="str">
        <f t="shared" si="68"/>
        <v/>
      </c>
      <c r="K715" s="12"/>
      <c r="L715" s="11" t="str">
        <f t="shared" si="69"/>
        <v/>
      </c>
      <c r="M715" s="12"/>
      <c r="N715" s="12"/>
      <c r="O715" s="11" t="str">
        <f t="shared" si="70"/>
        <v/>
      </c>
      <c r="P715" s="10" t="str">
        <f t="shared" si="71"/>
        <v/>
      </c>
    </row>
    <row r="716" spans="1:16" ht="15" customHeight="1" x14ac:dyDescent="0.2">
      <c r="A716" s="8"/>
      <c r="B716" s="8"/>
      <c r="C716" s="8"/>
      <c r="D716" s="9"/>
      <c r="E716" s="9"/>
      <c r="F716" s="8"/>
      <c r="G716" s="10" t="str">
        <f t="shared" si="66"/>
        <v/>
      </c>
      <c r="H716" s="10" t="str">
        <f t="shared" si="67"/>
        <v/>
      </c>
      <c r="I716" s="11" t="str">
        <f>IF(B716="Recreation",IFERROR(INDEX(RecPricing!$E$5:$E$10,MATCH(IF(C716="Mixed","External",IF(C716="Unknown","UoB",C716))&amp;"|"&amp;IF(F716&lt;=24,"&lt;=24",IF(F716&lt;=32,"&lt;=32","Above32")),RecPricing!$F$5:$F$10,0)),""),IFERROR(INDEX(Reference!$E$5:$E$12,MATCH(B716&amp;"|"&amp;IF(C716="Mixed","External",IF(C716="Unknown","UoB",C716))&amp;"|"&amp;IF(F716&lt;=32,"32","40"),Reference!$D$5:$D$12,0)),""))</f>
        <v/>
      </c>
      <c r="J716" s="11" t="str">
        <f t="shared" si="68"/>
        <v/>
      </c>
      <c r="K716" s="12"/>
      <c r="L716" s="11" t="str">
        <f t="shared" si="69"/>
        <v/>
      </c>
      <c r="M716" s="12"/>
      <c r="N716" s="12"/>
      <c r="O716" s="11" t="str">
        <f t="shared" si="70"/>
        <v/>
      </c>
      <c r="P716" s="10" t="str">
        <f t="shared" si="71"/>
        <v/>
      </c>
    </row>
    <row r="717" spans="1:16" ht="15" customHeight="1" x14ac:dyDescent="0.2">
      <c r="A717" s="8"/>
      <c r="B717" s="8"/>
      <c r="C717" s="8"/>
      <c r="D717" s="9"/>
      <c r="E717" s="9"/>
      <c r="F717" s="8"/>
      <c r="G717" s="10" t="str">
        <f t="shared" si="66"/>
        <v/>
      </c>
      <c r="H717" s="10" t="str">
        <f t="shared" si="67"/>
        <v/>
      </c>
      <c r="I717" s="11" t="str">
        <f>IF(B717="Recreation",IFERROR(INDEX(RecPricing!$E$5:$E$10,MATCH(IF(C717="Mixed","External",IF(C717="Unknown","UoB",C717))&amp;"|"&amp;IF(F717&lt;=24,"&lt;=24",IF(F717&lt;=32,"&lt;=32","Above32")),RecPricing!$F$5:$F$10,0)),""),IFERROR(INDEX(Reference!$E$5:$E$12,MATCH(B717&amp;"|"&amp;IF(C717="Mixed","External",IF(C717="Unknown","UoB",C717))&amp;"|"&amp;IF(F717&lt;=32,"32","40"),Reference!$D$5:$D$12,0)),""))</f>
        <v/>
      </c>
      <c r="J717" s="11" t="str">
        <f t="shared" si="68"/>
        <v/>
      </c>
      <c r="K717" s="12"/>
      <c r="L717" s="11" t="str">
        <f t="shared" si="69"/>
        <v/>
      </c>
      <c r="M717" s="12"/>
      <c r="N717" s="12"/>
      <c r="O717" s="11" t="str">
        <f t="shared" si="70"/>
        <v/>
      </c>
      <c r="P717" s="10" t="str">
        <f t="shared" si="71"/>
        <v/>
      </c>
    </row>
    <row r="718" spans="1:16" ht="15" customHeight="1" x14ac:dyDescent="0.2">
      <c r="A718" s="8"/>
      <c r="B718" s="8"/>
      <c r="C718" s="8"/>
      <c r="D718" s="9"/>
      <c r="E718" s="9"/>
      <c r="F718" s="8"/>
      <c r="G718" s="10" t="str">
        <f t="shared" si="66"/>
        <v/>
      </c>
      <c r="H718" s="10" t="str">
        <f t="shared" si="67"/>
        <v/>
      </c>
      <c r="I718" s="11" t="str">
        <f>IF(B718="Recreation",IFERROR(INDEX(RecPricing!$E$5:$E$10,MATCH(IF(C718="Mixed","External",IF(C718="Unknown","UoB",C718))&amp;"|"&amp;IF(F718&lt;=24,"&lt;=24",IF(F718&lt;=32,"&lt;=32","Above32")),RecPricing!$F$5:$F$10,0)),""),IFERROR(INDEX(Reference!$E$5:$E$12,MATCH(B718&amp;"|"&amp;IF(C718="Mixed","External",IF(C718="Unknown","UoB",C718))&amp;"|"&amp;IF(F718&lt;=32,"32","40"),Reference!$D$5:$D$12,0)),""))</f>
        <v/>
      </c>
      <c r="J718" s="11" t="str">
        <f t="shared" si="68"/>
        <v/>
      </c>
      <c r="K718" s="12"/>
      <c r="L718" s="11" t="str">
        <f t="shared" si="69"/>
        <v/>
      </c>
      <c r="M718" s="12"/>
      <c r="N718" s="12"/>
      <c r="O718" s="11" t="str">
        <f t="shared" si="70"/>
        <v/>
      </c>
      <c r="P718" s="10" t="str">
        <f t="shared" si="71"/>
        <v/>
      </c>
    </row>
    <row r="719" spans="1:16" ht="15" customHeight="1" x14ac:dyDescent="0.2">
      <c r="A719" s="8"/>
      <c r="B719" s="8"/>
      <c r="C719" s="8"/>
      <c r="D719" s="9"/>
      <c r="E719" s="9"/>
      <c r="F719" s="8"/>
      <c r="G719" s="10" t="str">
        <f t="shared" si="66"/>
        <v/>
      </c>
      <c r="H719" s="10" t="str">
        <f t="shared" si="67"/>
        <v/>
      </c>
      <c r="I719" s="11" t="str">
        <f>IF(B719="Recreation",IFERROR(INDEX(RecPricing!$E$5:$E$10,MATCH(IF(C719="Mixed","External",IF(C719="Unknown","UoB",C719))&amp;"|"&amp;IF(F719&lt;=24,"&lt;=24",IF(F719&lt;=32,"&lt;=32","Above32")),RecPricing!$F$5:$F$10,0)),""),IFERROR(INDEX(Reference!$E$5:$E$12,MATCH(B719&amp;"|"&amp;IF(C719="Mixed","External",IF(C719="Unknown","UoB",C719))&amp;"|"&amp;IF(F719&lt;=32,"32","40"),Reference!$D$5:$D$12,0)),""))</f>
        <v/>
      </c>
      <c r="J719" s="11" t="str">
        <f t="shared" si="68"/>
        <v/>
      </c>
      <c r="K719" s="12"/>
      <c r="L719" s="11" t="str">
        <f t="shared" si="69"/>
        <v/>
      </c>
      <c r="M719" s="12"/>
      <c r="N719" s="12"/>
      <c r="O719" s="11" t="str">
        <f t="shared" si="70"/>
        <v/>
      </c>
      <c r="P719" s="10" t="str">
        <f t="shared" si="71"/>
        <v/>
      </c>
    </row>
    <row r="720" spans="1:16" ht="15" customHeight="1" x14ac:dyDescent="0.2">
      <c r="A720" s="8"/>
      <c r="B720" s="8"/>
      <c r="C720" s="8"/>
      <c r="D720" s="9"/>
      <c r="E720" s="9"/>
      <c r="F720" s="8"/>
      <c r="G720" s="10" t="str">
        <f t="shared" si="66"/>
        <v/>
      </c>
      <c r="H720" s="10" t="str">
        <f t="shared" si="67"/>
        <v/>
      </c>
      <c r="I720" s="11" t="str">
        <f>IF(B720="Recreation",IFERROR(INDEX(RecPricing!$E$5:$E$10,MATCH(IF(C720="Mixed","External",IF(C720="Unknown","UoB",C720))&amp;"|"&amp;IF(F720&lt;=24,"&lt;=24",IF(F720&lt;=32,"&lt;=32","Above32")),RecPricing!$F$5:$F$10,0)),""),IFERROR(INDEX(Reference!$E$5:$E$12,MATCH(B720&amp;"|"&amp;IF(C720="Mixed","External",IF(C720="Unknown","UoB",C720))&amp;"|"&amp;IF(F720&lt;=32,"32","40"),Reference!$D$5:$D$12,0)),""))</f>
        <v/>
      </c>
      <c r="J720" s="11" t="str">
        <f t="shared" si="68"/>
        <v/>
      </c>
      <c r="K720" s="12"/>
      <c r="L720" s="11" t="str">
        <f t="shared" si="69"/>
        <v/>
      </c>
      <c r="M720" s="12"/>
      <c r="N720" s="12"/>
      <c r="O720" s="11" t="str">
        <f t="shared" si="70"/>
        <v/>
      </c>
      <c r="P720" s="10" t="str">
        <f t="shared" si="71"/>
        <v/>
      </c>
    </row>
    <row r="721" spans="1:16" ht="15" customHeight="1" x14ac:dyDescent="0.2">
      <c r="A721" s="8"/>
      <c r="B721" s="8"/>
      <c r="C721" s="8"/>
      <c r="D721" s="9"/>
      <c r="E721" s="9"/>
      <c r="F721" s="8"/>
      <c r="G721" s="10" t="str">
        <f t="shared" si="66"/>
        <v/>
      </c>
      <c r="H721" s="10" t="str">
        <f t="shared" si="67"/>
        <v/>
      </c>
      <c r="I721" s="11" t="str">
        <f>IF(B721="Recreation",IFERROR(INDEX(RecPricing!$E$5:$E$10,MATCH(IF(C721="Mixed","External",IF(C721="Unknown","UoB",C721))&amp;"|"&amp;IF(F721&lt;=24,"&lt;=24",IF(F721&lt;=32,"&lt;=32","Above32")),RecPricing!$F$5:$F$10,0)),""),IFERROR(INDEX(Reference!$E$5:$E$12,MATCH(B721&amp;"|"&amp;IF(C721="Mixed","External",IF(C721="Unknown","UoB",C721))&amp;"|"&amp;IF(F721&lt;=32,"32","40"),Reference!$D$5:$D$12,0)),""))</f>
        <v/>
      </c>
      <c r="J721" s="11" t="str">
        <f t="shared" si="68"/>
        <v/>
      </c>
      <c r="K721" s="12"/>
      <c r="L721" s="11" t="str">
        <f t="shared" si="69"/>
        <v/>
      </c>
      <c r="M721" s="12"/>
      <c r="N721" s="12"/>
      <c r="O721" s="11" t="str">
        <f t="shared" si="70"/>
        <v/>
      </c>
      <c r="P721" s="10" t="str">
        <f t="shared" si="71"/>
        <v/>
      </c>
    </row>
    <row r="722" spans="1:16" ht="15" customHeight="1" x14ac:dyDescent="0.2">
      <c r="A722" s="8"/>
      <c r="B722" s="8"/>
      <c r="C722" s="8"/>
      <c r="D722" s="9"/>
      <c r="E722" s="9"/>
      <c r="F722" s="8"/>
      <c r="G722" s="10" t="str">
        <f t="shared" si="66"/>
        <v/>
      </c>
      <c r="H722" s="10" t="str">
        <f t="shared" si="67"/>
        <v/>
      </c>
      <c r="I722" s="11" t="str">
        <f>IF(B722="Recreation",IFERROR(INDEX(RecPricing!$E$5:$E$10,MATCH(IF(C722="Mixed","External",IF(C722="Unknown","UoB",C722))&amp;"|"&amp;IF(F722&lt;=24,"&lt;=24",IF(F722&lt;=32,"&lt;=32","Above32")),RecPricing!$F$5:$F$10,0)),""),IFERROR(INDEX(Reference!$E$5:$E$12,MATCH(B722&amp;"|"&amp;IF(C722="Mixed","External",IF(C722="Unknown","UoB",C722))&amp;"|"&amp;IF(F722&lt;=32,"32","40"),Reference!$D$5:$D$12,0)),""))</f>
        <v/>
      </c>
      <c r="J722" s="11" t="str">
        <f t="shared" si="68"/>
        <v/>
      </c>
      <c r="K722" s="12"/>
      <c r="L722" s="11" t="str">
        <f t="shared" si="69"/>
        <v/>
      </c>
      <c r="M722" s="12"/>
      <c r="N722" s="12"/>
      <c r="O722" s="11" t="str">
        <f t="shared" si="70"/>
        <v/>
      </c>
      <c r="P722" s="10" t="str">
        <f t="shared" si="71"/>
        <v/>
      </c>
    </row>
    <row r="723" spans="1:16" ht="15" customHeight="1" x14ac:dyDescent="0.2">
      <c r="A723" s="8"/>
      <c r="B723" s="8"/>
      <c r="C723" s="8"/>
      <c r="D723" s="9"/>
      <c r="E723" s="9"/>
      <c r="F723" s="8"/>
      <c r="G723" s="10" t="str">
        <f t="shared" si="66"/>
        <v/>
      </c>
      <c r="H723" s="10" t="str">
        <f t="shared" si="67"/>
        <v/>
      </c>
      <c r="I723" s="11" t="str">
        <f>IF(B723="Recreation",IFERROR(INDEX(RecPricing!$E$5:$E$10,MATCH(IF(C723="Mixed","External",IF(C723="Unknown","UoB",C723))&amp;"|"&amp;IF(F723&lt;=24,"&lt;=24",IF(F723&lt;=32,"&lt;=32","Above32")),RecPricing!$F$5:$F$10,0)),""),IFERROR(INDEX(Reference!$E$5:$E$12,MATCH(B723&amp;"|"&amp;IF(C723="Mixed","External",IF(C723="Unknown","UoB",C723))&amp;"|"&amp;IF(F723&lt;=32,"32","40"),Reference!$D$5:$D$12,0)),""))</f>
        <v/>
      </c>
      <c r="J723" s="11" t="str">
        <f t="shared" si="68"/>
        <v/>
      </c>
      <c r="K723" s="12"/>
      <c r="L723" s="11" t="str">
        <f t="shared" si="69"/>
        <v/>
      </c>
      <c r="M723" s="12"/>
      <c r="N723" s="12"/>
      <c r="O723" s="11" t="str">
        <f t="shared" si="70"/>
        <v/>
      </c>
      <c r="P723" s="10" t="str">
        <f t="shared" si="71"/>
        <v/>
      </c>
    </row>
    <row r="724" spans="1:16" ht="15" customHeight="1" x14ac:dyDescent="0.2">
      <c r="A724" s="8"/>
      <c r="B724" s="8"/>
      <c r="C724" s="8"/>
      <c r="D724" s="9"/>
      <c r="E724" s="9"/>
      <c r="F724" s="8"/>
      <c r="G724" s="10" t="str">
        <f t="shared" si="66"/>
        <v/>
      </c>
      <c r="H724" s="10" t="str">
        <f t="shared" si="67"/>
        <v/>
      </c>
      <c r="I724" s="11" t="str">
        <f>IF(B724="Recreation",IFERROR(INDEX(RecPricing!$E$5:$E$10,MATCH(IF(C724="Mixed","External",IF(C724="Unknown","UoB",C724))&amp;"|"&amp;IF(F724&lt;=24,"&lt;=24",IF(F724&lt;=32,"&lt;=32","Above32")),RecPricing!$F$5:$F$10,0)),""),IFERROR(INDEX(Reference!$E$5:$E$12,MATCH(B724&amp;"|"&amp;IF(C724="Mixed","External",IF(C724="Unknown","UoB",C724))&amp;"|"&amp;IF(F724&lt;=32,"32","40"),Reference!$D$5:$D$12,0)),""))</f>
        <v/>
      </c>
      <c r="J724" s="11" t="str">
        <f t="shared" si="68"/>
        <v/>
      </c>
      <c r="K724" s="12"/>
      <c r="L724" s="11" t="str">
        <f t="shared" si="69"/>
        <v/>
      </c>
      <c r="M724" s="12"/>
      <c r="N724" s="12"/>
      <c r="O724" s="11" t="str">
        <f t="shared" si="70"/>
        <v/>
      </c>
      <c r="P724" s="10" t="str">
        <f t="shared" si="71"/>
        <v/>
      </c>
    </row>
    <row r="725" spans="1:16" ht="15" customHeight="1" x14ac:dyDescent="0.2">
      <c r="A725" s="8"/>
      <c r="B725" s="8"/>
      <c r="C725" s="8"/>
      <c r="D725" s="9"/>
      <c r="E725" s="9"/>
      <c r="F725" s="8"/>
      <c r="G725" s="10" t="str">
        <f t="shared" si="66"/>
        <v/>
      </c>
      <c r="H725" s="10" t="str">
        <f t="shared" si="67"/>
        <v/>
      </c>
      <c r="I725" s="11" t="str">
        <f>IF(B725="Recreation",IFERROR(INDEX(RecPricing!$E$5:$E$10,MATCH(IF(C725="Mixed","External",IF(C725="Unknown","UoB",C725))&amp;"|"&amp;IF(F725&lt;=24,"&lt;=24",IF(F725&lt;=32,"&lt;=32","Above32")),RecPricing!$F$5:$F$10,0)),""),IFERROR(INDEX(Reference!$E$5:$E$12,MATCH(B725&amp;"|"&amp;IF(C725="Mixed","External",IF(C725="Unknown","UoB",C725))&amp;"|"&amp;IF(F725&lt;=32,"32","40"),Reference!$D$5:$D$12,0)),""))</f>
        <v/>
      </c>
      <c r="J725" s="11" t="str">
        <f t="shared" si="68"/>
        <v/>
      </c>
      <c r="K725" s="12"/>
      <c r="L725" s="11" t="str">
        <f t="shared" si="69"/>
        <v/>
      </c>
      <c r="M725" s="12"/>
      <c r="N725" s="12"/>
      <c r="O725" s="11" t="str">
        <f t="shared" si="70"/>
        <v/>
      </c>
      <c r="P725" s="10" t="str">
        <f t="shared" si="71"/>
        <v/>
      </c>
    </row>
    <row r="726" spans="1:16" ht="15" customHeight="1" x14ac:dyDescent="0.2">
      <c r="A726" s="8"/>
      <c r="B726" s="8"/>
      <c r="C726" s="8"/>
      <c r="D726" s="9"/>
      <c r="E726" s="9"/>
      <c r="F726" s="8"/>
      <c r="G726" s="10" t="str">
        <f t="shared" si="66"/>
        <v/>
      </c>
      <c r="H726" s="10" t="str">
        <f t="shared" si="67"/>
        <v/>
      </c>
      <c r="I726" s="11" t="str">
        <f>IF(B726="Recreation",IFERROR(INDEX(RecPricing!$E$5:$E$10,MATCH(IF(C726="Mixed","External",IF(C726="Unknown","UoB",C726))&amp;"|"&amp;IF(F726&lt;=24,"&lt;=24",IF(F726&lt;=32,"&lt;=32","Above32")),RecPricing!$F$5:$F$10,0)),""),IFERROR(INDEX(Reference!$E$5:$E$12,MATCH(B726&amp;"|"&amp;IF(C726="Mixed","External",IF(C726="Unknown","UoB",C726))&amp;"|"&amp;IF(F726&lt;=32,"32","40"),Reference!$D$5:$D$12,0)),""))</f>
        <v/>
      </c>
      <c r="J726" s="11" t="str">
        <f t="shared" si="68"/>
        <v/>
      </c>
      <c r="K726" s="12"/>
      <c r="L726" s="11" t="str">
        <f t="shared" si="69"/>
        <v/>
      </c>
      <c r="M726" s="12"/>
      <c r="N726" s="12"/>
      <c r="O726" s="11" t="str">
        <f t="shared" si="70"/>
        <v/>
      </c>
      <c r="P726" s="10" t="str">
        <f t="shared" si="71"/>
        <v/>
      </c>
    </row>
    <row r="727" spans="1:16" ht="15" customHeight="1" x14ac:dyDescent="0.2">
      <c r="A727" s="8"/>
      <c r="B727" s="8"/>
      <c r="C727" s="8"/>
      <c r="D727" s="9"/>
      <c r="E727" s="9"/>
      <c r="F727" s="8"/>
      <c r="G727" s="10" t="str">
        <f t="shared" si="66"/>
        <v/>
      </c>
      <c r="H727" s="10" t="str">
        <f t="shared" si="67"/>
        <v/>
      </c>
      <c r="I727" s="11" t="str">
        <f>IF(B727="Recreation",IFERROR(INDEX(RecPricing!$E$5:$E$10,MATCH(IF(C727="Mixed","External",IF(C727="Unknown","UoB",C727))&amp;"|"&amp;IF(F727&lt;=24,"&lt;=24",IF(F727&lt;=32,"&lt;=32","Above32")),RecPricing!$F$5:$F$10,0)),""),IFERROR(INDEX(Reference!$E$5:$E$12,MATCH(B727&amp;"|"&amp;IF(C727="Mixed","External",IF(C727="Unknown","UoB",C727))&amp;"|"&amp;IF(F727&lt;=32,"32","40"),Reference!$D$5:$D$12,0)),""))</f>
        <v/>
      </c>
      <c r="J727" s="11" t="str">
        <f t="shared" si="68"/>
        <v/>
      </c>
      <c r="K727" s="12"/>
      <c r="L727" s="11" t="str">
        <f t="shared" si="69"/>
        <v/>
      </c>
      <c r="M727" s="12"/>
      <c r="N727" s="12"/>
      <c r="O727" s="11" t="str">
        <f t="shared" si="70"/>
        <v/>
      </c>
      <c r="P727" s="10" t="str">
        <f t="shared" si="71"/>
        <v/>
      </c>
    </row>
    <row r="728" spans="1:16" ht="15" customHeight="1" x14ac:dyDescent="0.2">
      <c r="A728" s="8"/>
      <c r="B728" s="8"/>
      <c r="C728" s="8"/>
      <c r="D728" s="9"/>
      <c r="E728" s="9"/>
      <c r="F728" s="8"/>
      <c r="G728" s="10" t="str">
        <f t="shared" si="66"/>
        <v/>
      </c>
      <c r="H728" s="10" t="str">
        <f t="shared" si="67"/>
        <v/>
      </c>
      <c r="I728" s="11" t="str">
        <f>IF(B728="Recreation",IFERROR(INDEX(RecPricing!$E$5:$E$10,MATCH(IF(C728="Mixed","External",IF(C728="Unknown","UoB",C728))&amp;"|"&amp;IF(F728&lt;=24,"&lt;=24",IF(F728&lt;=32,"&lt;=32","Above32")),RecPricing!$F$5:$F$10,0)),""),IFERROR(INDEX(Reference!$E$5:$E$12,MATCH(B728&amp;"|"&amp;IF(C728="Mixed","External",IF(C728="Unknown","UoB",C728))&amp;"|"&amp;IF(F728&lt;=32,"32","40"),Reference!$D$5:$D$12,0)),""))</f>
        <v/>
      </c>
      <c r="J728" s="11" t="str">
        <f t="shared" si="68"/>
        <v/>
      </c>
      <c r="K728" s="12"/>
      <c r="L728" s="11" t="str">
        <f t="shared" si="69"/>
        <v/>
      </c>
      <c r="M728" s="12"/>
      <c r="N728" s="12"/>
      <c r="O728" s="11" t="str">
        <f t="shared" si="70"/>
        <v/>
      </c>
      <c r="P728" s="10" t="str">
        <f t="shared" si="71"/>
        <v/>
      </c>
    </row>
    <row r="729" spans="1:16" ht="15" customHeight="1" x14ac:dyDescent="0.2">
      <c r="A729" s="8"/>
      <c r="B729" s="8"/>
      <c r="C729" s="8"/>
      <c r="D729" s="9"/>
      <c r="E729" s="9"/>
      <c r="F729" s="8"/>
      <c r="G729" s="10" t="str">
        <f t="shared" si="66"/>
        <v/>
      </c>
      <c r="H729" s="10" t="str">
        <f t="shared" si="67"/>
        <v/>
      </c>
      <c r="I729" s="11" t="str">
        <f>IF(B729="Recreation",IFERROR(INDEX(RecPricing!$E$5:$E$10,MATCH(IF(C729="Mixed","External",IF(C729="Unknown","UoB",C729))&amp;"|"&amp;IF(F729&lt;=24,"&lt;=24",IF(F729&lt;=32,"&lt;=32","Above32")),RecPricing!$F$5:$F$10,0)),""),IFERROR(INDEX(Reference!$E$5:$E$12,MATCH(B729&amp;"|"&amp;IF(C729="Mixed","External",IF(C729="Unknown","UoB",C729))&amp;"|"&amp;IF(F729&lt;=32,"32","40"),Reference!$D$5:$D$12,0)),""))</f>
        <v/>
      </c>
      <c r="J729" s="11" t="str">
        <f t="shared" si="68"/>
        <v/>
      </c>
      <c r="K729" s="12"/>
      <c r="L729" s="11" t="str">
        <f t="shared" si="69"/>
        <v/>
      </c>
      <c r="M729" s="12"/>
      <c r="N729" s="12"/>
      <c r="O729" s="11" t="str">
        <f t="shared" si="70"/>
        <v/>
      </c>
      <c r="P729" s="10" t="str">
        <f t="shared" si="71"/>
        <v/>
      </c>
    </row>
    <row r="730" spans="1:16" ht="15" customHeight="1" x14ac:dyDescent="0.2">
      <c r="A730" s="8"/>
      <c r="B730" s="8"/>
      <c r="C730" s="8"/>
      <c r="D730" s="9"/>
      <c r="E730" s="9"/>
      <c r="F730" s="8"/>
      <c r="G730" s="10" t="str">
        <f t="shared" si="66"/>
        <v/>
      </c>
      <c r="H730" s="10" t="str">
        <f t="shared" si="67"/>
        <v/>
      </c>
      <c r="I730" s="11" t="str">
        <f>IF(B730="Recreation",IFERROR(INDEX(RecPricing!$E$5:$E$10,MATCH(IF(C730="Mixed","External",IF(C730="Unknown","UoB",C730))&amp;"|"&amp;IF(F730&lt;=24,"&lt;=24",IF(F730&lt;=32,"&lt;=32","Above32")),RecPricing!$F$5:$F$10,0)),""),IFERROR(INDEX(Reference!$E$5:$E$12,MATCH(B730&amp;"|"&amp;IF(C730="Mixed","External",IF(C730="Unknown","UoB",C730))&amp;"|"&amp;IF(F730&lt;=32,"32","40"),Reference!$D$5:$D$12,0)),""))</f>
        <v/>
      </c>
      <c r="J730" s="11" t="str">
        <f t="shared" si="68"/>
        <v/>
      </c>
      <c r="K730" s="12"/>
      <c r="L730" s="11" t="str">
        <f t="shared" si="69"/>
        <v/>
      </c>
      <c r="M730" s="12"/>
      <c r="N730" s="12"/>
      <c r="O730" s="11" t="str">
        <f t="shared" si="70"/>
        <v/>
      </c>
      <c r="P730" s="10" t="str">
        <f t="shared" si="71"/>
        <v/>
      </c>
    </row>
    <row r="731" spans="1:16" ht="15" customHeight="1" x14ac:dyDescent="0.2">
      <c r="A731" s="8"/>
      <c r="B731" s="8"/>
      <c r="C731" s="8"/>
      <c r="D731" s="9"/>
      <c r="E731" s="9"/>
      <c r="F731" s="8"/>
      <c r="G731" s="10" t="str">
        <f t="shared" si="66"/>
        <v/>
      </c>
      <c r="H731" s="10" t="str">
        <f t="shared" si="67"/>
        <v/>
      </c>
      <c r="I731" s="11" t="str">
        <f>IF(B731="Recreation",IFERROR(INDEX(RecPricing!$E$5:$E$10,MATCH(IF(C731="Mixed","External",IF(C731="Unknown","UoB",C731))&amp;"|"&amp;IF(F731&lt;=24,"&lt;=24",IF(F731&lt;=32,"&lt;=32","Above32")),RecPricing!$F$5:$F$10,0)),""),IFERROR(INDEX(Reference!$E$5:$E$12,MATCH(B731&amp;"|"&amp;IF(C731="Mixed","External",IF(C731="Unknown","UoB",C731))&amp;"|"&amp;IF(F731&lt;=32,"32","40"),Reference!$D$5:$D$12,0)),""))</f>
        <v/>
      </c>
      <c r="J731" s="11" t="str">
        <f t="shared" si="68"/>
        <v/>
      </c>
      <c r="K731" s="12"/>
      <c r="L731" s="11" t="str">
        <f t="shared" si="69"/>
        <v/>
      </c>
      <c r="M731" s="12"/>
      <c r="N731" s="12"/>
      <c r="O731" s="11" t="str">
        <f t="shared" si="70"/>
        <v/>
      </c>
      <c r="P731" s="10" t="str">
        <f t="shared" si="71"/>
        <v/>
      </c>
    </row>
    <row r="732" spans="1:16" ht="15" customHeight="1" x14ac:dyDescent="0.2">
      <c r="A732" s="8"/>
      <c r="B732" s="8"/>
      <c r="C732" s="8"/>
      <c r="D732" s="9"/>
      <c r="E732" s="9"/>
      <c r="F732" s="8"/>
      <c r="G732" s="10" t="str">
        <f t="shared" si="66"/>
        <v/>
      </c>
      <c r="H732" s="10" t="str">
        <f t="shared" si="67"/>
        <v/>
      </c>
      <c r="I732" s="11" t="str">
        <f>IF(B732="Recreation",IFERROR(INDEX(RecPricing!$E$5:$E$10,MATCH(IF(C732="Mixed","External",IF(C732="Unknown","UoB",C732))&amp;"|"&amp;IF(F732&lt;=24,"&lt;=24",IF(F732&lt;=32,"&lt;=32","Above32")),RecPricing!$F$5:$F$10,0)),""),IFERROR(INDEX(Reference!$E$5:$E$12,MATCH(B732&amp;"|"&amp;IF(C732="Mixed","External",IF(C732="Unknown","UoB",C732))&amp;"|"&amp;IF(F732&lt;=32,"32","40"),Reference!$D$5:$D$12,0)),""))</f>
        <v/>
      </c>
      <c r="J732" s="11" t="str">
        <f t="shared" si="68"/>
        <v/>
      </c>
      <c r="K732" s="12"/>
      <c r="L732" s="11" t="str">
        <f t="shared" si="69"/>
        <v/>
      </c>
      <c r="M732" s="12"/>
      <c r="N732" s="12"/>
      <c r="O732" s="11" t="str">
        <f t="shared" si="70"/>
        <v/>
      </c>
      <c r="P732" s="10" t="str">
        <f t="shared" si="71"/>
        <v/>
      </c>
    </row>
    <row r="733" spans="1:16" ht="15" customHeight="1" x14ac:dyDescent="0.2">
      <c r="A733" s="8"/>
      <c r="B733" s="8"/>
      <c r="C733" s="8"/>
      <c r="D733" s="9"/>
      <c r="E733" s="9"/>
      <c r="F733" s="8"/>
      <c r="G733" s="10" t="str">
        <f t="shared" si="66"/>
        <v/>
      </c>
      <c r="H733" s="10" t="str">
        <f t="shared" si="67"/>
        <v/>
      </c>
      <c r="I733" s="11" t="str">
        <f>IF(B733="Recreation",IFERROR(INDEX(RecPricing!$E$5:$E$10,MATCH(IF(C733="Mixed","External",IF(C733="Unknown","UoB",C733))&amp;"|"&amp;IF(F733&lt;=24,"&lt;=24",IF(F733&lt;=32,"&lt;=32","Above32")),RecPricing!$F$5:$F$10,0)),""),IFERROR(INDEX(Reference!$E$5:$E$12,MATCH(B733&amp;"|"&amp;IF(C733="Mixed","External",IF(C733="Unknown","UoB",C733))&amp;"|"&amp;IF(F733&lt;=32,"32","40"),Reference!$D$5:$D$12,0)),""))</f>
        <v/>
      </c>
      <c r="J733" s="11" t="str">
        <f t="shared" si="68"/>
        <v/>
      </c>
      <c r="K733" s="12"/>
      <c r="L733" s="11" t="str">
        <f t="shared" si="69"/>
        <v/>
      </c>
      <c r="M733" s="12"/>
      <c r="N733" s="12"/>
      <c r="O733" s="11" t="str">
        <f t="shared" si="70"/>
        <v/>
      </c>
      <c r="P733" s="10" t="str">
        <f t="shared" si="71"/>
        <v/>
      </c>
    </row>
    <row r="734" spans="1:16" ht="15" customHeight="1" x14ac:dyDescent="0.2">
      <c r="A734" s="8"/>
      <c r="B734" s="8"/>
      <c r="C734" s="8"/>
      <c r="D734" s="9"/>
      <c r="E734" s="9"/>
      <c r="F734" s="8"/>
      <c r="G734" s="10" t="str">
        <f t="shared" si="66"/>
        <v/>
      </c>
      <c r="H734" s="10" t="str">
        <f t="shared" si="67"/>
        <v/>
      </c>
      <c r="I734" s="11" t="str">
        <f>IF(B734="Recreation",IFERROR(INDEX(RecPricing!$E$5:$E$10,MATCH(IF(C734="Mixed","External",IF(C734="Unknown","UoB",C734))&amp;"|"&amp;IF(F734&lt;=24,"&lt;=24",IF(F734&lt;=32,"&lt;=32","Above32")),RecPricing!$F$5:$F$10,0)),""),IFERROR(INDEX(Reference!$E$5:$E$12,MATCH(B734&amp;"|"&amp;IF(C734="Mixed","External",IF(C734="Unknown","UoB",C734))&amp;"|"&amp;IF(F734&lt;=32,"32","40"),Reference!$D$5:$D$12,0)),""))</f>
        <v/>
      </c>
      <c r="J734" s="11" t="str">
        <f t="shared" si="68"/>
        <v/>
      </c>
      <c r="K734" s="12"/>
      <c r="L734" s="11" t="str">
        <f t="shared" si="69"/>
        <v/>
      </c>
      <c r="M734" s="12"/>
      <c r="N734" s="12"/>
      <c r="O734" s="11" t="str">
        <f t="shared" si="70"/>
        <v/>
      </c>
      <c r="P734" s="10" t="str">
        <f t="shared" si="71"/>
        <v/>
      </c>
    </row>
    <row r="735" spans="1:16" ht="15" customHeight="1" x14ac:dyDescent="0.2">
      <c r="A735" s="8"/>
      <c r="B735" s="8"/>
      <c r="C735" s="8"/>
      <c r="D735" s="9"/>
      <c r="E735" s="9"/>
      <c r="F735" s="8"/>
      <c r="G735" s="10" t="str">
        <f t="shared" si="66"/>
        <v/>
      </c>
      <c r="H735" s="10" t="str">
        <f t="shared" si="67"/>
        <v/>
      </c>
      <c r="I735" s="11" t="str">
        <f>IF(B735="Recreation",IFERROR(INDEX(RecPricing!$E$5:$E$10,MATCH(IF(C735="Mixed","External",IF(C735="Unknown","UoB",C735))&amp;"|"&amp;IF(F735&lt;=24,"&lt;=24",IF(F735&lt;=32,"&lt;=32","Above32")),RecPricing!$F$5:$F$10,0)),""),IFERROR(INDEX(Reference!$E$5:$E$12,MATCH(B735&amp;"|"&amp;IF(C735="Mixed","External",IF(C735="Unknown","UoB",C735))&amp;"|"&amp;IF(F735&lt;=32,"32","40"),Reference!$D$5:$D$12,0)),""))</f>
        <v/>
      </c>
      <c r="J735" s="11" t="str">
        <f t="shared" si="68"/>
        <v/>
      </c>
      <c r="K735" s="12"/>
      <c r="L735" s="11" t="str">
        <f t="shared" si="69"/>
        <v/>
      </c>
      <c r="M735" s="12"/>
      <c r="N735" s="12"/>
      <c r="O735" s="11" t="str">
        <f t="shared" si="70"/>
        <v/>
      </c>
      <c r="P735" s="10" t="str">
        <f t="shared" si="71"/>
        <v/>
      </c>
    </row>
    <row r="736" spans="1:16" ht="15" customHeight="1" x14ac:dyDescent="0.2">
      <c r="A736" s="8"/>
      <c r="B736" s="8"/>
      <c r="C736" s="8"/>
      <c r="D736" s="9"/>
      <c r="E736" s="9"/>
      <c r="F736" s="8"/>
      <c r="G736" s="10" t="str">
        <f t="shared" si="66"/>
        <v/>
      </c>
      <c r="H736" s="10" t="str">
        <f t="shared" si="67"/>
        <v/>
      </c>
      <c r="I736" s="11" t="str">
        <f>IF(B736="Recreation",IFERROR(INDEX(RecPricing!$E$5:$E$10,MATCH(IF(C736="Mixed","External",IF(C736="Unknown","UoB",C736))&amp;"|"&amp;IF(F736&lt;=24,"&lt;=24",IF(F736&lt;=32,"&lt;=32","Above32")),RecPricing!$F$5:$F$10,0)),""),IFERROR(INDEX(Reference!$E$5:$E$12,MATCH(B736&amp;"|"&amp;IF(C736="Mixed","External",IF(C736="Unknown","UoB",C736))&amp;"|"&amp;IF(F736&lt;=32,"32","40"),Reference!$D$5:$D$12,0)),""))</f>
        <v/>
      </c>
      <c r="J736" s="11" t="str">
        <f t="shared" si="68"/>
        <v/>
      </c>
      <c r="K736" s="12"/>
      <c r="L736" s="11" t="str">
        <f t="shared" si="69"/>
        <v/>
      </c>
      <c r="M736" s="12"/>
      <c r="N736" s="12"/>
      <c r="O736" s="11" t="str">
        <f t="shared" si="70"/>
        <v/>
      </c>
      <c r="P736" s="10" t="str">
        <f t="shared" si="71"/>
        <v/>
      </c>
    </row>
    <row r="737" spans="1:16" ht="15" customHeight="1" x14ac:dyDescent="0.2">
      <c r="A737" s="8"/>
      <c r="B737" s="8"/>
      <c r="C737" s="8"/>
      <c r="D737" s="9"/>
      <c r="E737" s="9"/>
      <c r="F737" s="8"/>
      <c r="G737" s="10" t="str">
        <f t="shared" si="66"/>
        <v/>
      </c>
      <c r="H737" s="10" t="str">
        <f t="shared" si="67"/>
        <v/>
      </c>
      <c r="I737" s="11" t="str">
        <f>IF(B737="Recreation",IFERROR(INDEX(RecPricing!$E$5:$E$10,MATCH(IF(C737="Mixed","External",IF(C737="Unknown","UoB",C737))&amp;"|"&amp;IF(F737&lt;=24,"&lt;=24",IF(F737&lt;=32,"&lt;=32","Above32")),RecPricing!$F$5:$F$10,0)),""),IFERROR(INDEX(Reference!$E$5:$E$12,MATCH(B737&amp;"|"&amp;IF(C737="Mixed","External",IF(C737="Unknown","UoB",C737))&amp;"|"&amp;IF(F737&lt;=32,"32","40"),Reference!$D$5:$D$12,0)),""))</f>
        <v/>
      </c>
      <c r="J737" s="11" t="str">
        <f t="shared" si="68"/>
        <v/>
      </c>
      <c r="K737" s="12"/>
      <c r="L737" s="11" t="str">
        <f t="shared" si="69"/>
        <v/>
      </c>
      <c r="M737" s="12"/>
      <c r="N737" s="12"/>
      <c r="O737" s="11" t="str">
        <f t="shared" si="70"/>
        <v/>
      </c>
      <c r="P737" s="10" t="str">
        <f t="shared" si="71"/>
        <v/>
      </c>
    </row>
    <row r="738" spans="1:16" ht="15" customHeight="1" x14ac:dyDescent="0.2">
      <c r="A738" s="8"/>
      <c r="B738" s="8"/>
      <c r="C738" s="8"/>
      <c r="D738" s="9"/>
      <c r="E738" s="9"/>
      <c r="F738" s="8"/>
      <c r="G738" s="10" t="str">
        <f t="shared" si="66"/>
        <v/>
      </c>
      <c r="H738" s="10" t="str">
        <f t="shared" si="67"/>
        <v/>
      </c>
      <c r="I738" s="11" t="str">
        <f>IF(B738="Recreation",IFERROR(INDEX(RecPricing!$E$5:$E$10,MATCH(IF(C738="Mixed","External",IF(C738="Unknown","UoB",C738))&amp;"|"&amp;IF(F738&lt;=24,"&lt;=24",IF(F738&lt;=32,"&lt;=32","Above32")),RecPricing!$F$5:$F$10,0)),""),IFERROR(INDEX(Reference!$E$5:$E$12,MATCH(B738&amp;"|"&amp;IF(C738="Mixed","External",IF(C738="Unknown","UoB",C738))&amp;"|"&amp;IF(F738&lt;=32,"32","40"),Reference!$D$5:$D$12,0)),""))</f>
        <v/>
      </c>
      <c r="J738" s="11" t="str">
        <f t="shared" si="68"/>
        <v/>
      </c>
      <c r="K738" s="12"/>
      <c r="L738" s="11" t="str">
        <f t="shared" si="69"/>
        <v/>
      </c>
      <c r="M738" s="12"/>
      <c r="N738" s="12"/>
      <c r="O738" s="11" t="str">
        <f t="shared" si="70"/>
        <v/>
      </c>
      <c r="P738" s="10" t="str">
        <f t="shared" si="71"/>
        <v/>
      </c>
    </row>
    <row r="739" spans="1:16" ht="15" customHeight="1" x14ac:dyDescent="0.2">
      <c r="A739" s="8"/>
      <c r="B739" s="8"/>
      <c r="C739" s="8"/>
      <c r="D739" s="9"/>
      <c r="E739" s="9"/>
      <c r="F739" s="8"/>
      <c r="G739" s="10" t="str">
        <f t="shared" si="66"/>
        <v/>
      </c>
      <c r="H739" s="10" t="str">
        <f t="shared" si="67"/>
        <v/>
      </c>
      <c r="I739" s="11" t="str">
        <f>IF(B739="Recreation",IFERROR(INDEX(RecPricing!$E$5:$E$10,MATCH(IF(C739="Mixed","External",IF(C739="Unknown","UoB",C739))&amp;"|"&amp;IF(F739&lt;=24,"&lt;=24",IF(F739&lt;=32,"&lt;=32","Above32")),RecPricing!$F$5:$F$10,0)),""),IFERROR(INDEX(Reference!$E$5:$E$12,MATCH(B739&amp;"|"&amp;IF(C739="Mixed","External",IF(C739="Unknown","UoB",C739))&amp;"|"&amp;IF(F739&lt;=32,"32","40"),Reference!$D$5:$D$12,0)),""))</f>
        <v/>
      </c>
      <c r="J739" s="11" t="str">
        <f t="shared" si="68"/>
        <v/>
      </c>
      <c r="K739" s="12"/>
      <c r="L739" s="11" t="str">
        <f t="shared" si="69"/>
        <v/>
      </c>
      <c r="M739" s="12"/>
      <c r="N739" s="12"/>
      <c r="O739" s="11" t="str">
        <f t="shared" si="70"/>
        <v/>
      </c>
      <c r="P739" s="10" t="str">
        <f t="shared" si="71"/>
        <v/>
      </c>
    </row>
    <row r="740" spans="1:16" ht="15" customHeight="1" x14ac:dyDescent="0.2">
      <c r="A740" s="8"/>
      <c r="B740" s="8"/>
      <c r="C740" s="8"/>
      <c r="D740" s="9"/>
      <c r="E740" s="9"/>
      <c r="F740" s="8"/>
      <c r="G740" s="10" t="str">
        <f t="shared" si="66"/>
        <v/>
      </c>
      <c r="H740" s="10" t="str">
        <f t="shared" si="67"/>
        <v/>
      </c>
      <c r="I740" s="11" t="str">
        <f>IF(B740="Recreation",IFERROR(INDEX(RecPricing!$E$5:$E$10,MATCH(IF(C740="Mixed","External",IF(C740="Unknown","UoB",C740))&amp;"|"&amp;IF(F740&lt;=24,"&lt;=24",IF(F740&lt;=32,"&lt;=32","Above32")),RecPricing!$F$5:$F$10,0)),""),IFERROR(INDEX(Reference!$E$5:$E$12,MATCH(B740&amp;"|"&amp;IF(C740="Mixed","External",IF(C740="Unknown","UoB",C740))&amp;"|"&amp;IF(F740&lt;=32,"32","40"),Reference!$D$5:$D$12,0)),""))</f>
        <v/>
      </c>
      <c r="J740" s="11" t="str">
        <f t="shared" si="68"/>
        <v/>
      </c>
      <c r="K740" s="12"/>
      <c r="L740" s="11" t="str">
        <f t="shared" si="69"/>
        <v/>
      </c>
      <c r="M740" s="12"/>
      <c r="N740" s="12"/>
      <c r="O740" s="11" t="str">
        <f t="shared" si="70"/>
        <v/>
      </c>
      <c r="P740" s="10" t="str">
        <f t="shared" si="71"/>
        <v/>
      </c>
    </row>
    <row r="741" spans="1:16" ht="15" customHeight="1" x14ac:dyDescent="0.2">
      <c r="A741" s="8"/>
      <c r="B741" s="8"/>
      <c r="C741" s="8"/>
      <c r="D741" s="9"/>
      <c r="E741" s="9"/>
      <c r="F741" s="8"/>
      <c r="G741" s="10" t="str">
        <f t="shared" si="66"/>
        <v/>
      </c>
      <c r="H741" s="10" t="str">
        <f t="shared" si="67"/>
        <v/>
      </c>
      <c r="I741" s="11" t="str">
        <f>IF(B741="Recreation",IFERROR(INDEX(RecPricing!$E$5:$E$10,MATCH(IF(C741="Mixed","External",IF(C741="Unknown","UoB",C741))&amp;"|"&amp;IF(F741&lt;=24,"&lt;=24",IF(F741&lt;=32,"&lt;=32","Above32")),RecPricing!$F$5:$F$10,0)),""),IFERROR(INDEX(Reference!$E$5:$E$12,MATCH(B741&amp;"|"&amp;IF(C741="Mixed","External",IF(C741="Unknown","UoB",C741))&amp;"|"&amp;IF(F741&lt;=32,"32","40"),Reference!$D$5:$D$12,0)),""))</f>
        <v/>
      </c>
      <c r="J741" s="11" t="str">
        <f t="shared" si="68"/>
        <v/>
      </c>
      <c r="K741" s="12"/>
      <c r="L741" s="11" t="str">
        <f t="shared" si="69"/>
        <v/>
      </c>
      <c r="M741" s="12"/>
      <c r="N741" s="12"/>
      <c r="O741" s="11" t="str">
        <f t="shared" si="70"/>
        <v/>
      </c>
      <c r="P741" s="10" t="str">
        <f t="shared" si="71"/>
        <v/>
      </c>
    </row>
    <row r="742" spans="1:16" ht="15" customHeight="1" x14ac:dyDescent="0.2">
      <c r="A742" s="8"/>
      <c r="B742" s="8"/>
      <c r="C742" s="8"/>
      <c r="D742" s="9"/>
      <c r="E742" s="9"/>
      <c r="F742" s="8"/>
      <c r="G742" s="10" t="str">
        <f t="shared" si="66"/>
        <v/>
      </c>
      <c r="H742" s="10" t="str">
        <f t="shared" si="67"/>
        <v/>
      </c>
      <c r="I742" s="11" t="str">
        <f>IF(B742="Recreation",IFERROR(INDEX(RecPricing!$E$5:$E$10,MATCH(IF(C742="Mixed","External",IF(C742="Unknown","UoB",C742))&amp;"|"&amp;IF(F742&lt;=24,"&lt;=24",IF(F742&lt;=32,"&lt;=32","Above32")),RecPricing!$F$5:$F$10,0)),""),IFERROR(INDEX(Reference!$E$5:$E$12,MATCH(B742&amp;"|"&amp;IF(C742="Mixed","External",IF(C742="Unknown","UoB",C742))&amp;"|"&amp;IF(F742&lt;=32,"32","40"),Reference!$D$5:$D$12,0)),""))</f>
        <v/>
      </c>
      <c r="J742" s="11" t="str">
        <f t="shared" si="68"/>
        <v/>
      </c>
      <c r="K742" s="12"/>
      <c r="L742" s="11" t="str">
        <f t="shared" si="69"/>
        <v/>
      </c>
      <c r="M742" s="12"/>
      <c r="N742" s="12"/>
      <c r="O742" s="11" t="str">
        <f t="shared" si="70"/>
        <v/>
      </c>
      <c r="P742" s="10" t="str">
        <f t="shared" si="71"/>
        <v/>
      </c>
    </row>
    <row r="743" spans="1:16" ht="15" customHeight="1" x14ac:dyDescent="0.2">
      <c r="A743" s="8"/>
      <c r="B743" s="8"/>
      <c r="C743" s="8"/>
      <c r="D743" s="9"/>
      <c r="E743" s="9"/>
      <c r="F743" s="8"/>
      <c r="G743" s="10" t="str">
        <f t="shared" si="66"/>
        <v/>
      </c>
      <c r="H743" s="10" t="str">
        <f t="shared" si="67"/>
        <v/>
      </c>
      <c r="I743" s="11" t="str">
        <f>IF(B743="Recreation",IFERROR(INDEX(RecPricing!$E$5:$E$10,MATCH(IF(C743="Mixed","External",IF(C743="Unknown","UoB",C743))&amp;"|"&amp;IF(F743&lt;=24,"&lt;=24",IF(F743&lt;=32,"&lt;=32","Above32")),RecPricing!$F$5:$F$10,0)),""),IFERROR(INDEX(Reference!$E$5:$E$12,MATCH(B743&amp;"|"&amp;IF(C743="Mixed","External",IF(C743="Unknown","UoB",C743))&amp;"|"&amp;IF(F743&lt;=32,"32","40"),Reference!$D$5:$D$12,0)),""))</f>
        <v/>
      </c>
      <c r="J743" s="11" t="str">
        <f t="shared" si="68"/>
        <v/>
      </c>
      <c r="K743" s="12"/>
      <c r="L743" s="11" t="str">
        <f t="shared" si="69"/>
        <v/>
      </c>
      <c r="M743" s="12"/>
      <c r="N743" s="12"/>
      <c r="O743" s="11" t="str">
        <f t="shared" si="70"/>
        <v/>
      </c>
      <c r="P743" s="10" t="str">
        <f t="shared" si="71"/>
        <v/>
      </c>
    </row>
    <row r="744" spans="1:16" ht="15" customHeight="1" x14ac:dyDescent="0.2">
      <c r="A744" s="8"/>
      <c r="B744" s="8"/>
      <c r="C744" s="8"/>
      <c r="D744" s="9"/>
      <c r="E744" s="9"/>
      <c r="F744" s="8"/>
      <c r="G744" s="10" t="str">
        <f t="shared" si="66"/>
        <v/>
      </c>
      <c r="H744" s="10" t="str">
        <f t="shared" si="67"/>
        <v/>
      </c>
      <c r="I744" s="11" t="str">
        <f>IF(B744="Recreation",IFERROR(INDEX(RecPricing!$E$5:$E$10,MATCH(IF(C744="Mixed","External",IF(C744="Unknown","UoB",C744))&amp;"|"&amp;IF(F744&lt;=24,"&lt;=24",IF(F744&lt;=32,"&lt;=32","Above32")),RecPricing!$F$5:$F$10,0)),""),IFERROR(INDEX(Reference!$E$5:$E$12,MATCH(B744&amp;"|"&amp;IF(C744="Mixed","External",IF(C744="Unknown","UoB",C744))&amp;"|"&amp;IF(F744&lt;=32,"32","40"),Reference!$D$5:$D$12,0)),""))</f>
        <v/>
      </c>
      <c r="J744" s="11" t="str">
        <f t="shared" si="68"/>
        <v/>
      </c>
      <c r="K744" s="12"/>
      <c r="L744" s="11" t="str">
        <f t="shared" si="69"/>
        <v/>
      </c>
      <c r="M744" s="12"/>
      <c r="N744" s="12"/>
      <c r="O744" s="11" t="str">
        <f t="shared" si="70"/>
        <v/>
      </c>
      <c r="P744" s="10" t="str">
        <f t="shared" si="71"/>
        <v/>
      </c>
    </row>
    <row r="745" spans="1:16" ht="15" customHeight="1" x14ac:dyDescent="0.2">
      <c r="A745" s="8"/>
      <c r="B745" s="8"/>
      <c r="C745" s="8"/>
      <c r="D745" s="9"/>
      <c r="E745" s="9"/>
      <c r="F745" s="8"/>
      <c r="G745" s="10" t="str">
        <f t="shared" si="66"/>
        <v/>
      </c>
      <c r="H745" s="10" t="str">
        <f t="shared" si="67"/>
        <v/>
      </c>
      <c r="I745" s="11" t="str">
        <f>IF(B745="Recreation",IFERROR(INDEX(RecPricing!$E$5:$E$10,MATCH(IF(C745="Mixed","External",IF(C745="Unknown","UoB",C745))&amp;"|"&amp;IF(F745&lt;=24,"&lt;=24",IF(F745&lt;=32,"&lt;=32","Above32")),RecPricing!$F$5:$F$10,0)),""),IFERROR(INDEX(Reference!$E$5:$E$12,MATCH(B745&amp;"|"&amp;IF(C745="Mixed","External",IF(C745="Unknown","UoB",C745))&amp;"|"&amp;IF(F745&lt;=32,"32","40"),Reference!$D$5:$D$12,0)),""))</f>
        <v/>
      </c>
      <c r="J745" s="11" t="str">
        <f t="shared" si="68"/>
        <v/>
      </c>
      <c r="K745" s="12"/>
      <c r="L745" s="11" t="str">
        <f t="shared" si="69"/>
        <v/>
      </c>
      <c r="M745" s="12"/>
      <c r="N745" s="12"/>
      <c r="O745" s="11" t="str">
        <f t="shared" si="70"/>
        <v/>
      </c>
      <c r="P745" s="10" t="str">
        <f t="shared" si="71"/>
        <v/>
      </c>
    </row>
    <row r="746" spans="1:16" ht="15" customHeight="1" x14ac:dyDescent="0.2">
      <c r="A746" s="8"/>
      <c r="B746" s="8"/>
      <c r="C746" s="8"/>
      <c r="D746" s="9"/>
      <c r="E746" s="9"/>
      <c r="F746" s="8"/>
      <c r="G746" s="10" t="str">
        <f t="shared" si="66"/>
        <v/>
      </c>
      <c r="H746" s="10" t="str">
        <f t="shared" si="67"/>
        <v/>
      </c>
      <c r="I746" s="11" t="str">
        <f>IF(B746="Recreation",IFERROR(INDEX(RecPricing!$E$5:$E$10,MATCH(IF(C746="Mixed","External",IF(C746="Unknown","UoB",C746))&amp;"|"&amp;IF(F746&lt;=24,"&lt;=24",IF(F746&lt;=32,"&lt;=32","Above32")),RecPricing!$F$5:$F$10,0)),""),IFERROR(INDEX(Reference!$E$5:$E$12,MATCH(B746&amp;"|"&amp;IF(C746="Mixed","External",IF(C746="Unknown","UoB",C746))&amp;"|"&amp;IF(F746&lt;=32,"32","40"),Reference!$D$5:$D$12,0)),""))</f>
        <v/>
      </c>
      <c r="J746" s="11" t="str">
        <f t="shared" si="68"/>
        <v/>
      </c>
      <c r="K746" s="12"/>
      <c r="L746" s="11" t="str">
        <f t="shared" si="69"/>
        <v/>
      </c>
      <c r="M746" s="12"/>
      <c r="N746" s="12"/>
      <c r="O746" s="11" t="str">
        <f t="shared" si="70"/>
        <v/>
      </c>
      <c r="P746" s="10" t="str">
        <f t="shared" si="71"/>
        <v/>
      </c>
    </row>
    <row r="747" spans="1:16" ht="15" customHeight="1" x14ac:dyDescent="0.2">
      <c r="A747" s="8"/>
      <c r="B747" s="8"/>
      <c r="C747" s="8"/>
      <c r="D747" s="9"/>
      <c r="E747" s="9"/>
      <c r="F747" s="8"/>
      <c r="G747" s="10" t="str">
        <f t="shared" si="66"/>
        <v/>
      </c>
      <c r="H747" s="10" t="str">
        <f t="shared" si="67"/>
        <v/>
      </c>
      <c r="I747" s="11" t="str">
        <f>IF(B747="Recreation",IFERROR(INDEX(RecPricing!$E$5:$E$10,MATCH(IF(C747="Mixed","External",IF(C747="Unknown","UoB",C747))&amp;"|"&amp;IF(F747&lt;=24,"&lt;=24",IF(F747&lt;=32,"&lt;=32","Above32")),RecPricing!$F$5:$F$10,0)),""),IFERROR(INDEX(Reference!$E$5:$E$12,MATCH(B747&amp;"|"&amp;IF(C747="Mixed","External",IF(C747="Unknown","UoB",C747))&amp;"|"&amp;IF(F747&lt;=32,"32","40"),Reference!$D$5:$D$12,0)),""))</f>
        <v/>
      </c>
      <c r="J747" s="11" t="str">
        <f t="shared" si="68"/>
        <v/>
      </c>
      <c r="K747" s="12"/>
      <c r="L747" s="11" t="str">
        <f t="shared" si="69"/>
        <v/>
      </c>
      <c r="M747" s="12"/>
      <c r="N747" s="12"/>
      <c r="O747" s="11" t="str">
        <f t="shared" si="70"/>
        <v/>
      </c>
      <c r="P747" s="10" t="str">
        <f t="shared" si="71"/>
        <v/>
      </c>
    </row>
    <row r="748" spans="1:16" ht="15" customHeight="1" x14ac:dyDescent="0.2">
      <c r="A748" s="8"/>
      <c r="B748" s="8"/>
      <c r="C748" s="8"/>
      <c r="D748" s="9"/>
      <c r="E748" s="9"/>
      <c r="F748" s="8"/>
      <c r="G748" s="10" t="str">
        <f t="shared" si="66"/>
        <v/>
      </c>
      <c r="H748" s="10" t="str">
        <f t="shared" si="67"/>
        <v/>
      </c>
      <c r="I748" s="11" t="str">
        <f>IF(B748="Recreation",IFERROR(INDEX(RecPricing!$E$5:$E$10,MATCH(IF(C748="Mixed","External",IF(C748="Unknown","UoB",C748))&amp;"|"&amp;IF(F748&lt;=24,"&lt;=24",IF(F748&lt;=32,"&lt;=32","Above32")),RecPricing!$F$5:$F$10,0)),""),IFERROR(INDEX(Reference!$E$5:$E$12,MATCH(B748&amp;"|"&amp;IF(C748="Mixed","External",IF(C748="Unknown","UoB",C748))&amp;"|"&amp;IF(F748&lt;=32,"32","40"),Reference!$D$5:$D$12,0)),""))</f>
        <v/>
      </c>
      <c r="J748" s="11" t="str">
        <f t="shared" si="68"/>
        <v/>
      </c>
      <c r="K748" s="12"/>
      <c r="L748" s="11" t="str">
        <f t="shared" si="69"/>
        <v/>
      </c>
      <c r="M748" s="12"/>
      <c r="N748" s="12"/>
      <c r="O748" s="11" t="str">
        <f t="shared" si="70"/>
        <v/>
      </c>
      <c r="P748" s="10" t="str">
        <f t="shared" si="71"/>
        <v/>
      </c>
    </row>
    <row r="749" spans="1:16" ht="15" customHeight="1" x14ac:dyDescent="0.2">
      <c r="A749" s="8"/>
      <c r="B749" s="8"/>
      <c r="C749" s="8"/>
      <c r="D749" s="9"/>
      <c r="E749" s="9"/>
      <c r="F749" s="8"/>
      <c r="G749" s="10" t="str">
        <f t="shared" si="66"/>
        <v/>
      </c>
      <c r="H749" s="10" t="str">
        <f t="shared" si="67"/>
        <v/>
      </c>
      <c r="I749" s="11" t="str">
        <f>IF(B749="Recreation",IFERROR(INDEX(RecPricing!$E$5:$E$10,MATCH(IF(C749="Mixed","External",IF(C749="Unknown","UoB",C749))&amp;"|"&amp;IF(F749&lt;=24,"&lt;=24",IF(F749&lt;=32,"&lt;=32","Above32")),RecPricing!$F$5:$F$10,0)),""),IFERROR(INDEX(Reference!$E$5:$E$12,MATCH(B749&amp;"|"&amp;IF(C749="Mixed","External",IF(C749="Unknown","UoB",C749))&amp;"|"&amp;IF(F749&lt;=32,"32","40"),Reference!$D$5:$D$12,0)),""))</f>
        <v/>
      </c>
      <c r="J749" s="11" t="str">
        <f t="shared" si="68"/>
        <v/>
      </c>
      <c r="K749" s="12"/>
      <c r="L749" s="11" t="str">
        <f t="shared" si="69"/>
        <v/>
      </c>
      <c r="M749" s="12"/>
      <c r="N749" s="12"/>
      <c r="O749" s="11" t="str">
        <f t="shared" si="70"/>
        <v/>
      </c>
      <c r="P749" s="10" t="str">
        <f t="shared" si="71"/>
        <v/>
      </c>
    </row>
    <row r="750" spans="1:16" ht="15" customHeight="1" x14ac:dyDescent="0.2">
      <c r="A750" s="8"/>
      <c r="B750" s="8"/>
      <c r="C750" s="8"/>
      <c r="D750" s="9"/>
      <c r="E750" s="9"/>
      <c r="F750" s="8"/>
      <c r="G750" s="10" t="str">
        <f t="shared" si="66"/>
        <v/>
      </c>
      <c r="H750" s="10" t="str">
        <f t="shared" si="67"/>
        <v/>
      </c>
      <c r="I750" s="11" t="str">
        <f>IF(B750="Recreation",IFERROR(INDEX(RecPricing!$E$5:$E$10,MATCH(IF(C750="Mixed","External",IF(C750="Unknown","UoB",C750))&amp;"|"&amp;IF(F750&lt;=24,"&lt;=24",IF(F750&lt;=32,"&lt;=32","Above32")),RecPricing!$F$5:$F$10,0)),""),IFERROR(INDEX(Reference!$E$5:$E$12,MATCH(B750&amp;"|"&amp;IF(C750="Mixed","External",IF(C750="Unknown","UoB",C750))&amp;"|"&amp;IF(F750&lt;=32,"32","40"),Reference!$D$5:$D$12,0)),""))</f>
        <v/>
      </c>
      <c r="J750" s="11" t="str">
        <f t="shared" si="68"/>
        <v/>
      </c>
      <c r="K750" s="12"/>
      <c r="L750" s="11" t="str">
        <f t="shared" si="69"/>
        <v/>
      </c>
      <c r="M750" s="12"/>
      <c r="N750" s="12"/>
      <c r="O750" s="11" t="str">
        <f t="shared" si="70"/>
        <v/>
      </c>
      <c r="P750" s="10" t="str">
        <f t="shared" si="71"/>
        <v/>
      </c>
    </row>
    <row r="751" spans="1:16" ht="15" customHeight="1" x14ac:dyDescent="0.2">
      <c r="A751" s="8"/>
      <c r="B751" s="8"/>
      <c r="C751" s="8"/>
      <c r="D751" s="9"/>
      <c r="E751" s="9"/>
      <c r="F751" s="8"/>
      <c r="G751" s="10" t="str">
        <f t="shared" si="66"/>
        <v/>
      </c>
      <c r="H751" s="10" t="str">
        <f t="shared" si="67"/>
        <v/>
      </c>
      <c r="I751" s="11" t="str">
        <f>IF(B751="Recreation",IFERROR(INDEX(RecPricing!$E$5:$E$10,MATCH(IF(C751="Mixed","External",IF(C751="Unknown","UoB",C751))&amp;"|"&amp;IF(F751&lt;=24,"&lt;=24",IF(F751&lt;=32,"&lt;=32","Above32")),RecPricing!$F$5:$F$10,0)),""),IFERROR(INDEX(Reference!$E$5:$E$12,MATCH(B751&amp;"|"&amp;IF(C751="Mixed","External",IF(C751="Unknown","UoB",C751))&amp;"|"&amp;IF(F751&lt;=32,"32","40"),Reference!$D$5:$D$12,0)),""))</f>
        <v/>
      </c>
      <c r="J751" s="11" t="str">
        <f t="shared" si="68"/>
        <v/>
      </c>
      <c r="K751" s="12"/>
      <c r="L751" s="11" t="str">
        <f t="shared" si="69"/>
        <v/>
      </c>
      <c r="M751" s="12"/>
      <c r="N751" s="12"/>
      <c r="O751" s="11" t="str">
        <f t="shared" si="70"/>
        <v/>
      </c>
      <c r="P751" s="10" t="str">
        <f t="shared" si="71"/>
        <v/>
      </c>
    </row>
    <row r="752" spans="1:16" ht="15" customHeight="1" x14ac:dyDescent="0.2">
      <c r="A752" s="8"/>
      <c r="B752" s="8"/>
      <c r="C752" s="8"/>
      <c r="D752" s="9"/>
      <c r="E752" s="9"/>
      <c r="F752" s="8"/>
      <c r="G752" s="10" t="str">
        <f t="shared" si="66"/>
        <v/>
      </c>
      <c r="H752" s="10" t="str">
        <f t="shared" si="67"/>
        <v/>
      </c>
      <c r="I752" s="11" t="str">
        <f>IF(B752="Recreation",IFERROR(INDEX(RecPricing!$E$5:$E$10,MATCH(IF(C752="Mixed","External",IF(C752="Unknown","UoB",C752))&amp;"|"&amp;IF(F752&lt;=24,"&lt;=24",IF(F752&lt;=32,"&lt;=32","Above32")),RecPricing!$F$5:$F$10,0)),""),IFERROR(INDEX(Reference!$E$5:$E$12,MATCH(B752&amp;"|"&amp;IF(C752="Mixed","External",IF(C752="Unknown","UoB",C752))&amp;"|"&amp;IF(F752&lt;=32,"32","40"),Reference!$D$5:$D$12,0)),""))</f>
        <v/>
      </c>
      <c r="J752" s="11" t="str">
        <f t="shared" si="68"/>
        <v/>
      </c>
      <c r="K752" s="12"/>
      <c r="L752" s="11" t="str">
        <f t="shared" si="69"/>
        <v/>
      </c>
      <c r="M752" s="12"/>
      <c r="N752" s="12"/>
      <c r="O752" s="11" t="str">
        <f t="shared" si="70"/>
        <v/>
      </c>
      <c r="P752" s="10" t="str">
        <f t="shared" si="71"/>
        <v/>
      </c>
    </row>
    <row r="753" spans="1:16" ht="15" customHeight="1" x14ac:dyDescent="0.2">
      <c r="A753" s="8"/>
      <c r="B753" s="8"/>
      <c r="C753" s="8"/>
      <c r="D753" s="9"/>
      <c r="E753" s="9"/>
      <c r="F753" s="8"/>
      <c r="G753" s="10" t="str">
        <f t="shared" si="66"/>
        <v/>
      </c>
      <c r="H753" s="10" t="str">
        <f t="shared" si="67"/>
        <v/>
      </c>
      <c r="I753" s="11" t="str">
        <f>IF(B753="Recreation",IFERROR(INDEX(RecPricing!$E$5:$E$10,MATCH(IF(C753="Mixed","External",IF(C753="Unknown","UoB",C753))&amp;"|"&amp;IF(F753&lt;=24,"&lt;=24",IF(F753&lt;=32,"&lt;=32","Above32")),RecPricing!$F$5:$F$10,0)),""),IFERROR(INDEX(Reference!$E$5:$E$12,MATCH(B753&amp;"|"&amp;IF(C753="Mixed","External",IF(C753="Unknown","UoB",C753))&amp;"|"&amp;IF(F753&lt;=32,"32","40"),Reference!$D$5:$D$12,0)),""))</f>
        <v/>
      </c>
      <c r="J753" s="11" t="str">
        <f t="shared" si="68"/>
        <v/>
      </c>
      <c r="K753" s="12"/>
      <c r="L753" s="11" t="str">
        <f t="shared" si="69"/>
        <v/>
      </c>
      <c r="M753" s="12"/>
      <c r="N753" s="12"/>
      <c r="O753" s="11" t="str">
        <f t="shared" si="70"/>
        <v/>
      </c>
      <c r="P753" s="10" t="str">
        <f t="shared" si="71"/>
        <v/>
      </c>
    </row>
    <row r="754" spans="1:16" ht="15" customHeight="1" x14ac:dyDescent="0.2">
      <c r="A754" s="8"/>
      <c r="B754" s="8"/>
      <c r="C754" s="8"/>
      <c r="D754" s="9"/>
      <c r="E754" s="9"/>
      <c r="F754" s="8"/>
      <c r="G754" s="10" t="str">
        <f t="shared" si="66"/>
        <v/>
      </c>
      <c r="H754" s="10" t="str">
        <f t="shared" si="67"/>
        <v/>
      </c>
      <c r="I754" s="11" t="str">
        <f>IF(B754="Recreation",IFERROR(INDEX(RecPricing!$E$5:$E$10,MATCH(IF(C754="Mixed","External",IF(C754="Unknown","UoB",C754))&amp;"|"&amp;IF(F754&lt;=24,"&lt;=24",IF(F754&lt;=32,"&lt;=32","Above32")),RecPricing!$F$5:$F$10,0)),""),IFERROR(INDEX(Reference!$E$5:$E$12,MATCH(B754&amp;"|"&amp;IF(C754="Mixed","External",IF(C754="Unknown","UoB",C754))&amp;"|"&amp;IF(F754&lt;=32,"32","40"),Reference!$D$5:$D$12,0)),""))</f>
        <v/>
      </c>
      <c r="J754" s="11" t="str">
        <f t="shared" si="68"/>
        <v/>
      </c>
      <c r="K754" s="12"/>
      <c r="L754" s="11" t="str">
        <f t="shared" si="69"/>
        <v/>
      </c>
      <c r="M754" s="12"/>
      <c r="N754" s="12"/>
      <c r="O754" s="11" t="str">
        <f t="shared" si="70"/>
        <v/>
      </c>
      <c r="P754" s="10" t="str">
        <f t="shared" si="71"/>
        <v/>
      </c>
    </row>
    <row r="755" spans="1:16" ht="15" customHeight="1" x14ac:dyDescent="0.2">
      <c r="A755" s="8"/>
      <c r="B755" s="8"/>
      <c r="C755" s="8"/>
      <c r="D755" s="9"/>
      <c r="E755" s="9"/>
      <c r="F755" s="8"/>
      <c r="G755" s="10" t="str">
        <f t="shared" si="66"/>
        <v/>
      </c>
      <c r="H755" s="10" t="str">
        <f t="shared" si="67"/>
        <v/>
      </c>
      <c r="I755" s="11" t="str">
        <f>IF(B755="Recreation",IFERROR(INDEX(RecPricing!$E$5:$E$10,MATCH(IF(C755="Mixed","External",IF(C755="Unknown","UoB",C755))&amp;"|"&amp;IF(F755&lt;=24,"&lt;=24",IF(F755&lt;=32,"&lt;=32","Above32")),RecPricing!$F$5:$F$10,0)),""),IFERROR(INDEX(Reference!$E$5:$E$12,MATCH(B755&amp;"|"&amp;IF(C755="Mixed","External",IF(C755="Unknown","UoB",C755))&amp;"|"&amp;IF(F755&lt;=32,"32","40"),Reference!$D$5:$D$12,0)),""))</f>
        <v/>
      </c>
      <c r="J755" s="11" t="str">
        <f t="shared" si="68"/>
        <v/>
      </c>
      <c r="K755" s="12"/>
      <c r="L755" s="11" t="str">
        <f t="shared" si="69"/>
        <v/>
      </c>
      <c r="M755" s="12"/>
      <c r="N755" s="12"/>
      <c r="O755" s="11" t="str">
        <f t="shared" si="70"/>
        <v/>
      </c>
      <c r="P755" s="10" t="str">
        <f t="shared" si="71"/>
        <v/>
      </c>
    </row>
    <row r="756" spans="1:16" ht="15" customHeight="1" x14ac:dyDescent="0.2">
      <c r="A756" s="8"/>
      <c r="B756" s="8"/>
      <c r="C756" s="8"/>
      <c r="D756" s="9"/>
      <c r="E756" s="9"/>
      <c r="F756" s="8"/>
      <c r="G756" s="10" t="str">
        <f t="shared" si="66"/>
        <v/>
      </c>
      <c r="H756" s="10" t="str">
        <f t="shared" si="67"/>
        <v/>
      </c>
      <c r="I756" s="11" t="str">
        <f>IF(B756="Recreation",IFERROR(INDEX(RecPricing!$E$5:$E$10,MATCH(IF(C756="Mixed","External",IF(C756="Unknown","UoB",C756))&amp;"|"&amp;IF(F756&lt;=24,"&lt;=24",IF(F756&lt;=32,"&lt;=32","Above32")),RecPricing!$F$5:$F$10,0)),""),IFERROR(INDEX(Reference!$E$5:$E$12,MATCH(B756&amp;"|"&amp;IF(C756="Mixed","External",IF(C756="Unknown","UoB",C756))&amp;"|"&amp;IF(F756&lt;=32,"32","40"),Reference!$D$5:$D$12,0)),""))</f>
        <v/>
      </c>
      <c r="J756" s="11" t="str">
        <f t="shared" si="68"/>
        <v/>
      </c>
      <c r="K756" s="12"/>
      <c r="L756" s="11" t="str">
        <f t="shared" si="69"/>
        <v/>
      </c>
      <c r="M756" s="12"/>
      <c r="N756" s="12"/>
      <c r="O756" s="11" t="str">
        <f t="shared" si="70"/>
        <v/>
      </c>
      <c r="P756" s="10" t="str">
        <f t="shared" si="71"/>
        <v/>
      </c>
    </row>
    <row r="757" spans="1:16" ht="15" customHeight="1" x14ac:dyDescent="0.2">
      <c r="A757" s="8"/>
      <c r="B757" s="8"/>
      <c r="C757" s="8"/>
      <c r="D757" s="9"/>
      <c r="E757" s="9"/>
      <c r="F757" s="8"/>
      <c r="G757" s="10" t="str">
        <f t="shared" si="66"/>
        <v/>
      </c>
      <c r="H757" s="10" t="str">
        <f t="shared" si="67"/>
        <v/>
      </c>
      <c r="I757" s="11" t="str">
        <f>IF(B757="Recreation",IFERROR(INDEX(RecPricing!$E$5:$E$10,MATCH(IF(C757="Mixed","External",IF(C757="Unknown","UoB",C757))&amp;"|"&amp;IF(F757&lt;=24,"&lt;=24",IF(F757&lt;=32,"&lt;=32","Above32")),RecPricing!$F$5:$F$10,0)),""),IFERROR(INDEX(Reference!$E$5:$E$12,MATCH(B757&amp;"|"&amp;IF(C757="Mixed","External",IF(C757="Unknown","UoB",C757))&amp;"|"&amp;IF(F757&lt;=32,"32","40"),Reference!$D$5:$D$12,0)),""))</f>
        <v/>
      </c>
      <c r="J757" s="11" t="str">
        <f t="shared" si="68"/>
        <v/>
      </c>
      <c r="K757" s="12"/>
      <c r="L757" s="11" t="str">
        <f t="shared" si="69"/>
        <v/>
      </c>
      <c r="M757" s="12"/>
      <c r="N757" s="12"/>
      <c r="O757" s="11" t="str">
        <f t="shared" si="70"/>
        <v/>
      </c>
      <c r="P757" s="10" t="str">
        <f t="shared" si="71"/>
        <v/>
      </c>
    </row>
    <row r="758" spans="1:16" ht="15" customHeight="1" x14ac:dyDescent="0.2">
      <c r="A758" s="8"/>
      <c r="B758" s="8"/>
      <c r="C758" s="8"/>
      <c r="D758" s="9"/>
      <c r="E758" s="9"/>
      <c r="F758" s="8"/>
      <c r="G758" s="10" t="str">
        <f t="shared" si="66"/>
        <v/>
      </c>
      <c r="H758" s="10" t="str">
        <f t="shared" si="67"/>
        <v/>
      </c>
      <c r="I758" s="11" t="str">
        <f>IF(B758="Recreation",IFERROR(INDEX(RecPricing!$E$5:$E$10,MATCH(IF(C758="Mixed","External",IF(C758="Unknown","UoB",C758))&amp;"|"&amp;IF(F758&lt;=24,"&lt;=24",IF(F758&lt;=32,"&lt;=32","Above32")),RecPricing!$F$5:$F$10,0)),""),IFERROR(INDEX(Reference!$E$5:$E$12,MATCH(B758&amp;"|"&amp;IF(C758="Mixed","External",IF(C758="Unknown","UoB",C758))&amp;"|"&amp;IF(F758&lt;=32,"32","40"),Reference!$D$5:$D$12,0)),""))</f>
        <v/>
      </c>
      <c r="J758" s="11" t="str">
        <f t="shared" si="68"/>
        <v/>
      </c>
      <c r="K758" s="12"/>
      <c r="L758" s="11" t="str">
        <f t="shared" si="69"/>
        <v/>
      </c>
      <c r="M758" s="12"/>
      <c r="N758" s="12"/>
      <c r="O758" s="11" t="str">
        <f t="shared" si="70"/>
        <v/>
      </c>
      <c r="P758" s="10" t="str">
        <f t="shared" si="71"/>
        <v/>
      </c>
    </row>
    <row r="759" spans="1:16" ht="15" customHeight="1" x14ac:dyDescent="0.2">
      <c r="A759" s="8"/>
      <c r="B759" s="8"/>
      <c r="C759" s="8"/>
      <c r="D759" s="9"/>
      <c r="E759" s="9"/>
      <c r="F759" s="8"/>
      <c r="G759" s="10" t="str">
        <f t="shared" si="66"/>
        <v/>
      </c>
      <c r="H759" s="10" t="str">
        <f t="shared" si="67"/>
        <v/>
      </c>
      <c r="I759" s="11" t="str">
        <f>IF(B759="Recreation",IFERROR(INDEX(RecPricing!$E$5:$E$10,MATCH(IF(C759="Mixed","External",IF(C759="Unknown","UoB",C759))&amp;"|"&amp;IF(F759&lt;=24,"&lt;=24",IF(F759&lt;=32,"&lt;=32","Above32")),RecPricing!$F$5:$F$10,0)),""),IFERROR(INDEX(Reference!$E$5:$E$12,MATCH(B759&amp;"|"&amp;IF(C759="Mixed","External",IF(C759="Unknown","UoB",C759))&amp;"|"&amp;IF(F759&lt;=32,"32","40"),Reference!$D$5:$D$12,0)),""))</f>
        <v/>
      </c>
      <c r="J759" s="11" t="str">
        <f t="shared" si="68"/>
        <v/>
      </c>
      <c r="K759" s="12"/>
      <c r="L759" s="11" t="str">
        <f t="shared" si="69"/>
        <v/>
      </c>
      <c r="M759" s="12"/>
      <c r="N759" s="12"/>
      <c r="O759" s="11" t="str">
        <f t="shared" si="70"/>
        <v/>
      </c>
      <c r="P759" s="10" t="str">
        <f t="shared" si="71"/>
        <v/>
      </c>
    </row>
    <row r="760" spans="1:16" ht="15" customHeight="1" x14ac:dyDescent="0.2">
      <c r="A760" s="8"/>
      <c r="B760" s="8"/>
      <c r="C760" s="8"/>
      <c r="D760" s="9"/>
      <c r="E760" s="9"/>
      <c r="F760" s="8"/>
      <c r="G760" s="10" t="str">
        <f t="shared" si="66"/>
        <v/>
      </c>
      <c r="H760" s="10" t="str">
        <f t="shared" si="67"/>
        <v/>
      </c>
      <c r="I760" s="11" t="str">
        <f>IF(B760="Recreation",IFERROR(INDEX(RecPricing!$E$5:$E$10,MATCH(IF(C760="Mixed","External",IF(C760="Unknown","UoB",C760))&amp;"|"&amp;IF(F760&lt;=24,"&lt;=24",IF(F760&lt;=32,"&lt;=32","Above32")),RecPricing!$F$5:$F$10,0)),""),IFERROR(INDEX(Reference!$E$5:$E$12,MATCH(B760&amp;"|"&amp;IF(C760="Mixed","External",IF(C760="Unknown","UoB",C760))&amp;"|"&amp;IF(F760&lt;=32,"32","40"),Reference!$D$5:$D$12,0)),""))</f>
        <v/>
      </c>
      <c r="J760" s="11" t="str">
        <f t="shared" si="68"/>
        <v/>
      </c>
      <c r="K760" s="12"/>
      <c r="L760" s="11" t="str">
        <f t="shared" si="69"/>
        <v/>
      </c>
      <c r="M760" s="12"/>
      <c r="N760" s="12"/>
      <c r="O760" s="11" t="str">
        <f t="shared" si="70"/>
        <v/>
      </c>
      <c r="P760" s="10" t="str">
        <f t="shared" si="71"/>
        <v/>
      </c>
    </row>
    <row r="761" spans="1:16" ht="15" customHeight="1" x14ac:dyDescent="0.2">
      <c r="A761" s="8"/>
      <c r="B761" s="8"/>
      <c r="C761" s="8"/>
      <c r="D761" s="9"/>
      <c r="E761" s="9"/>
      <c r="F761" s="8"/>
      <c r="G761" s="10" t="str">
        <f t="shared" si="66"/>
        <v/>
      </c>
      <c r="H761" s="10" t="str">
        <f t="shared" si="67"/>
        <v/>
      </c>
      <c r="I761" s="11" t="str">
        <f>IF(B761="Recreation",IFERROR(INDEX(RecPricing!$E$5:$E$10,MATCH(IF(C761="Mixed","External",IF(C761="Unknown","UoB",C761))&amp;"|"&amp;IF(F761&lt;=24,"&lt;=24",IF(F761&lt;=32,"&lt;=32","Above32")),RecPricing!$F$5:$F$10,0)),""),IFERROR(INDEX(Reference!$E$5:$E$12,MATCH(B761&amp;"|"&amp;IF(C761="Mixed","External",IF(C761="Unknown","UoB",C761))&amp;"|"&amp;IF(F761&lt;=32,"32","40"),Reference!$D$5:$D$12,0)),""))</f>
        <v/>
      </c>
      <c r="J761" s="11" t="str">
        <f t="shared" si="68"/>
        <v/>
      </c>
      <c r="K761" s="12"/>
      <c r="L761" s="11" t="str">
        <f t="shared" si="69"/>
        <v/>
      </c>
      <c r="M761" s="12"/>
      <c r="N761" s="12"/>
      <c r="O761" s="11" t="str">
        <f t="shared" si="70"/>
        <v/>
      </c>
      <c r="P761" s="10" t="str">
        <f t="shared" si="71"/>
        <v/>
      </c>
    </row>
    <row r="762" spans="1:16" ht="15" customHeight="1" x14ac:dyDescent="0.2">
      <c r="A762" s="8"/>
      <c r="B762" s="8"/>
      <c r="C762" s="8"/>
      <c r="D762" s="9"/>
      <c r="E762" s="9"/>
      <c r="F762" s="8"/>
      <c r="G762" s="10" t="str">
        <f t="shared" si="66"/>
        <v/>
      </c>
      <c r="H762" s="10" t="str">
        <f t="shared" si="67"/>
        <v/>
      </c>
      <c r="I762" s="11" t="str">
        <f>IF(B762="Recreation",IFERROR(INDEX(RecPricing!$E$5:$E$10,MATCH(IF(C762="Mixed","External",IF(C762="Unknown","UoB",C762))&amp;"|"&amp;IF(F762&lt;=24,"&lt;=24",IF(F762&lt;=32,"&lt;=32","Above32")),RecPricing!$F$5:$F$10,0)),""),IFERROR(INDEX(Reference!$E$5:$E$12,MATCH(B762&amp;"|"&amp;IF(C762="Mixed","External",IF(C762="Unknown","UoB",C762))&amp;"|"&amp;IF(F762&lt;=32,"32","40"),Reference!$D$5:$D$12,0)),""))</f>
        <v/>
      </c>
      <c r="J762" s="11" t="str">
        <f t="shared" si="68"/>
        <v/>
      </c>
      <c r="K762" s="12"/>
      <c r="L762" s="11" t="str">
        <f t="shared" si="69"/>
        <v/>
      </c>
      <c r="M762" s="12"/>
      <c r="N762" s="12"/>
      <c r="O762" s="11" t="str">
        <f t="shared" si="70"/>
        <v/>
      </c>
      <c r="P762" s="10" t="str">
        <f t="shared" si="71"/>
        <v/>
      </c>
    </row>
    <row r="763" spans="1:16" ht="15" customHeight="1" x14ac:dyDescent="0.2">
      <c r="A763" s="8"/>
      <c r="B763" s="8"/>
      <c r="C763" s="8"/>
      <c r="D763" s="9"/>
      <c r="E763" s="9"/>
      <c r="F763" s="8"/>
      <c r="G763" s="10" t="str">
        <f t="shared" si="66"/>
        <v/>
      </c>
      <c r="H763" s="10" t="str">
        <f t="shared" si="67"/>
        <v/>
      </c>
      <c r="I763" s="11" t="str">
        <f>IF(B763="Recreation",IFERROR(INDEX(RecPricing!$E$5:$E$10,MATCH(IF(C763="Mixed","External",IF(C763="Unknown","UoB",C763))&amp;"|"&amp;IF(F763&lt;=24,"&lt;=24",IF(F763&lt;=32,"&lt;=32","Above32")),RecPricing!$F$5:$F$10,0)),""),IFERROR(INDEX(Reference!$E$5:$E$12,MATCH(B763&amp;"|"&amp;IF(C763="Mixed","External",IF(C763="Unknown","UoB",C763))&amp;"|"&amp;IF(F763&lt;=32,"32","40"),Reference!$D$5:$D$12,0)),""))</f>
        <v/>
      </c>
      <c r="J763" s="11" t="str">
        <f t="shared" si="68"/>
        <v/>
      </c>
      <c r="K763" s="12"/>
      <c r="L763" s="11" t="str">
        <f t="shared" si="69"/>
        <v/>
      </c>
      <c r="M763" s="12"/>
      <c r="N763" s="12"/>
      <c r="O763" s="11" t="str">
        <f t="shared" si="70"/>
        <v/>
      </c>
      <c r="P763" s="10" t="str">
        <f t="shared" si="71"/>
        <v/>
      </c>
    </row>
    <row r="764" spans="1:16" ht="15" customHeight="1" x14ac:dyDescent="0.2">
      <c r="A764" s="8"/>
      <c r="B764" s="8"/>
      <c r="C764" s="8"/>
      <c r="D764" s="9"/>
      <c r="E764" s="9"/>
      <c r="F764" s="8"/>
      <c r="G764" s="10" t="str">
        <f t="shared" si="66"/>
        <v/>
      </c>
      <c r="H764" s="10" t="str">
        <f t="shared" si="67"/>
        <v/>
      </c>
      <c r="I764" s="11" t="str">
        <f>IF(B764="Recreation",IFERROR(INDEX(RecPricing!$E$5:$E$10,MATCH(IF(C764="Mixed","External",IF(C764="Unknown","UoB",C764))&amp;"|"&amp;IF(F764&lt;=24,"&lt;=24",IF(F764&lt;=32,"&lt;=32","Above32")),RecPricing!$F$5:$F$10,0)),""),IFERROR(INDEX(Reference!$E$5:$E$12,MATCH(B764&amp;"|"&amp;IF(C764="Mixed","External",IF(C764="Unknown","UoB",C764))&amp;"|"&amp;IF(F764&lt;=32,"32","40"),Reference!$D$5:$D$12,0)),""))</f>
        <v/>
      </c>
      <c r="J764" s="11" t="str">
        <f t="shared" si="68"/>
        <v/>
      </c>
      <c r="K764" s="12"/>
      <c r="L764" s="11" t="str">
        <f t="shared" si="69"/>
        <v/>
      </c>
      <c r="M764" s="12"/>
      <c r="N764" s="12"/>
      <c r="O764" s="11" t="str">
        <f t="shared" si="70"/>
        <v/>
      </c>
      <c r="P764" s="10" t="str">
        <f t="shared" si="71"/>
        <v/>
      </c>
    </row>
    <row r="765" spans="1:16" ht="15" customHeight="1" x14ac:dyDescent="0.2">
      <c r="A765" s="8"/>
      <c r="B765" s="8"/>
      <c r="C765" s="8"/>
      <c r="D765" s="9"/>
      <c r="E765" s="9"/>
      <c r="F765" s="8"/>
      <c r="G765" s="10" t="str">
        <f t="shared" si="66"/>
        <v/>
      </c>
      <c r="H765" s="10" t="str">
        <f t="shared" si="67"/>
        <v/>
      </c>
      <c r="I765" s="11" t="str">
        <f>IF(B765="Recreation",IFERROR(INDEX(RecPricing!$E$5:$E$10,MATCH(IF(C765="Mixed","External",IF(C765="Unknown","UoB",C765))&amp;"|"&amp;IF(F765&lt;=24,"&lt;=24",IF(F765&lt;=32,"&lt;=32","Above32")),RecPricing!$F$5:$F$10,0)),""),IFERROR(INDEX(Reference!$E$5:$E$12,MATCH(B765&amp;"|"&amp;IF(C765="Mixed","External",IF(C765="Unknown","UoB",C765))&amp;"|"&amp;IF(F765&lt;=32,"32","40"),Reference!$D$5:$D$12,0)),""))</f>
        <v/>
      </c>
      <c r="J765" s="11" t="str">
        <f t="shared" si="68"/>
        <v/>
      </c>
      <c r="K765" s="12"/>
      <c r="L765" s="11" t="str">
        <f t="shared" si="69"/>
        <v/>
      </c>
      <c r="M765" s="12"/>
      <c r="N765" s="12"/>
      <c r="O765" s="11" t="str">
        <f t="shared" si="70"/>
        <v/>
      </c>
      <c r="P765" s="10" t="str">
        <f t="shared" si="71"/>
        <v/>
      </c>
    </row>
    <row r="766" spans="1:16" ht="15" customHeight="1" x14ac:dyDescent="0.2">
      <c r="A766" s="8"/>
      <c r="B766" s="8"/>
      <c r="C766" s="8"/>
      <c r="D766" s="9"/>
      <c r="E766" s="9"/>
      <c r="F766" s="8"/>
      <c r="G766" s="10" t="str">
        <f t="shared" si="66"/>
        <v/>
      </c>
      <c r="H766" s="10" t="str">
        <f t="shared" si="67"/>
        <v/>
      </c>
      <c r="I766" s="11" t="str">
        <f>IF(B766="Recreation",IFERROR(INDEX(RecPricing!$E$5:$E$10,MATCH(IF(C766="Mixed","External",IF(C766="Unknown","UoB",C766))&amp;"|"&amp;IF(F766&lt;=24,"&lt;=24",IF(F766&lt;=32,"&lt;=32","Above32")),RecPricing!$F$5:$F$10,0)),""),IFERROR(INDEX(Reference!$E$5:$E$12,MATCH(B766&amp;"|"&amp;IF(C766="Mixed","External",IF(C766="Unknown","UoB",C766))&amp;"|"&amp;IF(F766&lt;=32,"32","40"),Reference!$D$5:$D$12,0)),""))</f>
        <v/>
      </c>
      <c r="J766" s="11" t="str">
        <f t="shared" si="68"/>
        <v/>
      </c>
      <c r="K766" s="12"/>
      <c r="L766" s="11" t="str">
        <f t="shared" si="69"/>
        <v/>
      </c>
      <c r="M766" s="12"/>
      <c r="N766" s="12"/>
      <c r="O766" s="11" t="str">
        <f t="shared" si="70"/>
        <v/>
      </c>
      <c r="P766" s="10" t="str">
        <f t="shared" si="71"/>
        <v/>
      </c>
    </row>
    <row r="767" spans="1:16" ht="15" customHeight="1" x14ac:dyDescent="0.2">
      <c r="A767" s="8"/>
      <c r="B767" s="8"/>
      <c r="C767" s="8"/>
      <c r="D767" s="9"/>
      <c r="E767" s="9"/>
      <c r="F767" s="8"/>
      <c r="G767" s="10" t="str">
        <f t="shared" ref="G767:G830" si="72">IF(OR(D767="",E767=""),"",E767-D767)</f>
        <v/>
      </c>
      <c r="H767" s="10" t="str">
        <f t="shared" ref="H767:H830" si="73">IF(OR(F767="",G767=""),"",F767*G767)</f>
        <v/>
      </c>
      <c r="I767" s="11" t="str">
        <f>IF(B767="Recreation",IFERROR(INDEX(RecPricing!$E$5:$E$10,MATCH(IF(C767="Mixed","External",IF(C767="Unknown","UoB",C767))&amp;"|"&amp;IF(F767&lt;=24,"&lt;=24",IF(F767&lt;=32,"&lt;=32","Above32")),RecPricing!$F$5:$F$10,0)),""),IFERROR(INDEX(Reference!$E$5:$E$12,MATCH(B767&amp;"|"&amp;IF(C767="Mixed","External",IF(C767="Unknown","UoB",C767))&amp;"|"&amp;IF(F767&lt;=32,"32","40"),Reference!$D$5:$D$12,0)),""))</f>
        <v/>
      </c>
      <c r="J767" s="11" t="str">
        <f t="shared" ref="J767:J830" si="74">IF(I767="","",IF(B767="Recreation",IF(F767&lt;=32,I767,I767*IF(F767="",0,F767)),IF(AND(I767&lt;&gt;"",G767&lt;&gt;""),I767*G767,"")))</f>
        <v/>
      </c>
      <c r="K767" s="12"/>
      <c r="L767" s="11" t="str">
        <f t="shared" ref="L767:L830" si="75">IF(J767="","",J767-IF(K767="",0,K767))</f>
        <v/>
      </c>
      <c r="M767" s="12"/>
      <c r="N767" s="12"/>
      <c r="O767" s="11" t="str">
        <f t="shared" ref="O767:O830" si="76">IF(L767="","",L767-IF(M767="",0,M767)-IF(N767="",0,N767))</f>
        <v/>
      </c>
      <c r="P767" s="10" t="str">
        <f t="shared" ref="P767:P830" si="77">IF(D767="","",IF(MONTH(D767)&gt;=8,YEAR(D767)&amp;"-"&amp;RIGHT(YEAR(D767)+1,2),YEAR(D767)-1&amp;"-"&amp;RIGHT(YEAR(D767),2)))</f>
        <v/>
      </c>
    </row>
    <row r="768" spans="1:16" ht="15" customHeight="1" x14ac:dyDescent="0.2">
      <c r="A768" s="8"/>
      <c r="B768" s="8"/>
      <c r="C768" s="8"/>
      <c r="D768" s="9"/>
      <c r="E768" s="9"/>
      <c r="F768" s="8"/>
      <c r="G768" s="10" t="str">
        <f t="shared" si="72"/>
        <v/>
      </c>
      <c r="H768" s="10" t="str">
        <f t="shared" si="73"/>
        <v/>
      </c>
      <c r="I768" s="11" t="str">
        <f>IF(B768="Recreation",IFERROR(INDEX(RecPricing!$E$5:$E$10,MATCH(IF(C768="Mixed","External",IF(C768="Unknown","UoB",C768))&amp;"|"&amp;IF(F768&lt;=24,"&lt;=24",IF(F768&lt;=32,"&lt;=32","Above32")),RecPricing!$F$5:$F$10,0)),""),IFERROR(INDEX(Reference!$E$5:$E$12,MATCH(B768&amp;"|"&amp;IF(C768="Mixed","External",IF(C768="Unknown","UoB",C768))&amp;"|"&amp;IF(F768&lt;=32,"32","40"),Reference!$D$5:$D$12,0)),""))</f>
        <v/>
      </c>
      <c r="J768" s="11" t="str">
        <f t="shared" si="74"/>
        <v/>
      </c>
      <c r="K768" s="12"/>
      <c r="L768" s="11" t="str">
        <f t="shared" si="75"/>
        <v/>
      </c>
      <c r="M768" s="12"/>
      <c r="N768" s="12"/>
      <c r="O768" s="11" t="str">
        <f t="shared" si="76"/>
        <v/>
      </c>
      <c r="P768" s="10" t="str">
        <f t="shared" si="77"/>
        <v/>
      </c>
    </row>
    <row r="769" spans="1:16" ht="15" customHeight="1" x14ac:dyDescent="0.2">
      <c r="A769" s="8"/>
      <c r="B769" s="8"/>
      <c r="C769" s="8"/>
      <c r="D769" s="9"/>
      <c r="E769" s="9"/>
      <c r="F769" s="8"/>
      <c r="G769" s="10" t="str">
        <f t="shared" si="72"/>
        <v/>
      </c>
      <c r="H769" s="10" t="str">
        <f t="shared" si="73"/>
        <v/>
      </c>
      <c r="I769" s="11" t="str">
        <f>IF(B769="Recreation",IFERROR(INDEX(RecPricing!$E$5:$E$10,MATCH(IF(C769="Mixed","External",IF(C769="Unknown","UoB",C769))&amp;"|"&amp;IF(F769&lt;=24,"&lt;=24",IF(F769&lt;=32,"&lt;=32","Above32")),RecPricing!$F$5:$F$10,0)),""),IFERROR(INDEX(Reference!$E$5:$E$12,MATCH(B769&amp;"|"&amp;IF(C769="Mixed","External",IF(C769="Unknown","UoB",C769))&amp;"|"&amp;IF(F769&lt;=32,"32","40"),Reference!$D$5:$D$12,0)),""))</f>
        <v/>
      </c>
      <c r="J769" s="11" t="str">
        <f t="shared" si="74"/>
        <v/>
      </c>
      <c r="K769" s="12"/>
      <c r="L769" s="11" t="str">
        <f t="shared" si="75"/>
        <v/>
      </c>
      <c r="M769" s="12"/>
      <c r="N769" s="12"/>
      <c r="O769" s="11" t="str">
        <f t="shared" si="76"/>
        <v/>
      </c>
      <c r="P769" s="10" t="str">
        <f t="shared" si="77"/>
        <v/>
      </c>
    </row>
    <row r="770" spans="1:16" ht="15" customHeight="1" x14ac:dyDescent="0.2">
      <c r="A770" s="8"/>
      <c r="B770" s="8"/>
      <c r="C770" s="8"/>
      <c r="D770" s="9"/>
      <c r="E770" s="9"/>
      <c r="F770" s="8"/>
      <c r="G770" s="10" t="str">
        <f t="shared" si="72"/>
        <v/>
      </c>
      <c r="H770" s="10" t="str">
        <f t="shared" si="73"/>
        <v/>
      </c>
      <c r="I770" s="11" t="str">
        <f>IF(B770="Recreation",IFERROR(INDEX(RecPricing!$E$5:$E$10,MATCH(IF(C770="Mixed","External",IF(C770="Unknown","UoB",C770))&amp;"|"&amp;IF(F770&lt;=24,"&lt;=24",IF(F770&lt;=32,"&lt;=32","Above32")),RecPricing!$F$5:$F$10,0)),""),IFERROR(INDEX(Reference!$E$5:$E$12,MATCH(B770&amp;"|"&amp;IF(C770="Mixed","External",IF(C770="Unknown","UoB",C770))&amp;"|"&amp;IF(F770&lt;=32,"32","40"),Reference!$D$5:$D$12,0)),""))</f>
        <v/>
      </c>
      <c r="J770" s="11" t="str">
        <f t="shared" si="74"/>
        <v/>
      </c>
      <c r="K770" s="12"/>
      <c r="L770" s="11" t="str">
        <f t="shared" si="75"/>
        <v/>
      </c>
      <c r="M770" s="12"/>
      <c r="N770" s="12"/>
      <c r="O770" s="11" t="str">
        <f t="shared" si="76"/>
        <v/>
      </c>
      <c r="P770" s="10" t="str">
        <f t="shared" si="77"/>
        <v/>
      </c>
    </row>
    <row r="771" spans="1:16" ht="15" customHeight="1" x14ac:dyDescent="0.2">
      <c r="A771" s="8"/>
      <c r="B771" s="8"/>
      <c r="C771" s="8"/>
      <c r="D771" s="9"/>
      <c r="E771" s="9"/>
      <c r="F771" s="8"/>
      <c r="G771" s="10" t="str">
        <f t="shared" si="72"/>
        <v/>
      </c>
      <c r="H771" s="10" t="str">
        <f t="shared" si="73"/>
        <v/>
      </c>
      <c r="I771" s="11" t="str">
        <f>IF(B771="Recreation",IFERROR(INDEX(RecPricing!$E$5:$E$10,MATCH(IF(C771="Mixed","External",IF(C771="Unknown","UoB",C771))&amp;"|"&amp;IF(F771&lt;=24,"&lt;=24",IF(F771&lt;=32,"&lt;=32","Above32")),RecPricing!$F$5:$F$10,0)),""),IFERROR(INDEX(Reference!$E$5:$E$12,MATCH(B771&amp;"|"&amp;IF(C771="Mixed","External",IF(C771="Unknown","UoB",C771))&amp;"|"&amp;IF(F771&lt;=32,"32","40"),Reference!$D$5:$D$12,0)),""))</f>
        <v/>
      </c>
      <c r="J771" s="11" t="str">
        <f t="shared" si="74"/>
        <v/>
      </c>
      <c r="K771" s="12"/>
      <c r="L771" s="11" t="str">
        <f t="shared" si="75"/>
        <v/>
      </c>
      <c r="M771" s="12"/>
      <c r="N771" s="12"/>
      <c r="O771" s="11" t="str">
        <f t="shared" si="76"/>
        <v/>
      </c>
      <c r="P771" s="10" t="str">
        <f t="shared" si="77"/>
        <v/>
      </c>
    </row>
    <row r="772" spans="1:16" ht="15" customHeight="1" x14ac:dyDescent="0.2">
      <c r="A772" s="8"/>
      <c r="B772" s="8"/>
      <c r="C772" s="8"/>
      <c r="D772" s="9"/>
      <c r="E772" s="9"/>
      <c r="F772" s="8"/>
      <c r="G772" s="10" t="str">
        <f t="shared" si="72"/>
        <v/>
      </c>
      <c r="H772" s="10" t="str">
        <f t="shared" si="73"/>
        <v/>
      </c>
      <c r="I772" s="11" t="str">
        <f>IF(B772="Recreation",IFERROR(INDEX(RecPricing!$E$5:$E$10,MATCH(IF(C772="Mixed","External",IF(C772="Unknown","UoB",C772))&amp;"|"&amp;IF(F772&lt;=24,"&lt;=24",IF(F772&lt;=32,"&lt;=32","Above32")),RecPricing!$F$5:$F$10,0)),""),IFERROR(INDEX(Reference!$E$5:$E$12,MATCH(B772&amp;"|"&amp;IF(C772="Mixed","External",IF(C772="Unknown","UoB",C772))&amp;"|"&amp;IF(F772&lt;=32,"32","40"),Reference!$D$5:$D$12,0)),""))</f>
        <v/>
      </c>
      <c r="J772" s="11" t="str">
        <f t="shared" si="74"/>
        <v/>
      </c>
      <c r="K772" s="12"/>
      <c r="L772" s="11" t="str">
        <f t="shared" si="75"/>
        <v/>
      </c>
      <c r="M772" s="12"/>
      <c r="N772" s="12"/>
      <c r="O772" s="11" t="str">
        <f t="shared" si="76"/>
        <v/>
      </c>
      <c r="P772" s="10" t="str">
        <f t="shared" si="77"/>
        <v/>
      </c>
    </row>
    <row r="773" spans="1:16" ht="15" customHeight="1" x14ac:dyDescent="0.2">
      <c r="A773" s="8"/>
      <c r="B773" s="8"/>
      <c r="C773" s="8"/>
      <c r="D773" s="9"/>
      <c r="E773" s="9"/>
      <c r="F773" s="8"/>
      <c r="G773" s="10" t="str">
        <f t="shared" si="72"/>
        <v/>
      </c>
      <c r="H773" s="10" t="str">
        <f t="shared" si="73"/>
        <v/>
      </c>
      <c r="I773" s="11" t="str">
        <f>IF(B773="Recreation",IFERROR(INDEX(RecPricing!$E$5:$E$10,MATCH(IF(C773="Mixed","External",IF(C773="Unknown","UoB",C773))&amp;"|"&amp;IF(F773&lt;=24,"&lt;=24",IF(F773&lt;=32,"&lt;=32","Above32")),RecPricing!$F$5:$F$10,0)),""),IFERROR(INDEX(Reference!$E$5:$E$12,MATCH(B773&amp;"|"&amp;IF(C773="Mixed","External",IF(C773="Unknown","UoB",C773))&amp;"|"&amp;IF(F773&lt;=32,"32","40"),Reference!$D$5:$D$12,0)),""))</f>
        <v/>
      </c>
      <c r="J773" s="11" t="str">
        <f t="shared" si="74"/>
        <v/>
      </c>
      <c r="K773" s="12"/>
      <c r="L773" s="11" t="str">
        <f t="shared" si="75"/>
        <v/>
      </c>
      <c r="M773" s="12"/>
      <c r="N773" s="12"/>
      <c r="O773" s="11" t="str">
        <f t="shared" si="76"/>
        <v/>
      </c>
      <c r="P773" s="10" t="str">
        <f t="shared" si="77"/>
        <v/>
      </c>
    </row>
    <row r="774" spans="1:16" ht="15" customHeight="1" x14ac:dyDescent="0.2">
      <c r="A774" s="8"/>
      <c r="B774" s="8"/>
      <c r="C774" s="8"/>
      <c r="D774" s="9"/>
      <c r="E774" s="9"/>
      <c r="F774" s="8"/>
      <c r="G774" s="10" t="str">
        <f t="shared" si="72"/>
        <v/>
      </c>
      <c r="H774" s="10" t="str">
        <f t="shared" si="73"/>
        <v/>
      </c>
      <c r="I774" s="11" t="str">
        <f>IF(B774="Recreation",IFERROR(INDEX(RecPricing!$E$5:$E$10,MATCH(IF(C774="Mixed","External",IF(C774="Unknown","UoB",C774))&amp;"|"&amp;IF(F774&lt;=24,"&lt;=24",IF(F774&lt;=32,"&lt;=32","Above32")),RecPricing!$F$5:$F$10,0)),""),IFERROR(INDEX(Reference!$E$5:$E$12,MATCH(B774&amp;"|"&amp;IF(C774="Mixed","External",IF(C774="Unknown","UoB",C774))&amp;"|"&amp;IF(F774&lt;=32,"32","40"),Reference!$D$5:$D$12,0)),""))</f>
        <v/>
      </c>
      <c r="J774" s="11" t="str">
        <f t="shared" si="74"/>
        <v/>
      </c>
      <c r="K774" s="12"/>
      <c r="L774" s="11" t="str">
        <f t="shared" si="75"/>
        <v/>
      </c>
      <c r="M774" s="12"/>
      <c r="N774" s="12"/>
      <c r="O774" s="11" t="str">
        <f t="shared" si="76"/>
        <v/>
      </c>
      <c r="P774" s="10" t="str">
        <f t="shared" si="77"/>
        <v/>
      </c>
    </row>
    <row r="775" spans="1:16" ht="15" customHeight="1" x14ac:dyDescent="0.2">
      <c r="A775" s="8"/>
      <c r="B775" s="8"/>
      <c r="C775" s="8"/>
      <c r="D775" s="9"/>
      <c r="E775" s="9"/>
      <c r="F775" s="8"/>
      <c r="G775" s="10" t="str">
        <f t="shared" si="72"/>
        <v/>
      </c>
      <c r="H775" s="10" t="str">
        <f t="shared" si="73"/>
        <v/>
      </c>
      <c r="I775" s="11" t="str">
        <f>IF(B775="Recreation",IFERROR(INDEX(RecPricing!$E$5:$E$10,MATCH(IF(C775="Mixed","External",IF(C775="Unknown","UoB",C775))&amp;"|"&amp;IF(F775&lt;=24,"&lt;=24",IF(F775&lt;=32,"&lt;=32","Above32")),RecPricing!$F$5:$F$10,0)),""),IFERROR(INDEX(Reference!$E$5:$E$12,MATCH(B775&amp;"|"&amp;IF(C775="Mixed","External",IF(C775="Unknown","UoB",C775))&amp;"|"&amp;IF(F775&lt;=32,"32","40"),Reference!$D$5:$D$12,0)),""))</f>
        <v/>
      </c>
      <c r="J775" s="11" t="str">
        <f t="shared" si="74"/>
        <v/>
      </c>
      <c r="K775" s="12"/>
      <c r="L775" s="11" t="str">
        <f t="shared" si="75"/>
        <v/>
      </c>
      <c r="M775" s="12"/>
      <c r="N775" s="12"/>
      <c r="O775" s="11" t="str">
        <f t="shared" si="76"/>
        <v/>
      </c>
      <c r="P775" s="10" t="str">
        <f t="shared" si="77"/>
        <v/>
      </c>
    </row>
    <row r="776" spans="1:16" ht="15" customHeight="1" x14ac:dyDescent="0.2">
      <c r="A776" s="8"/>
      <c r="B776" s="8"/>
      <c r="C776" s="8"/>
      <c r="D776" s="9"/>
      <c r="E776" s="9"/>
      <c r="F776" s="8"/>
      <c r="G776" s="10" t="str">
        <f t="shared" si="72"/>
        <v/>
      </c>
      <c r="H776" s="10" t="str">
        <f t="shared" si="73"/>
        <v/>
      </c>
      <c r="I776" s="11" t="str">
        <f>IF(B776="Recreation",IFERROR(INDEX(RecPricing!$E$5:$E$10,MATCH(IF(C776="Mixed","External",IF(C776="Unknown","UoB",C776))&amp;"|"&amp;IF(F776&lt;=24,"&lt;=24",IF(F776&lt;=32,"&lt;=32","Above32")),RecPricing!$F$5:$F$10,0)),""),IFERROR(INDEX(Reference!$E$5:$E$12,MATCH(B776&amp;"|"&amp;IF(C776="Mixed","External",IF(C776="Unknown","UoB",C776))&amp;"|"&amp;IF(F776&lt;=32,"32","40"),Reference!$D$5:$D$12,0)),""))</f>
        <v/>
      </c>
      <c r="J776" s="11" t="str">
        <f t="shared" si="74"/>
        <v/>
      </c>
      <c r="K776" s="12"/>
      <c r="L776" s="11" t="str">
        <f t="shared" si="75"/>
        <v/>
      </c>
      <c r="M776" s="12"/>
      <c r="N776" s="12"/>
      <c r="O776" s="11" t="str">
        <f t="shared" si="76"/>
        <v/>
      </c>
      <c r="P776" s="10" t="str">
        <f t="shared" si="77"/>
        <v/>
      </c>
    </row>
    <row r="777" spans="1:16" ht="15" customHeight="1" x14ac:dyDescent="0.2">
      <c r="A777" s="8"/>
      <c r="B777" s="8"/>
      <c r="C777" s="8"/>
      <c r="D777" s="9"/>
      <c r="E777" s="9"/>
      <c r="F777" s="8"/>
      <c r="G777" s="10" t="str">
        <f t="shared" si="72"/>
        <v/>
      </c>
      <c r="H777" s="10" t="str">
        <f t="shared" si="73"/>
        <v/>
      </c>
      <c r="I777" s="11" t="str">
        <f>IF(B777="Recreation",IFERROR(INDEX(RecPricing!$E$5:$E$10,MATCH(IF(C777="Mixed","External",IF(C777="Unknown","UoB",C777))&amp;"|"&amp;IF(F777&lt;=24,"&lt;=24",IF(F777&lt;=32,"&lt;=32","Above32")),RecPricing!$F$5:$F$10,0)),""),IFERROR(INDEX(Reference!$E$5:$E$12,MATCH(B777&amp;"|"&amp;IF(C777="Mixed","External",IF(C777="Unknown","UoB",C777))&amp;"|"&amp;IF(F777&lt;=32,"32","40"),Reference!$D$5:$D$12,0)),""))</f>
        <v/>
      </c>
      <c r="J777" s="11" t="str">
        <f t="shared" si="74"/>
        <v/>
      </c>
      <c r="K777" s="12"/>
      <c r="L777" s="11" t="str">
        <f t="shared" si="75"/>
        <v/>
      </c>
      <c r="M777" s="12"/>
      <c r="N777" s="12"/>
      <c r="O777" s="11" t="str">
        <f t="shared" si="76"/>
        <v/>
      </c>
      <c r="P777" s="10" t="str">
        <f t="shared" si="77"/>
        <v/>
      </c>
    </row>
    <row r="778" spans="1:16" ht="15" customHeight="1" x14ac:dyDescent="0.2">
      <c r="A778" s="8"/>
      <c r="B778" s="8"/>
      <c r="C778" s="8"/>
      <c r="D778" s="9"/>
      <c r="E778" s="9"/>
      <c r="F778" s="8"/>
      <c r="G778" s="10" t="str">
        <f t="shared" si="72"/>
        <v/>
      </c>
      <c r="H778" s="10" t="str">
        <f t="shared" si="73"/>
        <v/>
      </c>
      <c r="I778" s="11" t="str">
        <f>IF(B778="Recreation",IFERROR(INDEX(RecPricing!$E$5:$E$10,MATCH(IF(C778="Mixed","External",IF(C778="Unknown","UoB",C778))&amp;"|"&amp;IF(F778&lt;=24,"&lt;=24",IF(F778&lt;=32,"&lt;=32","Above32")),RecPricing!$F$5:$F$10,0)),""),IFERROR(INDEX(Reference!$E$5:$E$12,MATCH(B778&amp;"|"&amp;IF(C778="Mixed","External",IF(C778="Unknown","UoB",C778))&amp;"|"&amp;IF(F778&lt;=32,"32","40"),Reference!$D$5:$D$12,0)),""))</f>
        <v/>
      </c>
      <c r="J778" s="11" t="str">
        <f t="shared" si="74"/>
        <v/>
      </c>
      <c r="K778" s="12"/>
      <c r="L778" s="11" t="str">
        <f t="shared" si="75"/>
        <v/>
      </c>
      <c r="M778" s="12"/>
      <c r="N778" s="12"/>
      <c r="O778" s="11" t="str">
        <f t="shared" si="76"/>
        <v/>
      </c>
      <c r="P778" s="10" t="str">
        <f t="shared" si="77"/>
        <v/>
      </c>
    </row>
    <row r="779" spans="1:16" ht="15" customHeight="1" x14ac:dyDescent="0.2">
      <c r="A779" s="8"/>
      <c r="B779" s="8"/>
      <c r="C779" s="8"/>
      <c r="D779" s="9"/>
      <c r="E779" s="9"/>
      <c r="F779" s="8"/>
      <c r="G779" s="10" t="str">
        <f t="shared" si="72"/>
        <v/>
      </c>
      <c r="H779" s="10" t="str">
        <f t="shared" si="73"/>
        <v/>
      </c>
      <c r="I779" s="11" t="str">
        <f>IF(B779="Recreation",IFERROR(INDEX(RecPricing!$E$5:$E$10,MATCH(IF(C779="Mixed","External",IF(C779="Unknown","UoB",C779))&amp;"|"&amp;IF(F779&lt;=24,"&lt;=24",IF(F779&lt;=32,"&lt;=32","Above32")),RecPricing!$F$5:$F$10,0)),""),IFERROR(INDEX(Reference!$E$5:$E$12,MATCH(B779&amp;"|"&amp;IF(C779="Mixed","External",IF(C779="Unknown","UoB",C779))&amp;"|"&amp;IF(F779&lt;=32,"32","40"),Reference!$D$5:$D$12,0)),""))</f>
        <v/>
      </c>
      <c r="J779" s="11" t="str">
        <f t="shared" si="74"/>
        <v/>
      </c>
      <c r="K779" s="12"/>
      <c r="L779" s="11" t="str">
        <f t="shared" si="75"/>
        <v/>
      </c>
      <c r="M779" s="12"/>
      <c r="N779" s="12"/>
      <c r="O779" s="11" t="str">
        <f t="shared" si="76"/>
        <v/>
      </c>
      <c r="P779" s="10" t="str">
        <f t="shared" si="77"/>
        <v/>
      </c>
    </row>
    <row r="780" spans="1:16" ht="15" customHeight="1" x14ac:dyDescent="0.2">
      <c r="A780" s="8"/>
      <c r="B780" s="8"/>
      <c r="C780" s="8"/>
      <c r="D780" s="9"/>
      <c r="E780" s="9"/>
      <c r="F780" s="8"/>
      <c r="G780" s="10" t="str">
        <f t="shared" si="72"/>
        <v/>
      </c>
      <c r="H780" s="10" t="str">
        <f t="shared" si="73"/>
        <v/>
      </c>
      <c r="I780" s="11" t="str">
        <f>IF(B780="Recreation",IFERROR(INDEX(RecPricing!$E$5:$E$10,MATCH(IF(C780="Mixed","External",IF(C780="Unknown","UoB",C780))&amp;"|"&amp;IF(F780&lt;=24,"&lt;=24",IF(F780&lt;=32,"&lt;=32","Above32")),RecPricing!$F$5:$F$10,0)),""),IFERROR(INDEX(Reference!$E$5:$E$12,MATCH(B780&amp;"|"&amp;IF(C780="Mixed","External",IF(C780="Unknown","UoB",C780))&amp;"|"&amp;IF(F780&lt;=32,"32","40"),Reference!$D$5:$D$12,0)),""))</f>
        <v/>
      </c>
      <c r="J780" s="11" t="str">
        <f t="shared" si="74"/>
        <v/>
      </c>
      <c r="K780" s="12"/>
      <c r="L780" s="11" t="str">
        <f t="shared" si="75"/>
        <v/>
      </c>
      <c r="M780" s="12"/>
      <c r="N780" s="12"/>
      <c r="O780" s="11" t="str">
        <f t="shared" si="76"/>
        <v/>
      </c>
      <c r="P780" s="10" t="str">
        <f t="shared" si="77"/>
        <v/>
      </c>
    </row>
    <row r="781" spans="1:16" ht="15" customHeight="1" x14ac:dyDescent="0.2">
      <c r="A781" s="8"/>
      <c r="B781" s="8"/>
      <c r="C781" s="8"/>
      <c r="D781" s="9"/>
      <c r="E781" s="9"/>
      <c r="F781" s="8"/>
      <c r="G781" s="10" t="str">
        <f t="shared" si="72"/>
        <v/>
      </c>
      <c r="H781" s="10" t="str">
        <f t="shared" si="73"/>
        <v/>
      </c>
      <c r="I781" s="11" t="str">
        <f>IF(B781="Recreation",IFERROR(INDEX(RecPricing!$E$5:$E$10,MATCH(IF(C781="Mixed","External",IF(C781="Unknown","UoB",C781))&amp;"|"&amp;IF(F781&lt;=24,"&lt;=24",IF(F781&lt;=32,"&lt;=32","Above32")),RecPricing!$F$5:$F$10,0)),""),IFERROR(INDEX(Reference!$E$5:$E$12,MATCH(B781&amp;"|"&amp;IF(C781="Mixed","External",IF(C781="Unknown","UoB",C781))&amp;"|"&amp;IF(F781&lt;=32,"32","40"),Reference!$D$5:$D$12,0)),""))</f>
        <v/>
      </c>
      <c r="J781" s="11" t="str">
        <f t="shared" si="74"/>
        <v/>
      </c>
      <c r="K781" s="12"/>
      <c r="L781" s="11" t="str">
        <f t="shared" si="75"/>
        <v/>
      </c>
      <c r="M781" s="12"/>
      <c r="N781" s="12"/>
      <c r="O781" s="11" t="str">
        <f t="shared" si="76"/>
        <v/>
      </c>
      <c r="P781" s="10" t="str">
        <f t="shared" si="77"/>
        <v/>
      </c>
    </row>
    <row r="782" spans="1:16" ht="15" customHeight="1" x14ac:dyDescent="0.2">
      <c r="A782" s="8"/>
      <c r="B782" s="8"/>
      <c r="C782" s="8"/>
      <c r="D782" s="9"/>
      <c r="E782" s="9"/>
      <c r="F782" s="8"/>
      <c r="G782" s="10" t="str">
        <f t="shared" si="72"/>
        <v/>
      </c>
      <c r="H782" s="10" t="str">
        <f t="shared" si="73"/>
        <v/>
      </c>
      <c r="I782" s="11" t="str">
        <f>IF(B782="Recreation",IFERROR(INDEX(RecPricing!$E$5:$E$10,MATCH(IF(C782="Mixed","External",IF(C782="Unknown","UoB",C782))&amp;"|"&amp;IF(F782&lt;=24,"&lt;=24",IF(F782&lt;=32,"&lt;=32","Above32")),RecPricing!$F$5:$F$10,0)),""),IFERROR(INDEX(Reference!$E$5:$E$12,MATCH(B782&amp;"|"&amp;IF(C782="Mixed","External",IF(C782="Unknown","UoB",C782))&amp;"|"&amp;IF(F782&lt;=32,"32","40"),Reference!$D$5:$D$12,0)),""))</f>
        <v/>
      </c>
      <c r="J782" s="11" t="str">
        <f t="shared" si="74"/>
        <v/>
      </c>
      <c r="K782" s="12"/>
      <c r="L782" s="11" t="str">
        <f t="shared" si="75"/>
        <v/>
      </c>
      <c r="M782" s="12"/>
      <c r="N782" s="12"/>
      <c r="O782" s="11" t="str">
        <f t="shared" si="76"/>
        <v/>
      </c>
      <c r="P782" s="10" t="str">
        <f t="shared" si="77"/>
        <v/>
      </c>
    </row>
    <row r="783" spans="1:16" ht="15" customHeight="1" x14ac:dyDescent="0.2">
      <c r="A783" s="8"/>
      <c r="B783" s="8"/>
      <c r="C783" s="8"/>
      <c r="D783" s="9"/>
      <c r="E783" s="9"/>
      <c r="F783" s="8"/>
      <c r="G783" s="10" t="str">
        <f t="shared" si="72"/>
        <v/>
      </c>
      <c r="H783" s="10" t="str">
        <f t="shared" si="73"/>
        <v/>
      </c>
      <c r="I783" s="11" t="str">
        <f>IF(B783="Recreation",IFERROR(INDEX(RecPricing!$E$5:$E$10,MATCH(IF(C783="Mixed","External",IF(C783="Unknown","UoB",C783))&amp;"|"&amp;IF(F783&lt;=24,"&lt;=24",IF(F783&lt;=32,"&lt;=32","Above32")),RecPricing!$F$5:$F$10,0)),""),IFERROR(INDEX(Reference!$E$5:$E$12,MATCH(B783&amp;"|"&amp;IF(C783="Mixed","External",IF(C783="Unknown","UoB",C783))&amp;"|"&amp;IF(F783&lt;=32,"32","40"),Reference!$D$5:$D$12,0)),""))</f>
        <v/>
      </c>
      <c r="J783" s="11" t="str">
        <f t="shared" si="74"/>
        <v/>
      </c>
      <c r="K783" s="12"/>
      <c r="L783" s="11" t="str">
        <f t="shared" si="75"/>
        <v/>
      </c>
      <c r="M783" s="12"/>
      <c r="N783" s="12"/>
      <c r="O783" s="11" t="str">
        <f t="shared" si="76"/>
        <v/>
      </c>
      <c r="P783" s="10" t="str">
        <f t="shared" si="77"/>
        <v/>
      </c>
    </row>
    <row r="784" spans="1:16" ht="15" customHeight="1" x14ac:dyDescent="0.2">
      <c r="A784" s="8"/>
      <c r="B784" s="8"/>
      <c r="C784" s="8"/>
      <c r="D784" s="9"/>
      <c r="E784" s="9"/>
      <c r="F784" s="8"/>
      <c r="G784" s="10" t="str">
        <f t="shared" si="72"/>
        <v/>
      </c>
      <c r="H784" s="10" t="str">
        <f t="shared" si="73"/>
        <v/>
      </c>
      <c r="I784" s="11" t="str">
        <f>IF(B784="Recreation",IFERROR(INDEX(RecPricing!$E$5:$E$10,MATCH(IF(C784="Mixed","External",IF(C784="Unknown","UoB",C784))&amp;"|"&amp;IF(F784&lt;=24,"&lt;=24",IF(F784&lt;=32,"&lt;=32","Above32")),RecPricing!$F$5:$F$10,0)),""),IFERROR(INDEX(Reference!$E$5:$E$12,MATCH(B784&amp;"|"&amp;IF(C784="Mixed","External",IF(C784="Unknown","UoB",C784))&amp;"|"&amp;IF(F784&lt;=32,"32","40"),Reference!$D$5:$D$12,0)),""))</f>
        <v/>
      </c>
      <c r="J784" s="11" t="str">
        <f t="shared" si="74"/>
        <v/>
      </c>
      <c r="K784" s="12"/>
      <c r="L784" s="11" t="str">
        <f t="shared" si="75"/>
        <v/>
      </c>
      <c r="M784" s="12"/>
      <c r="N784" s="12"/>
      <c r="O784" s="11" t="str">
        <f t="shared" si="76"/>
        <v/>
      </c>
      <c r="P784" s="10" t="str">
        <f t="shared" si="77"/>
        <v/>
      </c>
    </row>
    <row r="785" spans="1:16" ht="15" customHeight="1" x14ac:dyDescent="0.2">
      <c r="A785" s="8"/>
      <c r="B785" s="8"/>
      <c r="C785" s="8"/>
      <c r="D785" s="9"/>
      <c r="E785" s="9"/>
      <c r="F785" s="8"/>
      <c r="G785" s="10" t="str">
        <f t="shared" si="72"/>
        <v/>
      </c>
      <c r="H785" s="10" t="str">
        <f t="shared" si="73"/>
        <v/>
      </c>
      <c r="I785" s="11" t="str">
        <f>IF(B785="Recreation",IFERROR(INDEX(RecPricing!$E$5:$E$10,MATCH(IF(C785="Mixed","External",IF(C785="Unknown","UoB",C785))&amp;"|"&amp;IF(F785&lt;=24,"&lt;=24",IF(F785&lt;=32,"&lt;=32","Above32")),RecPricing!$F$5:$F$10,0)),""),IFERROR(INDEX(Reference!$E$5:$E$12,MATCH(B785&amp;"|"&amp;IF(C785="Mixed","External",IF(C785="Unknown","UoB",C785))&amp;"|"&amp;IF(F785&lt;=32,"32","40"),Reference!$D$5:$D$12,0)),""))</f>
        <v/>
      </c>
      <c r="J785" s="11" t="str">
        <f t="shared" si="74"/>
        <v/>
      </c>
      <c r="K785" s="12"/>
      <c r="L785" s="11" t="str">
        <f t="shared" si="75"/>
        <v/>
      </c>
      <c r="M785" s="12"/>
      <c r="N785" s="12"/>
      <c r="O785" s="11" t="str">
        <f t="shared" si="76"/>
        <v/>
      </c>
      <c r="P785" s="10" t="str">
        <f t="shared" si="77"/>
        <v/>
      </c>
    </row>
    <row r="786" spans="1:16" ht="15" customHeight="1" x14ac:dyDescent="0.2">
      <c r="A786" s="8"/>
      <c r="B786" s="8"/>
      <c r="C786" s="8"/>
      <c r="D786" s="9"/>
      <c r="E786" s="9"/>
      <c r="F786" s="8"/>
      <c r="G786" s="10" t="str">
        <f t="shared" si="72"/>
        <v/>
      </c>
      <c r="H786" s="10" t="str">
        <f t="shared" si="73"/>
        <v/>
      </c>
      <c r="I786" s="11" t="str">
        <f>IF(B786="Recreation",IFERROR(INDEX(RecPricing!$E$5:$E$10,MATCH(IF(C786="Mixed","External",IF(C786="Unknown","UoB",C786))&amp;"|"&amp;IF(F786&lt;=24,"&lt;=24",IF(F786&lt;=32,"&lt;=32","Above32")),RecPricing!$F$5:$F$10,0)),""),IFERROR(INDEX(Reference!$E$5:$E$12,MATCH(B786&amp;"|"&amp;IF(C786="Mixed","External",IF(C786="Unknown","UoB",C786))&amp;"|"&amp;IF(F786&lt;=32,"32","40"),Reference!$D$5:$D$12,0)),""))</f>
        <v/>
      </c>
      <c r="J786" s="11" t="str">
        <f t="shared" si="74"/>
        <v/>
      </c>
      <c r="K786" s="12"/>
      <c r="L786" s="11" t="str">
        <f t="shared" si="75"/>
        <v/>
      </c>
      <c r="M786" s="12"/>
      <c r="N786" s="12"/>
      <c r="O786" s="11" t="str">
        <f t="shared" si="76"/>
        <v/>
      </c>
      <c r="P786" s="10" t="str">
        <f t="shared" si="77"/>
        <v/>
      </c>
    </row>
    <row r="787" spans="1:16" ht="15" customHeight="1" x14ac:dyDescent="0.2">
      <c r="A787" s="8"/>
      <c r="B787" s="8"/>
      <c r="C787" s="8"/>
      <c r="D787" s="9"/>
      <c r="E787" s="9"/>
      <c r="F787" s="8"/>
      <c r="G787" s="10" t="str">
        <f t="shared" si="72"/>
        <v/>
      </c>
      <c r="H787" s="10" t="str">
        <f t="shared" si="73"/>
        <v/>
      </c>
      <c r="I787" s="11" t="str">
        <f>IF(B787="Recreation",IFERROR(INDEX(RecPricing!$E$5:$E$10,MATCH(IF(C787="Mixed","External",IF(C787="Unknown","UoB",C787))&amp;"|"&amp;IF(F787&lt;=24,"&lt;=24",IF(F787&lt;=32,"&lt;=32","Above32")),RecPricing!$F$5:$F$10,0)),""),IFERROR(INDEX(Reference!$E$5:$E$12,MATCH(B787&amp;"|"&amp;IF(C787="Mixed","External",IF(C787="Unknown","UoB",C787))&amp;"|"&amp;IF(F787&lt;=32,"32","40"),Reference!$D$5:$D$12,0)),""))</f>
        <v/>
      </c>
      <c r="J787" s="11" t="str">
        <f t="shared" si="74"/>
        <v/>
      </c>
      <c r="K787" s="12"/>
      <c r="L787" s="11" t="str">
        <f t="shared" si="75"/>
        <v/>
      </c>
      <c r="M787" s="12"/>
      <c r="N787" s="12"/>
      <c r="O787" s="11" t="str">
        <f t="shared" si="76"/>
        <v/>
      </c>
      <c r="P787" s="10" t="str">
        <f t="shared" si="77"/>
        <v/>
      </c>
    </row>
    <row r="788" spans="1:16" ht="15" customHeight="1" x14ac:dyDescent="0.2">
      <c r="A788" s="8"/>
      <c r="B788" s="8"/>
      <c r="C788" s="8"/>
      <c r="D788" s="9"/>
      <c r="E788" s="9"/>
      <c r="F788" s="8"/>
      <c r="G788" s="10" t="str">
        <f t="shared" si="72"/>
        <v/>
      </c>
      <c r="H788" s="10" t="str">
        <f t="shared" si="73"/>
        <v/>
      </c>
      <c r="I788" s="11" t="str">
        <f>IF(B788="Recreation",IFERROR(INDEX(RecPricing!$E$5:$E$10,MATCH(IF(C788="Mixed","External",IF(C788="Unknown","UoB",C788))&amp;"|"&amp;IF(F788&lt;=24,"&lt;=24",IF(F788&lt;=32,"&lt;=32","Above32")),RecPricing!$F$5:$F$10,0)),""),IFERROR(INDEX(Reference!$E$5:$E$12,MATCH(B788&amp;"|"&amp;IF(C788="Mixed","External",IF(C788="Unknown","UoB",C788))&amp;"|"&amp;IF(F788&lt;=32,"32","40"),Reference!$D$5:$D$12,0)),""))</f>
        <v/>
      </c>
      <c r="J788" s="11" t="str">
        <f t="shared" si="74"/>
        <v/>
      </c>
      <c r="K788" s="12"/>
      <c r="L788" s="11" t="str">
        <f t="shared" si="75"/>
        <v/>
      </c>
      <c r="M788" s="12"/>
      <c r="N788" s="12"/>
      <c r="O788" s="11" t="str">
        <f t="shared" si="76"/>
        <v/>
      </c>
      <c r="P788" s="10" t="str">
        <f t="shared" si="77"/>
        <v/>
      </c>
    </row>
    <row r="789" spans="1:16" ht="15" customHeight="1" x14ac:dyDescent="0.2">
      <c r="A789" s="8"/>
      <c r="B789" s="8"/>
      <c r="C789" s="8"/>
      <c r="D789" s="9"/>
      <c r="E789" s="9"/>
      <c r="F789" s="8"/>
      <c r="G789" s="10" t="str">
        <f t="shared" si="72"/>
        <v/>
      </c>
      <c r="H789" s="10" t="str">
        <f t="shared" si="73"/>
        <v/>
      </c>
      <c r="I789" s="11" t="str">
        <f>IF(B789="Recreation",IFERROR(INDEX(RecPricing!$E$5:$E$10,MATCH(IF(C789="Mixed","External",IF(C789="Unknown","UoB",C789))&amp;"|"&amp;IF(F789&lt;=24,"&lt;=24",IF(F789&lt;=32,"&lt;=32","Above32")),RecPricing!$F$5:$F$10,0)),""),IFERROR(INDEX(Reference!$E$5:$E$12,MATCH(B789&amp;"|"&amp;IF(C789="Mixed","External",IF(C789="Unknown","UoB",C789))&amp;"|"&amp;IF(F789&lt;=32,"32","40"),Reference!$D$5:$D$12,0)),""))</f>
        <v/>
      </c>
      <c r="J789" s="11" t="str">
        <f t="shared" si="74"/>
        <v/>
      </c>
      <c r="K789" s="12"/>
      <c r="L789" s="11" t="str">
        <f t="shared" si="75"/>
        <v/>
      </c>
      <c r="M789" s="12"/>
      <c r="N789" s="12"/>
      <c r="O789" s="11" t="str">
        <f t="shared" si="76"/>
        <v/>
      </c>
      <c r="P789" s="10" t="str">
        <f t="shared" si="77"/>
        <v/>
      </c>
    </row>
    <row r="790" spans="1:16" ht="15" customHeight="1" x14ac:dyDescent="0.2">
      <c r="A790" s="8"/>
      <c r="B790" s="8"/>
      <c r="C790" s="8"/>
      <c r="D790" s="9"/>
      <c r="E790" s="9"/>
      <c r="F790" s="8"/>
      <c r="G790" s="10" t="str">
        <f t="shared" si="72"/>
        <v/>
      </c>
      <c r="H790" s="10" t="str">
        <f t="shared" si="73"/>
        <v/>
      </c>
      <c r="I790" s="11" t="str">
        <f>IF(B790="Recreation",IFERROR(INDEX(RecPricing!$E$5:$E$10,MATCH(IF(C790="Mixed","External",IF(C790="Unknown","UoB",C790))&amp;"|"&amp;IF(F790&lt;=24,"&lt;=24",IF(F790&lt;=32,"&lt;=32","Above32")),RecPricing!$F$5:$F$10,0)),""),IFERROR(INDEX(Reference!$E$5:$E$12,MATCH(B790&amp;"|"&amp;IF(C790="Mixed","External",IF(C790="Unknown","UoB",C790))&amp;"|"&amp;IF(F790&lt;=32,"32","40"),Reference!$D$5:$D$12,0)),""))</f>
        <v/>
      </c>
      <c r="J790" s="11" t="str">
        <f t="shared" si="74"/>
        <v/>
      </c>
      <c r="K790" s="12"/>
      <c r="L790" s="11" t="str">
        <f t="shared" si="75"/>
        <v/>
      </c>
      <c r="M790" s="12"/>
      <c r="N790" s="12"/>
      <c r="O790" s="11" t="str">
        <f t="shared" si="76"/>
        <v/>
      </c>
      <c r="P790" s="10" t="str">
        <f t="shared" si="77"/>
        <v/>
      </c>
    </row>
    <row r="791" spans="1:16" ht="15" customHeight="1" x14ac:dyDescent="0.2">
      <c r="A791" s="8"/>
      <c r="B791" s="8"/>
      <c r="C791" s="8"/>
      <c r="D791" s="9"/>
      <c r="E791" s="9"/>
      <c r="F791" s="8"/>
      <c r="G791" s="10" t="str">
        <f t="shared" si="72"/>
        <v/>
      </c>
      <c r="H791" s="10" t="str">
        <f t="shared" si="73"/>
        <v/>
      </c>
      <c r="I791" s="11" t="str">
        <f>IF(B791="Recreation",IFERROR(INDEX(RecPricing!$E$5:$E$10,MATCH(IF(C791="Mixed","External",IF(C791="Unknown","UoB",C791))&amp;"|"&amp;IF(F791&lt;=24,"&lt;=24",IF(F791&lt;=32,"&lt;=32","Above32")),RecPricing!$F$5:$F$10,0)),""),IFERROR(INDEX(Reference!$E$5:$E$12,MATCH(B791&amp;"|"&amp;IF(C791="Mixed","External",IF(C791="Unknown","UoB",C791))&amp;"|"&amp;IF(F791&lt;=32,"32","40"),Reference!$D$5:$D$12,0)),""))</f>
        <v/>
      </c>
      <c r="J791" s="11" t="str">
        <f t="shared" si="74"/>
        <v/>
      </c>
      <c r="K791" s="12"/>
      <c r="L791" s="11" t="str">
        <f t="shared" si="75"/>
        <v/>
      </c>
      <c r="M791" s="12"/>
      <c r="N791" s="12"/>
      <c r="O791" s="11" t="str">
        <f t="shared" si="76"/>
        <v/>
      </c>
      <c r="P791" s="10" t="str">
        <f t="shared" si="77"/>
        <v/>
      </c>
    </row>
    <row r="792" spans="1:16" ht="15" customHeight="1" x14ac:dyDescent="0.2">
      <c r="A792" s="8"/>
      <c r="B792" s="8"/>
      <c r="C792" s="8"/>
      <c r="D792" s="9"/>
      <c r="E792" s="9"/>
      <c r="F792" s="8"/>
      <c r="G792" s="10" t="str">
        <f t="shared" si="72"/>
        <v/>
      </c>
      <c r="H792" s="10" t="str">
        <f t="shared" si="73"/>
        <v/>
      </c>
      <c r="I792" s="11" t="str">
        <f>IF(B792="Recreation",IFERROR(INDEX(RecPricing!$E$5:$E$10,MATCH(IF(C792="Mixed","External",IF(C792="Unknown","UoB",C792))&amp;"|"&amp;IF(F792&lt;=24,"&lt;=24",IF(F792&lt;=32,"&lt;=32","Above32")),RecPricing!$F$5:$F$10,0)),""),IFERROR(INDEX(Reference!$E$5:$E$12,MATCH(B792&amp;"|"&amp;IF(C792="Mixed","External",IF(C792="Unknown","UoB",C792))&amp;"|"&amp;IF(F792&lt;=32,"32","40"),Reference!$D$5:$D$12,0)),""))</f>
        <v/>
      </c>
      <c r="J792" s="11" t="str">
        <f t="shared" si="74"/>
        <v/>
      </c>
      <c r="K792" s="12"/>
      <c r="L792" s="11" t="str">
        <f t="shared" si="75"/>
        <v/>
      </c>
      <c r="M792" s="12"/>
      <c r="N792" s="12"/>
      <c r="O792" s="11" t="str">
        <f t="shared" si="76"/>
        <v/>
      </c>
      <c r="P792" s="10" t="str">
        <f t="shared" si="77"/>
        <v/>
      </c>
    </row>
    <row r="793" spans="1:16" ht="15" customHeight="1" x14ac:dyDescent="0.2">
      <c r="A793" s="8"/>
      <c r="B793" s="8"/>
      <c r="C793" s="8"/>
      <c r="D793" s="9"/>
      <c r="E793" s="9"/>
      <c r="F793" s="8"/>
      <c r="G793" s="10" t="str">
        <f t="shared" si="72"/>
        <v/>
      </c>
      <c r="H793" s="10" t="str">
        <f t="shared" si="73"/>
        <v/>
      </c>
      <c r="I793" s="11" t="str">
        <f>IF(B793="Recreation",IFERROR(INDEX(RecPricing!$E$5:$E$10,MATCH(IF(C793="Mixed","External",IF(C793="Unknown","UoB",C793))&amp;"|"&amp;IF(F793&lt;=24,"&lt;=24",IF(F793&lt;=32,"&lt;=32","Above32")),RecPricing!$F$5:$F$10,0)),""),IFERROR(INDEX(Reference!$E$5:$E$12,MATCH(B793&amp;"|"&amp;IF(C793="Mixed","External",IF(C793="Unknown","UoB",C793))&amp;"|"&amp;IF(F793&lt;=32,"32","40"),Reference!$D$5:$D$12,0)),""))</f>
        <v/>
      </c>
      <c r="J793" s="11" t="str">
        <f t="shared" si="74"/>
        <v/>
      </c>
      <c r="K793" s="12"/>
      <c r="L793" s="11" t="str">
        <f t="shared" si="75"/>
        <v/>
      </c>
      <c r="M793" s="12"/>
      <c r="N793" s="12"/>
      <c r="O793" s="11" t="str">
        <f t="shared" si="76"/>
        <v/>
      </c>
      <c r="P793" s="10" t="str">
        <f t="shared" si="77"/>
        <v/>
      </c>
    </row>
    <row r="794" spans="1:16" ht="15" customHeight="1" x14ac:dyDescent="0.2">
      <c r="A794" s="8"/>
      <c r="B794" s="8"/>
      <c r="C794" s="8"/>
      <c r="D794" s="9"/>
      <c r="E794" s="9"/>
      <c r="F794" s="8"/>
      <c r="G794" s="10" t="str">
        <f t="shared" si="72"/>
        <v/>
      </c>
      <c r="H794" s="10" t="str">
        <f t="shared" si="73"/>
        <v/>
      </c>
      <c r="I794" s="11" t="str">
        <f>IF(B794="Recreation",IFERROR(INDEX(RecPricing!$E$5:$E$10,MATCH(IF(C794="Mixed","External",IF(C794="Unknown","UoB",C794))&amp;"|"&amp;IF(F794&lt;=24,"&lt;=24",IF(F794&lt;=32,"&lt;=32","Above32")),RecPricing!$F$5:$F$10,0)),""),IFERROR(INDEX(Reference!$E$5:$E$12,MATCH(B794&amp;"|"&amp;IF(C794="Mixed","External",IF(C794="Unknown","UoB",C794))&amp;"|"&amp;IF(F794&lt;=32,"32","40"),Reference!$D$5:$D$12,0)),""))</f>
        <v/>
      </c>
      <c r="J794" s="11" t="str">
        <f t="shared" si="74"/>
        <v/>
      </c>
      <c r="K794" s="12"/>
      <c r="L794" s="11" t="str">
        <f t="shared" si="75"/>
        <v/>
      </c>
      <c r="M794" s="12"/>
      <c r="N794" s="12"/>
      <c r="O794" s="11" t="str">
        <f t="shared" si="76"/>
        <v/>
      </c>
      <c r="P794" s="10" t="str">
        <f t="shared" si="77"/>
        <v/>
      </c>
    </row>
    <row r="795" spans="1:16" ht="15" customHeight="1" x14ac:dyDescent="0.2">
      <c r="A795" s="8"/>
      <c r="B795" s="8"/>
      <c r="C795" s="8"/>
      <c r="D795" s="9"/>
      <c r="E795" s="9"/>
      <c r="F795" s="8"/>
      <c r="G795" s="10" t="str">
        <f t="shared" si="72"/>
        <v/>
      </c>
      <c r="H795" s="10" t="str">
        <f t="shared" si="73"/>
        <v/>
      </c>
      <c r="I795" s="11" t="str">
        <f>IF(B795="Recreation",IFERROR(INDEX(RecPricing!$E$5:$E$10,MATCH(IF(C795="Mixed","External",IF(C795="Unknown","UoB",C795))&amp;"|"&amp;IF(F795&lt;=24,"&lt;=24",IF(F795&lt;=32,"&lt;=32","Above32")),RecPricing!$F$5:$F$10,0)),""),IFERROR(INDEX(Reference!$E$5:$E$12,MATCH(B795&amp;"|"&amp;IF(C795="Mixed","External",IF(C795="Unknown","UoB",C795))&amp;"|"&amp;IF(F795&lt;=32,"32","40"),Reference!$D$5:$D$12,0)),""))</f>
        <v/>
      </c>
      <c r="J795" s="11" t="str">
        <f t="shared" si="74"/>
        <v/>
      </c>
      <c r="K795" s="12"/>
      <c r="L795" s="11" t="str">
        <f t="shared" si="75"/>
        <v/>
      </c>
      <c r="M795" s="12"/>
      <c r="N795" s="12"/>
      <c r="O795" s="11" t="str">
        <f t="shared" si="76"/>
        <v/>
      </c>
      <c r="P795" s="10" t="str">
        <f t="shared" si="77"/>
        <v/>
      </c>
    </row>
    <row r="796" spans="1:16" ht="15" customHeight="1" x14ac:dyDescent="0.2">
      <c r="A796" s="8"/>
      <c r="B796" s="8"/>
      <c r="C796" s="8"/>
      <c r="D796" s="9"/>
      <c r="E796" s="9"/>
      <c r="F796" s="8"/>
      <c r="G796" s="10" t="str">
        <f t="shared" si="72"/>
        <v/>
      </c>
      <c r="H796" s="10" t="str">
        <f t="shared" si="73"/>
        <v/>
      </c>
      <c r="I796" s="11" t="str">
        <f>IF(B796="Recreation",IFERROR(INDEX(RecPricing!$E$5:$E$10,MATCH(IF(C796="Mixed","External",IF(C796="Unknown","UoB",C796))&amp;"|"&amp;IF(F796&lt;=24,"&lt;=24",IF(F796&lt;=32,"&lt;=32","Above32")),RecPricing!$F$5:$F$10,0)),""),IFERROR(INDEX(Reference!$E$5:$E$12,MATCH(B796&amp;"|"&amp;IF(C796="Mixed","External",IF(C796="Unknown","UoB",C796))&amp;"|"&amp;IF(F796&lt;=32,"32","40"),Reference!$D$5:$D$12,0)),""))</f>
        <v/>
      </c>
      <c r="J796" s="11" t="str">
        <f t="shared" si="74"/>
        <v/>
      </c>
      <c r="K796" s="12"/>
      <c r="L796" s="11" t="str">
        <f t="shared" si="75"/>
        <v/>
      </c>
      <c r="M796" s="12"/>
      <c r="N796" s="12"/>
      <c r="O796" s="11" t="str">
        <f t="shared" si="76"/>
        <v/>
      </c>
      <c r="P796" s="10" t="str">
        <f t="shared" si="77"/>
        <v/>
      </c>
    </row>
    <row r="797" spans="1:16" ht="15" customHeight="1" x14ac:dyDescent="0.2">
      <c r="A797" s="8"/>
      <c r="B797" s="8"/>
      <c r="C797" s="8"/>
      <c r="D797" s="9"/>
      <c r="E797" s="9"/>
      <c r="F797" s="8"/>
      <c r="G797" s="10" t="str">
        <f t="shared" si="72"/>
        <v/>
      </c>
      <c r="H797" s="10" t="str">
        <f t="shared" si="73"/>
        <v/>
      </c>
      <c r="I797" s="11" t="str">
        <f>IF(B797="Recreation",IFERROR(INDEX(RecPricing!$E$5:$E$10,MATCH(IF(C797="Mixed","External",IF(C797="Unknown","UoB",C797))&amp;"|"&amp;IF(F797&lt;=24,"&lt;=24",IF(F797&lt;=32,"&lt;=32","Above32")),RecPricing!$F$5:$F$10,0)),""),IFERROR(INDEX(Reference!$E$5:$E$12,MATCH(B797&amp;"|"&amp;IF(C797="Mixed","External",IF(C797="Unknown","UoB",C797))&amp;"|"&amp;IF(F797&lt;=32,"32","40"),Reference!$D$5:$D$12,0)),""))</f>
        <v/>
      </c>
      <c r="J797" s="11" t="str">
        <f t="shared" si="74"/>
        <v/>
      </c>
      <c r="K797" s="12"/>
      <c r="L797" s="11" t="str">
        <f t="shared" si="75"/>
        <v/>
      </c>
      <c r="M797" s="12"/>
      <c r="N797" s="12"/>
      <c r="O797" s="11" t="str">
        <f t="shared" si="76"/>
        <v/>
      </c>
      <c r="P797" s="10" t="str">
        <f t="shared" si="77"/>
        <v/>
      </c>
    </row>
    <row r="798" spans="1:16" ht="15" customHeight="1" x14ac:dyDescent="0.2">
      <c r="A798" s="8"/>
      <c r="B798" s="8"/>
      <c r="C798" s="8"/>
      <c r="D798" s="9"/>
      <c r="E798" s="9"/>
      <c r="F798" s="8"/>
      <c r="G798" s="10" t="str">
        <f t="shared" si="72"/>
        <v/>
      </c>
      <c r="H798" s="10" t="str">
        <f t="shared" si="73"/>
        <v/>
      </c>
      <c r="I798" s="11" t="str">
        <f>IF(B798="Recreation",IFERROR(INDEX(RecPricing!$E$5:$E$10,MATCH(IF(C798="Mixed","External",IF(C798="Unknown","UoB",C798))&amp;"|"&amp;IF(F798&lt;=24,"&lt;=24",IF(F798&lt;=32,"&lt;=32","Above32")),RecPricing!$F$5:$F$10,0)),""),IFERROR(INDEX(Reference!$E$5:$E$12,MATCH(B798&amp;"|"&amp;IF(C798="Mixed","External",IF(C798="Unknown","UoB",C798))&amp;"|"&amp;IF(F798&lt;=32,"32","40"),Reference!$D$5:$D$12,0)),""))</f>
        <v/>
      </c>
      <c r="J798" s="11" t="str">
        <f t="shared" si="74"/>
        <v/>
      </c>
      <c r="K798" s="12"/>
      <c r="L798" s="11" t="str">
        <f t="shared" si="75"/>
        <v/>
      </c>
      <c r="M798" s="12"/>
      <c r="N798" s="12"/>
      <c r="O798" s="11" t="str">
        <f t="shared" si="76"/>
        <v/>
      </c>
      <c r="P798" s="10" t="str">
        <f t="shared" si="77"/>
        <v/>
      </c>
    </row>
    <row r="799" spans="1:16" ht="15" customHeight="1" x14ac:dyDescent="0.2">
      <c r="A799" s="8"/>
      <c r="B799" s="8"/>
      <c r="C799" s="8"/>
      <c r="D799" s="9"/>
      <c r="E799" s="9"/>
      <c r="F799" s="8"/>
      <c r="G799" s="10" t="str">
        <f t="shared" si="72"/>
        <v/>
      </c>
      <c r="H799" s="10" t="str">
        <f t="shared" si="73"/>
        <v/>
      </c>
      <c r="I799" s="11" t="str">
        <f>IF(B799="Recreation",IFERROR(INDEX(RecPricing!$E$5:$E$10,MATCH(IF(C799="Mixed","External",IF(C799="Unknown","UoB",C799))&amp;"|"&amp;IF(F799&lt;=24,"&lt;=24",IF(F799&lt;=32,"&lt;=32","Above32")),RecPricing!$F$5:$F$10,0)),""),IFERROR(INDEX(Reference!$E$5:$E$12,MATCH(B799&amp;"|"&amp;IF(C799="Mixed","External",IF(C799="Unknown","UoB",C799))&amp;"|"&amp;IF(F799&lt;=32,"32","40"),Reference!$D$5:$D$12,0)),""))</f>
        <v/>
      </c>
      <c r="J799" s="11" t="str">
        <f t="shared" si="74"/>
        <v/>
      </c>
      <c r="K799" s="12"/>
      <c r="L799" s="11" t="str">
        <f t="shared" si="75"/>
        <v/>
      </c>
      <c r="M799" s="12"/>
      <c r="N799" s="12"/>
      <c r="O799" s="11" t="str">
        <f t="shared" si="76"/>
        <v/>
      </c>
      <c r="P799" s="10" t="str">
        <f t="shared" si="77"/>
        <v/>
      </c>
    </row>
    <row r="800" spans="1:16" ht="15" customHeight="1" x14ac:dyDescent="0.2">
      <c r="A800" s="8"/>
      <c r="B800" s="8"/>
      <c r="C800" s="8"/>
      <c r="D800" s="9"/>
      <c r="E800" s="9"/>
      <c r="F800" s="8"/>
      <c r="G800" s="10" t="str">
        <f t="shared" si="72"/>
        <v/>
      </c>
      <c r="H800" s="10" t="str">
        <f t="shared" si="73"/>
        <v/>
      </c>
      <c r="I800" s="11" t="str">
        <f>IF(B800="Recreation",IFERROR(INDEX(RecPricing!$E$5:$E$10,MATCH(IF(C800="Mixed","External",IF(C800="Unknown","UoB",C800))&amp;"|"&amp;IF(F800&lt;=24,"&lt;=24",IF(F800&lt;=32,"&lt;=32","Above32")),RecPricing!$F$5:$F$10,0)),""),IFERROR(INDEX(Reference!$E$5:$E$12,MATCH(B800&amp;"|"&amp;IF(C800="Mixed","External",IF(C800="Unknown","UoB",C800))&amp;"|"&amp;IF(F800&lt;=32,"32","40"),Reference!$D$5:$D$12,0)),""))</f>
        <v/>
      </c>
      <c r="J800" s="11" t="str">
        <f t="shared" si="74"/>
        <v/>
      </c>
      <c r="K800" s="12"/>
      <c r="L800" s="11" t="str">
        <f t="shared" si="75"/>
        <v/>
      </c>
      <c r="M800" s="12"/>
      <c r="N800" s="12"/>
      <c r="O800" s="11" t="str">
        <f t="shared" si="76"/>
        <v/>
      </c>
      <c r="P800" s="10" t="str">
        <f t="shared" si="77"/>
        <v/>
      </c>
    </row>
    <row r="801" spans="1:16" ht="15" customHeight="1" x14ac:dyDescent="0.2">
      <c r="A801" s="8"/>
      <c r="B801" s="8"/>
      <c r="C801" s="8"/>
      <c r="D801" s="9"/>
      <c r="E801" s="9"/>
      <c r="F801" s="8"/>
      <c r="G801" s="10" t="str">
        <f t="shared" si="72"/>
        <v/>
      </c>
      <c r="H801" s="10" t="str">
        <f t="shared" si="73"/>
        <v/>
      </c>
      <c r="I801" s="11" t="str">
        <f>IF(B801="Recreation",IFERROR(INDEX(RecPricing!$E$5:$E$10,MATCH(IF(C801="Mixed","External",IF(C801="Unknown","UoB",C801))&amp;"|"&amp;IF(F801&lt;=24,"&lt;=24",IF(F801&lt;=32,"&lt;=32","Above32")),RecPricing!$F$5:$F$10,0)),""),IFERROR(INDEX(Reference!$E$5:$E$12,MATCH(B801&amp;"|"&amp;IF(C801="Mixed","External",IF(C801="Unknown","UoB",C801))&amp;"|"&amp;IF(F801&lt;=32,"32","40"),Reference!$D$5:$D$12,0)),""))</f>
        <v/>
      </c>
      <c r="J801" s="11" t="str">
        <f t="shared" si="74"/>
        <v/>
      </c>
      <c r="K801" s="12"/>
      <c r="L801" s="11" t="str">
        <f t="shared" si="75"/>
        <v/>
      </c>
      <c r="M801" s="12"/>
      <c r="N801" s="12"/>
      <c r="O801" s="11" t="str">
        <f t="shared" si="76"/>
        <v/>
      </c>
      <c r="P801" s="10" t="str">
        <f t="shared" si="77"/>
        <v/>
      </c>
    </row>
    <row r="802" spans="1:16" ht="15" customHeight="1" x14ac:dyDescent="0.2">
      <c r="A802" s="8"/>
      <c r="B802" s="8"/>
      <c r="C802" s="8"/>
      <c r="D802" s="9"/>
      <c r="E802" s="9"/>
      <c r="F802" s="8"/>
      <c r="G802" s="10" t="str">
        <f t="shared" si="72"/>
        <v/>
      </c>
      <c r="H802" s="10" t="str">
        <f t="shared" si="73"/>
        <v/>
      </c>
      <c r="I802" s="11" t="str">
        <f>IF(B802="Recreation",IFERROR(INDEX(RecPricing!$E$5:$E$10,MATCH(IF(C802="Mixed","External",IF(C802="Unknown","UoB",C802))&amp;"|"&amp;IF(F802&lt;=24,"&lt;=24",IF(F802&lt;=32,"&lt;=32","Above32")),RecPricing!$F$5:$F$10,0)),""),IFERROR(INDEX(Reference!$E$5:$E$12,MATCH(B802&amp;"|"&amp;IF(C802="Mixed","External",IF(C802="Unknown","UoB",C802))&amp;"|"&amp;IF(F802&lt;=32,"32","40"),Reference!$D$5:$D$12,0)),""))</f>
        <v/>
      </c>
      <c r="J802" s="11" t="str">
        <f t="shared" si="74"/>
        <v/>
      </c>
      <c r="K802" s="12"/>
      <c r="L802" s="11" t="str">
        <f t="shared" si="75"/>
        <v/>
      </c>
      <c r="M802" s="12"/>
      <c r="N802" s="12"/>
      <c r="O802" s="11" t="str">
        <f t="shared" si="76"/>
        <v/>
      </c>
      <c r="P802" s="10" t="str">
        <f t="shared" si="77"/>
        <v/>
      </c>
    </row>
    <row r="803" spans="1:16" ht="15" customHeight="1" x14ac:dyDescent="0.2">
      <c r="A803" s="8"/>
      <c r="B803" s="8"/>
      <c r="C803" s="8"/>
      <c r="D803" s="9"/>
      <c r="E803" s="9"/>
      <c r="F803" s="8"/>
      <c r="G803" s="10" t="str">
        <f t="shared" si="72"/>
        <v/>
      </c>
      <c r="H803" s="10" t="str">
        <f t="shared" si="73"/>
        <v/>
      </c>
      <c r="I803" s="11" t="str">
        <f>IF(B803="Recreation",IFERROR(INDEX(RecPricing!$E$5:$E$10,MATCH(IF(C803="Mixed","External",IF(C803="Unknown","UoB",C803))&amp;"|"&amp;IF(F803&lt;=24,"&lt;=24",IF(F803&lt;=32,"&lt;=32","Above32")),RecPricing!$F$5:$F$10,0)),""),IFERROR(INDEX(Reference!$E$5:$E$12,MATCH(B803&amp;"|"&amp;IF(C803="Mixed","External",IF(C803="Unknown","UoB",C803))&amp;"|"&amp;IF(F803&lt;=32,"32","40"),Reference!$D$5:$D$12,0)),""))</f>
        <v/>
      </c>
      <c r="J803" s="11" t="str">
        <f t="shared" si="74"/>
        <v/>
      </c>
      <c r="K803" s="12"/>
      <c r="L803" s="11" t="str">
        <f t="shared" si="75"/>
        <v/>
      </c>
      <c r="M803" s="12"/>
      <c r="N803" s="12"/>
      <c r="O803" s="11" t="str">
        <f t="shared" si="76"/>
        <v/>
      </c>
      <c r="P803" s="10" t="str">
        <f t="shared" si="77"/>
        <v/>
      </c>
    </row>
    <row r="804" spans="1:16" ht="15" customHeight="1" x14ac:dyDescent="0.2">
      <c r="A804" s="8"/>
      <c r="B804" s="8"/>
      <c r="C804" s="8"/>
      <c r="D804" s="9"/>
      <c r="E804" s="9"/>
      <c r="F804" s="8"/>
      <c r="G804" s="10" t="str">
        <f t="shared" si="72"/>
        <v/>
      </c>
      <c r="H804" s="10" t="str">
        <f t="shared" si="73"/>
        <v/>
      </c>
      <c r="I804" s="11" t="str">
        <f>IF(B804="Recreation",IFERROR(INDEX(RecPricing!$E$5:$E$10,MATCH(IF(C804="Mixed","External",IF(C804="Unknown","UoB",C804))&amp;"|"&amp;IF(F804&lt;=24,"&lt;=24",IF(F804&lt;=32,"&lt;=32","Above32")),RecPricing!$F$5:$F$10,0)),""),IFERROR(INDEX(Reference!$E$5:$E$12,MATCH(B804&amp;"|"&amp;IF(C804="Mixed","External",IF(C804="Unknown","UoB",C804))&amp;"|"&amp;IF(F804&lt;=32,"32","40"),Reference!$D$5:$D$12,0)),""))</f>
        <v/>
      </c>
      <c r="J804" s="11" t="str">
        <f t="shared" si="74"/>
        <v/>
      </c>
      <c r="K804" s="12"/>
      <c r="L804" s="11" t="str">
        <f t="shared" si="75"/>
        <v/>
      </c>
      <c r="M804" s="12"/>
      <c r="N804" s="12"/>
      <c r="O804" s="11" t="str">
        <f t="shared" si="76"/>
        <v/>
      </c>
      <c r="P804" s="10" t="str">
        <f t="shared" si="77"/>
        <v/>
      </c>
    </row>
    <row r="805" spans="1:16" ht="15" customHeight="1" x14ac:dyDescent="0.2">
      <c r="A805" s="8"/>
      <c r="B805" s="8"/>
      <c r="C805" s="8"/>
      <c r="D805" s="9"/>
      <c r="E805" s="9"/>
      <c r="F805" s="8"/>
      <c r="G805" s="10" t="str">
        <f t="shared" si="72"/>
        <v/>
      </c>
      <c r="H805" s="10" t="str">
        <f t="shared" si="73"/>
        <v/>
      </c>
      <c r="I805" s="11" t="str">
        <f>IF(B805="Recreation",IFERROR(INDEX(RecPricing!$E$5:$E$10,MATCH(IF(C805="Mixed","External",IF(C805="Unknown","UoB",C805))&amp;"|"&amp;IF(F805&lt;=24,"&lt;=24",IF(F805&lt;=32,"&lt;=32","Above32")),RecPricing!$F$5:$F$10,0)),""),IFERROR(INDEX(Reference!$E$5:$E$12,MATCH(B805&amp;"|"&amp;IF(C805="Mixed","External",IF(C805="Unknown","UoB",C805))&amp;"|"&amp;IF(F805&lt;=32,"32","40"),Reference!$D$5:$D$12,0)),""))</f>
        <v/>
      </c>
      <c r="J805" s="11" t="str">
        <f t="shared" si="74"/>
        <v/>
      </c>
      <c r="K805" s="12"/>
      <c r="L805" s="11" t="str">
        <f t="shared" si="75"/>
        <v/>
      </c>
      <c r="M805" s="12"/>
      <c r="N805" s="12"/>
      <c r="O805" s="11" t="str">
        <f t="shared" si="76"/>
        <v/>
      </c>
      <c r="P805" s="10" t="str">
        <f t="shared" si="77"/>
        <v/>
      </c>
    </row>
    <row r="806" spans="1:16" ht="15" customHeight="1" x14ac:dyDescent="0.2">
      <c r="A806" s="8"/>
      <c r="B806" s="8"/>
      <c r="C806" s="8"/>
      <c r="D806" s="9"/>
      <c r="E806" s="9"/>
      <c r="F806" s="8"/>
      <c r="G806" s="10" t="str">
        <f t="shared" si="72"/>
        <v/>
      </c>
      <c r="H806" s="10" t="str">
        <f t="shared" si="73"/>
        <v/>
      </c>
      <c r="I806" s="11" t="str">
        <f>IF(B806="Recreation",IFERROR(INDEX(RecPricing!$E$5:$E$10,MATCH(IF(C806="Mixed","External",IF(C806="Unknown","UoB",C806))&amp;"|"&amp;IF(F806&lt;=24,"&lt;=24",IF(F806&lt;=32,"&lt;=32","Above32")),RecPricing!$F$5:$F$10,0)),""),IFERROR(INDEX(Reference!$E$5:$E$12,MATCH(B806&amp;"|"&amp;IF(C806="Mixed","External",IF(C806="Unknown","UoB",C806))&amp;"|"&amp;IF(F806&lt;=32,"32","40"),Reference!$D$5:$D$12,0)),""))</f>
        <v/>
      </c>
      <c r="J806" s="11" t="str">
        <f t="shared" si="74"/>
        <v/>
      </c>
      <c r="K806" s="12"/>
      <c r="L806" s="11" t="str">
        <f t="shared" si="75"/>
        <v/>
      </c>
      <c r="M806" s="12"/>
      <c r="N806" s="12"/>
      <c r="O806" s="11" t="str">
        <f t="shared" si="76"/>
        <v/>
      </c>
      <c r="P806" s="10" t="str">
        <f t="shared" si="77"/>
        <v/>
      </c>
    </row>
    <row r="807" spans="1:16" ht="15" customHeight="1" x14ac:dyDescent="0.2">
      <c r="A807" s="8"/>
      <c r="B807" s="8"/>
      <c r="C807" s="8"/>
      <c r="D807" s="9"/>
      <c r="E807" s="9"/>
      <c r="F807" s="8"/>
      <c r="G807" s="10" t="str">
        <f t="shared" si="72"/>
        <v/>
      </c>
      <c r="H807" s="10" t="str">
        <f t="shared" si="73"/>
        <v/>
      </c>
      <c r="I807" s="11" t="str">
        <f>IF(B807="Recreation",IFERROR(INDEX(RecPricing!$E$5:$E$10,MATCH(IF(C807="Mixed","External",IF(C807="Unknown","UoB",C807))&amp;"|"&amp;IF(F807&lt;=24,"&lt;=24",IF(F807&lt;=32,"&lt;=32","Above32")),RecPricing!$F$5:$F$10,0)),""),IFERROR(INDEX(Reference!$E$5:$E$12,MATCH(B807&amp;"|"&amp;IF(C807="Mixed","External",IF(C807="Unknown","UoB",C807))&amp;"|"&amp;IF(F807&lt;=32,"32","40"),Reference!$D$5:$D$12,0)),""))</f>
        <v/>
      </c>
      <c r="J807" s="11" t="str">
        <f t="shared" si="74"/>
        <v/>
      </c>
      <c r="K807" s="12"/>
      <c r="L807" s="11" t="str">
        <f t="shared" si="75"/>
        <v/>
      </c>
      <c r="M807" s="12"/>
      <c r="N807" s="12"/>
      <c r="O807" s="11" t="str">
        <f t="shared" si="76"/>
        <v/>
      </c>
      <c r="P807" s="10" t="str">
        <f t="shared" si="77"/>
        <v/>
      </c>
    </row>
    <row r="808" spans="1:16" ht="15" customHeight="1" x14ac:dyDescent="0.2">
      <c r="A808" s="8"/>
      <c r="B808" s="8"/>
      <c r="C808" s="8"/>
      <c r="D808" s="9"/>
      <c r="E808" s="9"/>
      <c r="F808" s="8"/>
      <c r="G808" s="10" t="str">
        <f t="shared" si="72"/>
        <v/>
      </c>
      <c r="H808" s="10" t="str">
        <f t="shared" si="73"/>
        <v/>
      </c>
      <c r="I808" s="11" t="str">
        <f>IF(B808="Recreation",IFERROR(INDEX(RecPricing!$E$5:$E$10,MATCH(IF(C808="Mixed","External",IF(C808="Unknown","UoB",C808))&amp;"|"&amp;IF(F808&lt;=24,"&lt;=24",IF(F808&lt;=32,"&lt;=32","Above32")),RecPricing!$F$5:$F$10,0)),""),IFERROR(INDEX(Reference!$E$5:$E$12,MATCH(B808&amp;"|"&amp;IF(C808="Mixed","External",IF(C808="Unknown","UoB",C808))&amp;"|"&amp;IF(F808&lt;=32,"32","40"),Reference!$D$5:$D$12,0)),""))</f>
        <v/>
      </c>
      <c r="J808" s="11" t="str">
        <f t="shared" si="74"/>
        <v/>
      </c>
      <c r="K808" s="12"/>
      <c r="L808" s="11" t="str">
        <f t="shared" si="75"/>
        <v/>
      </c>
      <c r="M808" s="12"/>
      <c r="N808" s="12"/>
      <c r="O808" s="11" t="str">
        <f t="shared" si="76"/>
        <v/>
      </c>
      <c r="P808" s="10" t="str">
        <f t="shared" si="77"/>
        <v/>
      </c>
    </row>
    <row r="809" spans="1:16" ht="15" customHeight="1" x14ac:dyDescent="0.2">
      <c r="A809" s="8"/>
      <c r="B809" s="8"/>
      <c r="C809" s="8"/>
      <c r="D809" s="9"/>
      <c r="E809" s="9"/>
      <c r="F809" s="8"/>
      <c r="G809" s="10" t="str">
        <f t="shared" si="72"/>
        <v/>
      </c>
      <c r="H809" s="10" t="str">
        <f t="shared" si="73"/>
        <v/>
      </c>
      <c r="I809" s="11" t="str">
        <f>IF(B809="Recreation",IFERROR(INDEX(RecPricing!$E$5:$E$10,MATCH(IF(C809="Mixed","External",IF(C809="Unknown","UoB",C809))&amp;"|"&amp;IF(F809&lt;=24,"&lt;=24",IF(F809&lt;=32,"&lt;=32","Above32")),RecPricing!$F$5:$F$10,0)),""),IFERROR(INDEX(Reference!$E$5:$E$12,MATCH(B809&amp;"|"&amp;IF(C809="Mixed","External",IF(C809="Unknown","UoB",C809))&amp;"|"&amp;IF(F809&lt;=32,"32","40"),Reference!$D$5:$D$12,0)),""))</f>
        <v/>
      </c>
      <c r="J809" s="11" t="str">
        <f t="shared" si="74"/>
        <v/>
      </c>
      <c r="K809" s="12"/>
      <c r="L809" s="11" t="str">
        <f t="shared" si="75"/>
        <v/>
      </c>
      <c r="M809" s="12"/>
      <c r="N809" s="12"/>
      <c r="O809" s="11" t="str">
        <f t="shared" si="76"/>
        <v/>
      </c>
      <c r="P809" s="10" t="str">
        <f t="shared" si="77"/>
        <v/>
      </c>
    </row>
    <row r="810" spans="1:16" ht="15" customHeight="1" x14ac:dyDescent="0.2">
      <c r="A810" s="8"/>
      <c r="B810" s="8"/>
      <c r="C810" s="8"/>
      <c r="D810" s="9"/>
      <c r="E810" s="9"/>
      <c r="F810" s="8"/>
      <c r="G810" s="10" t="str">
        <f t="shared" si="72"/>
        <v/>
      </c>
      <c r="H810" s="10" t="str">
        <f t="shared" si="73"/>
        <v/>
      </c>
      <c r="I810" s="11" t="str">
        <f>IF(B810="Recreation",IFERROR(INDEX(RecPricing!$E$5:$E$10,MATCH(IF(C810="Mixed","External",IF(C810="Unknown","UoB",C810))&amp;"|"&amp;IF(F810&lt;=24,"&lt;=24",IF(F810&lt;=32,"&lt;=32","Above32")),RecPricing!$F$5:$F$10,0)),""),IFERROR(INDEX(Reference!$E$5:$E$12,MATCH(B810&amp;"|"&amp;IF(C810="Mixed","External",IF(C810="Unknown","UoB",C810))&amp;"|"&amp;IF(F810&lt;=32,"32","40"),Reference!$D$5:$D$12,0)),""))</f>
        <v/>
      </c>
      <c r="J810" s="11" t="str">
        <f t="shared" si="74"/>
        <v/>
      </c>
      <c r="K810" s="12"/>
      <c r="L810" s="11" t="str">
        <f t="shared" si="75"/>
        <v/>
      </c>
      <c r="M810" s="12"/>
      <c r="N810" s="12"/>
      <c r="O810" s="11" t="str">
        <f t="shared" si="76"/>
        <v/>
      </c>
      <c r="P810" s="10" t="str">
        <f t="shared" si="77"/>
        <v/>
      </c>
    </row>
    <row r="811" spans="1:16" ht="15" customHeight="1" x14ac:dyDescent="0.2">
      <c r="A811" s="8"/>
      <c r="B811" s="8"/>
      <c r="C811" s="8"/>
      <c r="D811" s="9"/>
      <c r="E811" s="9"/>
      <c r="F811" s="8"/>
      <c r="G811" s="10" t="str">
        <f t="shared" si="72"/>
        <v/>
      </c>
      <c r="H811" s="10" t="str">
        <f t="shared" si="73"/>
        <v/>
      </c>
      <c r="I811" s="11" t="str">
        <f>IF(B811="Recreation",IFERROR(INDEX(RecPricing!$E$5:$E$10,MATCH(IF(C811="Mixed","External",IF(C811="Unknown","UoB",C811))&amp;"|"&amp;IF(F811&lt;=24,"&lt;=24",IF(F811&lt;=32,"&lt;=32","Above32")),RecPricing!$F$5:$F$10,0)),""),IFERROR(INDEX(Reference!$E$5:$E$12,MATCH(B811&amp;"|"&amp;IF(C811="Mixed","External",IF(C811="Unknown","UoB",C811))&amp;"|"&amp;IF(F811&lt;=32,"32","40"),Reference!$D$5:$D$12,0)),""))</f>
        <v/>
      </c>
      <c r="J811" s="11" t="str">
        <f t="shared" si="74"/>
        <v/>
      </c>
      <c r="K811" s="12"/>
      <c r="L811" s="11" t="str">
        <f t="shared" si="75"/>
        <v/>
      </c>
      <c r="M811" s="12"/>
      <c r="N811" s="12"/>
      <c r="O811" s="11" t="str">
        <f t="shared" si="76"/>
        <v/>
      </c>
      <c r="P811" s="10" t="str">
        <f t="shared" si="77"/>
        <v/>
      </c>
    </row>
    <row r="812" spans="1:16" ht="15" customHeight="1" x14ac:dyDescent="0.2">
      <c r="A812" s="8"/>
      <c r="B812" s="8"/>
      <c r="C812" s="8"/>
      <c r="D812" s="9"/>
      <c r="E812" s="9"/>
      <c r="F812" s="8"/>
      <c r="G812" s="10" t="str">
        <f t="shared" si="72"/>
        <v/>
      </c>
      <c r="H812" s="10" t="str">
        <f t="shared" si="73"/>
        <v/>
      </c>
      <c r="I812" s="11" t="str">
        <f>IF(B812="Recreation",IFERROR(INDEX(RecPricing!$E$5:$E$10,MATCH(IF(C812="Mixed","External",IF(C812="Unknown","UoB",C812))&amp;"|"&amp;IF(F812&lt;=24,"&lt;=24",IF(F812&lt;=32,"&lt;=32","Above32")),RecPricing!$F$5:$F$10,0)),""),IFERROR(INDEX(Reference!$E$5:$E$12,MATCH(B812&amp;"|"&amp;IF(C812="Mixed","External",IF(C812="Unknown","UoB",C812))&amp;"|"&amp;IF(F812&lt;=32,"32","40"),Reference!$D$5:$D$12,0)),""))</f>
        <v/>
      </c>
      <c r="J812" s="11" t="str">
        <f t="shared" si="74"/>
        <v/>
      </c>
      <c r="K812" s="12"/>
      <c r="L812" s="11" t="str">
        <f t="shared" si="75"/>
        <v/>
      </c>
      <c r="M812" s="12"/>
      <c r="N812" s="12"/>
      <c r="O812" s="11" t="str">
        <f t="shared" si="76"/>
        <v/>
      </c>
      <c r="P812" s="10" t="str">
        <f t="shared" si="77"/>
        <v/>
      </c>
    </row>
    <row r="813" spans="1:16" ht="15" customHeight="1" x14ac:dyDescent="0.2">
      <c r="A813" s="8"/>
      <c r="B813" s="8"/>
      <c r="C813" s="8"/>
      <c r="D813" s="9"/>
      <c r="E813" s="9"/>
      <c r="F813" s="8"/>
      <c r="G813" s="10" t="str">
        <f t="shared" si="72"/>
        <v/>
      </c>
      <c r="H813" s="10" t="str">
        <f t="shared" si="73"/>
        <v/>
      </c>
      <c r="I813" s="11" t="str">
        <f>IF(B813="Recreation",IFERROR(INDEX(RecPricing!$E$5:$E$10,MATCH(IF(C813="Mixed","External",IF(C813="Unknown","UoB",C813))&amp;"|"&amp;IF(F813&lt;=24,"&lt;=24",IF(F813&lt;=32,"&lt;=32","Above32")),RecPricing!$F$5:$F$10,0)),""),IFERROR(INDEX(Reference!$E$5:$E$12,MATCH(B813&amp;"|"&amp;IF(C813="Mixed","External",IF(C813="Unknown","UoB",C813))&amp;"|"&amp;IF(F813&lt;=32,"32","40"),Reference!$D$5:$D$12,0)),""))</f>
        <v/>
      </c>
      <c r="J813" s="11" t="str">
        <f t="shared" si="74"/>
        <v/>
      </c>
      <c r="K813" s="12"/>
      <c r="L813" s="11" t="str">
        <f t="shared" si="75"/>
        <v/>
      </c>
      <c r="M813" s="12"/>
      <c r="N813" s="12"/>
      <c r="O813" s="11" t="str">
        <f t="shared" si="76"/>
        <v/>
      </c>
      <c r="P813" s="10" t="str">
        <f t="shared" si="77"/>
        <v/>
      </c>
    </row>
    <row r="814" spans="1:16" ht="15" customHeight="1" x14ac:dyDescent="0.2">
      <c r="A814" s="8"/>
      <c r="B814" s="8"/>
      <c r="C814" s="8"/>
      <c r="D814" s="9"/>
      <c r="E814" s="9"/>
      <c r="F814" s="8"/>
      <c r="G814" s="10" t="str">
        <f t="shared" si="72"/>
        <v/>
      </c>
      <c r="H814" s="10" t="str">
        <f t="shared" si="73"/>
        <v/>
      </c>
      <c r="I814" s="11" t="str">
        <f>IF(B814="Recreation",IFERROR(INDEX(RecPricing!$E$5:$E$10,MATCH(IF(C814="Mixed","External",IF(C814="Unknown","UoB",C814))&amp;"|"&amp;IF(F814&lt;=24,"&lt;=24",IF(F814&lt;=32,"&lt;=32","Above32")),RecPricing!$F$5:$F$10,0)),""),IFERROR(INDEX(Reference!$E$5:$E$12,MATCH(B814&amp;"|"&amp;IF(C814="Mixed","External",IF(C814="Unknown","UoB",C814))&amp;"|"&amp;IF(F814&lt;=32,"32","40"),Reference!$D$5:$D$12,0)),""))</f>
        <v/>
      </c>
      <c r="J814" s="11" t="str">
        <f t="shared" si="74"/>
        <v/>
      </c>
      <c r="K814" s="12"/>
      <c r="L814" s="11" t="str">
        <f t="shared" si="75"/>
        <v/>
      </c>
      <c r="M814" s="12"/>
      <c r="N814" s="12"/>
      <c r="O814" s="11" t="str">
        <f t="shared" si="76"/>
        <v/>
      </c>
      <c r="P814" s="10" t="str">
        <f t="shared" si="77"/>
        <v/>
      </c>
    </row>
    <row r="815" spans="1:16" ht="15" customHeight="1" x14ac:dyDescent="0.2">
      <c r="A815" s="8"/>
      <c r="B815" s="8"/>
      <c r="C815" s="8"/>
      <c r="D815" s="9"/>
      <c r="E815" s="9"/>
      <c r="F815" s="8"/>
      <c r="G815" s="10" t="str">
        <f t="shared" si="72"/>
        <v/>
      </c>
      <c r="H815" s="10" t="str">
        <f t="shared" si="73"/>
        <v/>
      </c>
      <c r="I815" s="11" t="str">
        <f>IF(B815="Recreation",IFERROR(INDEX(RecPricing!$E$5:$E$10,MATCH(IF(C815="Mixed","External",IF(C815="Unknown","UoB",C815))&amp;"|"&amp;IF(F815&lt;=24,"&lt;=24",IF(F815&lt;=32,"&lt;=32","Above32")),RecPricing!$F$5:$F$10,0)),""),IFERROR(INDEX(Reference!$E$5:$E$12,MATCH(B815&amp;"|"&amp;IF(C815="Mixed","External",IF(C815="Unknown","UoB",C815))&amp;"|"&amp;IF(F815&lt;=32,"32","40"),Reference!$D$5:$D$12,0)),""))</f>
        <v/>
      </c>
      <c r="J815" s="11" t="str">
        <f t="shared" si="74"/>
        <v/>
      </c>
      <c r="K815" s="12"/>
      <c r="L815" s="11" t="str">
        <f t="shared" si="75"/>
        <v/>
      </c>
      <c r="M815" s="12"/>
      <c r="N815" s="12"/>
      <c r="O815" s="11" t="str">
        <f t="shared" si="76"/>
        <v/>
      </c>
      <c r="P815" s="10" t="str">
        <f t="shared" si="77"/>
        <v/>
      </c>
    </row>
    <row r="816" spans="1:16" ht="15" customHeight="1" x14ac:dyDescent="0.2">
      <c r="A816" s="8"/>
      <c r="B816" s="8"/>
      <c r="C816" s="8"/>
      <c r="D816" s="9"/>
      <c r="E816" s="9"/>
      <c r="F816" s="8"/>
      <c r="G816" s="10" t="str">
        <f t="shared" si="72"/>
        <v/>
      </c>
      <c r="H816" s="10" t="str">
        <f t="shared" si="73"/>
        <v/>
      </c>
      <c r="I816" s="11" t="str">
        <f>IF(B816="Recreation",IFERROR(INDEX(RecPricing!$E$5:$E$10,MATCH(IF(C816="Mixed","External",IF(C816="Unknown","UoB",C816))&amp;"|"&amp;IF(F816&lt;=24,"&lt;=24",IF(F816&lt;=32,"&lt;=32","Above32")),RecPricing!$F$5:$F$10,0)),""),IFERROR(INDEX(Reference!$E$5:$E$12,MATCH(B816&amp;"|"&amp;IF(C816="Mixed","External",IF(C816="Unknown","UoB",C816))&amp;"|"&amp;IF(F816&lt;=32,"32","40"),Reference!$D$5:$D$12,0)),""))</f>
        <v/>
      </c>
      <c r="J816" s="11" t="str">
        <f t="shared" si="74"/>
        <v/>
      </c>
      <c r="K816" s="12"/>
      <c r="L816" s="11" t="str">
        <f t="shared" si="75"/>
        <v/>
      </c>
      <c r="M816" s="12"/>
      <c r="N816" s="12"/>
      <c r="O816" s="11" t="str">
        <f t="shared" si="76"/>
        <v/>
      </c>
      <c r="P816" s="10" t="str">
        <f t="shared" si="77"/>
        <v/>
      </c>
    </row>
    <row r="817" spans="1:16" ht="15" customHeight="1" x14ac:dyDescent="0.2">
      <c r="A817" s="8"/>
      <c r="B817" s="8"/>
      <c r="C817" s="8"/>
      <c r="D817" s="9"/>
      <c r="E817" s="9"/>
      <c r="F817" s="8"/>
      <c r="G817" s="10" t="str">
        <f t="shared" si="72"/>
        <v/>
      </c>
      <c r="H817" s="10" t="str">
        <f t="shared" si="73"/>
        <v/>
      </c>
      <c r="I817" s="11" t="str">
        <f>IF(B817="Recreation",IFERROR(INDEX(RecPricing!$E$5:$E$10,MATCH(IF(C817="Mixed","External",IF(C817="Unknown","UoB",C817))&amp;"|"&amp;IF(F817&lt;=24,"&lt;=24",IF(F817&lt;=32,"&lt;=32","Above32")),RecPricing!$F$5:$F$10,0)),""),IFERROR(INDEX(Reference!$E$5:$E$12,MATCH(B817&amp;"|"&amp;IF(C817="Mixed","External",IF(C817="Unknown","UoB",C817))&amp;"|"&amp;IF(F817&lt;=32,"32","40"),Reference!$D$5:$D$12,0)),""))</f>
        <v/>
      </c>
      <c r="J817" s="11" t="str">
        <f t="shared" si="74"/>
        <v/>
      </c>
      <c r="K817" s="12"/>
      <c r="L817" s="11" t="str">
        <f t="shared" si="75"/>
        <v/>
      </c>
      <c r="M817" s="12"/>
      <c r="N817" s="12"/>
      <c r="O817" s="11" t="str">
        <f t="shared" si="76"/>
        <v/>
      </c>
      <c r="P817" s="10" t="str">
        <f t="shared" si="77"/>
        <v/>
      </c>
    </row>
    <row r="818" spans="1:16" ht="15" customHeight="1" x14ac:dyDescent="0.2">
      <c r="A818" s="8"/>
      <c r="B818" s="8"/>
      <c r="C818" s="8"/>
      <c r="D818" s="9"/>
      <c r="E818" s="9"/>
      <c r="F818" s="8"/>
      <c r="G818" s="10" t="str">
        <f t="shared" si="72"/>
        <v/>
      </c>
      <c r="H818" s="10" t="str">
        <f t="shared" si="73"/>
        <v/>
      </c>
      <c r="I818" s="11" t="str">
        <f>IF(B818="Recreation",IFERROR(INDEX(RecPricing!$E$5:$E$10,MATCH(IF(C818="Mixed","External",IF(C818="Unknown","UoB",C818))&amp;"|"&amp;IF(F818&lt;=24,"&lt;=24",IF(F818&lt;=32,"&lt;=32","Above32")),RecPricing!$F$5:$F$10,0)),""),IFERROR(INDEX(Reference!$E$5:$E$12,MATCH(B818&amp;"|"&amp;IF(C818="Mixed","External",IF(C818="Unknown","UoB",C818))&amp;"|"&amp;IF(F818&lt;=32,"32","40"),Reference!$D$5:$D$12,0)),""))</f>
        <v/>
      </c>
      <c r="J818" s="11" t="str">
        <f t="shared" si="74"/>
        <v/>
      </c>
      <c r="K818" s="12"/>
      <c r="L818" s="11" t="str">
        <f t="shared" si="75"/>
        <v/>
      </c>
      <c r="M818" s="12"/>
      <c r="N818" s="12"/>
      <c r="O818" s="11" t="str">
        <f t="shared" si="76"/>
        <v/>
      </c>
      <c r="P818" s="10" t="str">
        <f t="shared" si="77"/>
        <v/>
      </c>
    </row>
    <row r="819" spans="1:16" ht="15" customHeight="1" x14ac:dyDescent="0.2">
      <c r="A819" s="8"/>
      <c r="B819" s="8"/>
      <c r="C819" s="8"/>
      <c r="D819" s="9"/>
      <c r="E819" s="9"/>
      <c r="F819" s="8"/>
      <c r="G819" s="10" t="str">
        <f t="shared" si="72"/>
        <v/>
      </c>
      <c r="H819" s="10" t="str">
        <f t="shared" si="73"/>
        <v/>
      </c>
      <c r="I819" s="11" t="str">
        <f>IF(B819="Recreation",IFERROR(INDEX(RecPricing!$E$5:$E$10,MATCH(IF(C819="Mixed","External",IF(C819="Unknown","UoB",C819))&amp;"|"&amp;IF(F819&lt;=24,"&lt;=24",IF(F819&lt;=32,"&lt;=32","Above32")),RecPricing!$F$5:$F$10,0)),""),IFERROR(INDEX(Reference!$E$5:$E$12,MATCH(B819&amp;"|"&amp;IF(C819="Mixed","External",IF(C819="Unknown","UoB",C819))&amp;"|"&amp;IF(F819&lt;=32,"32","40"),Reference!$D$5:$D$12,0)),""))</f>
        <v/>
      </c>
      <c r="J819" s="11" t="str">
        <f t="shared" si="74"/>
        <v/>
      </c>
      <c r="K819" s="12"/>
      <c r="L819" s="11" t="str">
        <f t="shared" si="75"/>
        <v/>
      </c>
      <c r="M819" s="12"/>
      <c r="N819" s="12"/>
      <c r="O819" s="11" t="str">
        <f t="shared" si="76"/>
        <v/>
      </c>
      <c r="P819" s="10" t="str">
        <f t="shared" si="77"/>
        <v/>
      </c>
    </row>
    <row r="820" spans="1:16" ht="15" customHeight="1" x14ac:dyDescent="0.2">
      <c r="A820" s="8"/>
      <c r="B820" s="8"/>
      <c r="C820" s="8"/>
      <c r="D820" s="9"/>
      <c r="E820" s="9"/>
      <c r="F820" s="8"/>
      <c r="G820" s="10" t="str">
        <f t="shared" si="72"/>
        <v/>
      </c>
      <c r="H820" s="10" t="str">
        <f t="shared" si="73"/>
        <v/>
      </c>
      <c r="I820" s="11" t="str">
        <f>IF(B820="Recreation",IFERROR(INDEX(RecPricing!$E$5:$E$10,MATCH(IF(C820="Mixed","External",IF(C820="Unknown","UoB",C820))&amp;"|"&amp;IF(F820&lt;=24,"&lt;=24",IF(F820&lt;=32,"&lt;=32","Above32")),RecPricing!$F$5:$F$10,0)),""),IFERROR(INDEX(Reference!$E$5:$E$12,MATCH(B820&amp;"|"&amp;IF(C820="Mixed","External",IF(C820="Unknown","UoB",C820))&amp;"|"&amp;IF(F820&lt;=32,"32","40"),Reference!$D$5:$D$12,0)),""))</f>
        <v/>
      </c>
      <c r="J820" s="11" t="str">
        <f t="shared" si="74"/>
        <v/>
      </c>
      <c r="K820" s="12"/>
      <c r="L820" s="11" t="str">
        <f t="shared" si="75"/>
        <v/>
      </c>
      <c r="M820" s="12"/>
      <c r="N820" s="12"/>
      <c r="O820" s="11" t="str">
        <f t="shared" si="76"/>
        <v/>
      </c>
      <c r="P820" s="10" t="str">
        <f t="shared" si="77"/>
        <v/>
      </c>
    </row>
    <row r="821" spans="1:16" ht="15" customHeight="1" x14ac:dyDescent="0.2">
      <c r="A821" s="8"/>
      <c r="B821" s="8"/>
      <c r="C821" s="8"/>
      <c r="D821" s="9"/>
      <c r="E821" s="9"/>
      <c r="F821" s="8"/>
      <c r="G821" s="10" t="str">
        <f t="shared" si="72"/>
        <v/>
      </c>
      <c r="H821" s="10" t="str">
        <f t="shared" si="73"/>
        <v/>
      </c>
      <c r="I821" s="11" t="str">
        <f>IF(B821="Recreation",IFERROR(INDEX(RecPricing!$E$5:$E$10,MATCH(IF(C821="Mixed","External",IF(C821="Unknown","UoB",C821))&amp;"|"&amp;IF(F821&lt;=24,"&lt;=24",IF(F821&lt;=32,"&lt;=32","Above32")),RecPricing!$F$5:$F$10,0)),""),IFERROR(INDEX(Reference!$E$5:$E$12,MATCH(B821&amp;"|"&amp;IF(C821="Mixed","External",IF(C821="Unknown","UoB",C821))&amp;"|"&amp;IF(F821&lt;=32,"32","40"),Reference!$D$5:$D$12,0)),""))</f>
        <v/>
      </c>
      <c r="J821" s="11" t="str">
        <f t="shared" si="74"/>
        <v/>
      </c>
      <c r="K821" s="12"/>
      <c r="L821" s="11" t="str">
        <f t="shared" si="75"/>
        <v/>
      </c>
      <c r="M821" s="12"/>
      <c r="N821" s="12"/>
      <c r="O821" s="11" t="str">
        <f t="shared" si="76"/>
        <v/>
      </c>
      <c r="P821" s="10" t="str">
        <f t="shared" si="77"/>
        <v/>
      </c>
    </row>
    <row r="822" spans="1:16" ht="15" customHeight="1" x14ac:dyDescent="0.2">
      <c r="A822" s="8"/>
      <c r="B822" s="8"/>
      <c r="C822" s="8"/>
      <c r="D822" s="9"/>
      <c r="E822" s="9"/>
      <c r="F822" s="8"/>
      <c r="G822" s="10" t="str">
        <f t="shared" si="72"/>
        <v/>
      </c>
      <c r="H822" s="10" t="str">
        <f t="shared" si="73"/>
        <v/>
      </c>
      <c r="I822" s="11" t="str">
        <f>IF(B822="Recreation",IFERROR(INDEX(RecPricing!$E$5:$E$10,MATCH(IF(C822="Mixed","External",IF(C822="Unknown","UoB",C822))&amp;"|"&amp;IF(F822&lt;=24,"&lt;=24",IF(F822&lt;=32,"&lt;=32","Above32")),RecPricing!$F$5:$F$10,0)),""),IFERROR(INDEX(Reference!$E$5:$E$12,MATCH(B822&amp;"|"&amp;IF(C822="Mixed","External",IF(C822="Unknown","UoB",C822))&amp;"|"&amp;IF(F822&lt;=32,"32","40"),Reference!$D$5:$D$12,0)),""))</f>
        <v/>
      </c>
      <c r="J822" s="11" t="str">
        <f t="shared" si="74"/>
        <v/>
      </c>
      <c r="K822" s="12"/>
      <c r="L822" s="11" t="str">
        <f t="shared" si="75"/>
        <v/>
      </c>
      <c r="M822" s="12"/>
      <c r="N822" s="12"/>
      <c r="O822" s="11" t="str">
        <f t="shared" si="76"/>
        <v/>
      </c>
      <c r="P822" s="10" t="str">
        <f t="shared" si="77"/>
        <v/>
      </c>
    </row>
    <row r="823" spans="1:16" ht="15" customHeight="1" x14ac:dyDescent="0.2">
      <c r="A823" s="8"/>
      <c r="B823" s="8"/>
      <c r="C823" s="8"/>
      <c r="D823" s="9"/>
      <c r="E823" s="9"/>
      <c r="F823" s="8"/>
      <c r="G823" s="10" t="str">
        <f t="shared" si="72"/>
        <v/>
      </c>
      <c r="H823" s="10" t="str">
        <f t="shared" si="73"/>
        <v/>
      </c>
      <c r="I823" s="11" t="str">
        <f>IF(B823="Recreation",IFERROR(INDEX(RecPricing!$E$5:$E$10,MATCH(IF(C823="Mixed","External",IF(C823="Unknown","UoB",C823))&amp;"|"&amp;IF(F823&lt;=24,"&lt;=24",IF(F823&lt;=32,"&lt;=32","Above32")),RecPricing!$F$5:$F$10,0)),""),IFERROR(INDEX(Reference!$E$5:$E$12,MATCH(B823&amp;"|"&amp;IF(C823="Mixed","External",IF(C823="Unknown","UoB",C823))&amp;"|"&amp;IF(F823&lt;=32,"32","40"),Reference!$D$5:$D$12,0)),""))</f>
        <v/>
      </c>
      <c r="J823" s="11" t="str">
        <f t="shared" si="74"/>
        <v/>
      </c>
      <c r="K823" s="12"/>
      <c r="L823" s="11" t="str">
        <f t="shared" si="75"/>
        <v/>
      </c>
      <c r="M823" s="12"/>
      <c r="N823" s="12"/>
      <c r="O823" s="11" t="str">
        <f t="shared" si="76"/>
        <v/>
      </c>
      <c r="P823" s="10" t="str">
        <f t="shared" si="77"/>
        <v/>
      </c>
    </row>
    <row r="824" spans="1:16" ht="15" customHeight="1" x14ac:dyDescent="0.2">
      <c r="A824" s="8"/>
      <c r="B824" s="8"/>
      <c r="C824" s="8"/>
      <c r="D824" s="9"/>
      <c r="E824" s="9"/>
      <c r="F824" s="8"/>
      <c r="G824" s="10" t="str">
        <f t="shared" si="72"/>
        <v/>
      </c>
      <c r="H824" s="10" t="str">
        <f t="shared" si="73"/>
        <v/>
      </c>
      <c r="I824" s="11" t="str">
        <f>IF(B824="Recreation",IFERROR(INDEX(RecPricing!$E$5:$E$10,MATCH(IF(C824="Mixed","External",IF(C824="Unknown","UoB",C824))&amp;"|"&amp;IF(F824&lt;=24,"&lt;=24",IF(F824&lt;=32,"&lt;=32","Above32")),RecPricing!$F$5:$F$10,0)),""),IFERROR(INDEX(Reference!$E$5:$E$12,MATCH(B824&amp;"|"&amp;IF(C824="Mixed","External",IF(C824="Unknown","UoB",C824))&amp;"|"&amp;IF(F824&lt;=32,"32","40"),Reference!$D$5:$D$12,0)),""))</f>
        <v/>
      </c>
      <c r="J824" s="11" t="str">
        <f t="shared" si="74"/>
        <v/>
      </c>
      <c r="K824" s="12"/>
      <c r="L824" s="11" t="str">
        <f t="shared" si="75"/>
        <v/>
      </c>
      <c r="M824" s="12"/>
      <c r="N824" s="12"/>
      <c r="O824" s="11" t="str">
        <f t="shared" si="76"/>
        <v/>
      </c>
      <c r="P824" s="10" t="str">
        <f t="shared" si="77"/>
        <v/>
      </c>
    </row>
    <row r="825" spans="1:16" ht="15" customHeight="1" x14ac:dyDescent="0.2">
      <c r="A825" s="8"/>
      <c r="B825" s="8"/>
      <c r="C825" s="8"/>
      <c r="D825" s="9"/>
      <c r="E825" s="9"/>
      <c r="F825" s="8"/>
      <c r="G825" s="10" t="str">
        <f t="shared" si="72"/>
        <v/>
      </c>
      <c r="H825" s="10" t="str">
        <f t="shared" si="73"/>
        <v/>
      </c>
      <c r="I825" s="11" t="str">
        <f>IF(B825="Recreation",IFERROR(INDEX(RecPricing!$E$5:$E$10,MATCH(IF(C825="Mixed","External",IF(C825="Unknown","UoB",C825))&amp;"|"&amp;IF(F825&lt;=24,"&lt;=24",IF(F825&lt;=32,"&lt;=32","Above32")),RecPricing!$F$5:$F$10,0)),""),IFERROR(INDEX(Reference!$E$5:$E$12,MATCH(B825&amp;"|"&amp;IF(C825="Mixed","External",IF(C825="Unknown","UoB",C825))&amp;"|"&amp;IF(F825&lt;=32,"32","40"),Reference!$D$5:$D$12,0)),""))</f>
        <v/>
      </c>
      <c r="J825" s="11" t="str">
        <f t="shared" si="74"/>
        <v/>
      </c>
      <c r="K825" s="12"/>
      <c r="L825" s="11" t="str">
        <f t="shared" si="75"/>
        <v/>
      </c>
      <c r="M825" s="12"/>
      <c r="N825" s="12"/>
      <c r="O825" s="11" t="str">
        <f t="shared" si="76"/>
        <v/>
      </c>
      <c r="P825" s="10" t="str">
        <f t="shared" si="77"/>
        <v/>
      </c>
    </row>
    <row r="826" spans="1:16" ht="15" customHeight="1" x14ac:dyDescent="0.2">
      <c r="A826" s="8"/>
      <c r="B826" s="8"/>
      <c r="C826" s="8"/>
      <c r="D826" s="9"/>
      <c r="E826" s="9"/>
      <c r="F826" s="8"/>
      <c r="G826" s="10" t="str">
        <f t="shared" si="72"/>
        <v/>
      </c>
      <c r="H826" s="10" t="str">
        <f t="shared" si="73"/>
        <v/>
      </c>
      <c r="I826" s="11" t="str">
        <f>IF(B826="Recreation",IFERROR(INDEX(RecPricing!$E$5:$E$10,MATCH(IF(C826="Mixed","External",IF(C826="Unknown","UoB",C826))&amp;"|"&amp;IF(F826&lt;=24,"&lt;=24",IF(F826&lt;=32,"&lt;=32","Above32")),RecPricing!$F$5:$F$10,0)),""),IFERROR(INDEX(Reference!$E$5:$E$12,MATCH(B826&amp;"|"&amp;IF(C826="Mixed","External",IF(C826="Unknown","UoB",C826))&amp;"|"&amp;IF(F826&lt;=32,"32","40"),Reference!$D$5:$D$12,0)),""))</f>
        <v/>
      </c>
      <c r="J826" s="11" t="str">
        <f t="shared" si="74"/>
        <v/>
      </c>
      <c r="K826" s="12"/>
      <c r="L826" s="11" t="str">
        <f t="shared" si="75"/>
        <v/>
      </c>
      <c r="M826" s="12"/>
      <c r="N826" s="12"/>
      <c r="O826" s="11" t="str">
        <f t="shared" si="76"/>
        <v/>
      </c>
      <c r="P826" s="10" t="str">
        <f t="shared" si="77"/>
        <v/>
      </c>
    </row>
    <row r="827" spans="1:16" ht="15" customHeight="1" x14ac:dyDescent="0.2">
      <c r="A827" s="8"/>
      <c r="B827" s="8"/>
      <c r="C827" s="8"/>
      <c r="D827" s="9"/>
      <c r="E827" s="9"/>
      <c r="F827" s="8"/>
      <c r="G827" s="10" t="str">
        <f t="shared" si="72"/>
        <v/>
      </c>
      <c r="H827" s="10" t="str">
        <f t="shared" si="73"/>
        <v/>
      </c>
      <c r="I827" s="11" t="str">
        <f>IF(B827="Recreation",IFERROR(INDEX(RecPricing!$E$5:$E$10,MATCH(IF(C827="Mixed","External",IF(C827="Unknown","UoB",C827))&amp;"|"&amp;IF(F827&lt;=24,"&lt;=24",IF(F827&lt;=32,"&lt;=32","Above32")),RecPricing!$F$5:$F$10,0)),""),IFERROR(INDEX(Reference!$E$5:$E$12,MATCH(B827&amp;"|"&amp;IF(C827="Mixed","External",IF(C827="Unknown","UoB",C827))&amp;"|"&amp;IF(F827&lt;=32,"32","40"),Reference!$D$5:$D$12,0)),""))</f>
        <v/>
      </c>
      <c r="J827" s="11" t="str">
        <f t="shared" si="74"/>
        <v/>
      </c>
      <c r="K827" s="12"/>
      <c r="L827" s="11" t="str">
        <f t="shared" si="75"/>
        <v/>
      </c>
      <c r="M827" s="12"/>
      <c r="N827" s="12"/>
      <c r="O827" s="11" t="str">
        <f t="shared" si="76"/>
        <v/>
      </c>
      <c r="P827" s="10" t="str">
        <f t="shared" si="77"/>
        <v/>
      </c>
    </row>
    <row r="828" spans="1:16" ht="15" customHeight="1" x14ac:dyDescent="0.2">
      <c r="A828" s="8"/>
      <c r="B828" s="8"/>
      <c r="C828" s="8"/>
      <c r="D828" s="9"/>
      <c r="E828" s="9"/>
      <c r="F828" s="8"/>
      <c r="G828" s="10" t="str">
        <f t="shared" si="72"/>
        <v/>
      </c>
      <c r="H828" s="10" t="str">
        <f t="shared" si="73"/>
        <v/>
      </c>
      <c r="I828" s="11" t="str">
        <f>IF(B828="Recreation",IFERROR(INDEX(RecPricing!$E$5:$E$10,MATCH(IF(C828="Mixed","External",IF(C828="Unknown","UoB",C828))&amp;"|"&amp;IF(F828&lt;=24,"&lt;=24",IF(F828&lt;=32,"&lt;=32","Above32")),RecPricing!$F$5:$F$10,0)),""),IFERROR(INDEX(Reference!$E$5:$E$12,MATCH(B828&amp;"|"&amp;IF(C828="Mixed","External",IF(C828="Unknown","UoB",C828))&amp;"|"&amp;IF(F828&lt;=32,"32","40"),Reference!$D$5:$D$12,0)),""))</f>
        <v/>
      </c>
      <c r="J828" s="11" t="str">
        <f t="shared" si="74"/>
        <v/>
      </c>
      <c r="K828" s="12"/>
      <c r="L828" s="11" t="str">
        <f t="shared" si="75"/>
        <v/>
      </c>
      <c r="M828" s="12"/>
      <c r="N828" s="12"/>
      <c r="O828" s="11" t="str">
        <f t="shared" si="76"/>
        <v/>
      </c>
      <c r="P828" s="10" t="str">
        <f t="shared" si="77"/>
        <v/>
      </c>
    </row>
    <row r="829" spans="1:16" ht="15" customHeight="1" x14ac:dyDescent="0.2">
      <c r="A829" s="8"/>
      <c r="B829" s="8"/>
      <c r="C829" s="8"/>
      <c r="D829" s="9"/>
      <c r="E829" s="9"/>
      <c r="F829" s="8"/>
      <c r="G829" s="10" t="str">
        <f t="shared" si="72"/>
        <v/>
      </c>
      <c r="H829" s="10" t="str">
        <f t="shared" si="73"/>
        <v/>
      </c>
      <c r="I829" s="11" t="str">
        <f>IF(B829="Recreation",IFERROR(INDEX(RecPricing!$E$5:$E$10,MATCH(IF(C829="Mixed","External",IF(C829="Unknown","UoB",C829))&amp;"|"&amp;IF(F829&lt;=24,"&lt;=24",IF(F829&lt;=32,"&lt;=32","Above32")),RecPricing!$F$5:$F$10,0)),""),IFERROR(INDEX(Reference!$E$5:$E$12,MATCH(B829&amp;"|"&amp;IF(C829="Mixed","External",IF(C829="Unknown","UoB",C829))&amp;"|"&amp;IF(F829&lt;=32,"32","40"),Reference!$D$5:$D$12,0)),""))</f>
        <v/>
      </c>
      <c r="J829" s="11" t="str">
        <f t="shared" si="74"/>
        <v/>
      </c>
      <c r="K829" s="12"/>
      <c r="L829" s="11" t="str">
        <f t="shared" si="75"/>
        <v/>
      </c>
      <c r="M829" s="12"/>
      <c r="N829" s="12"/>
      <c r="O829" s="11" t="str">
        <f t="shared" si="76"/>
        <v/>
      </c>
      <c r="P829" s="10" t="str">
        <f t="shared" si="77"/>
        <v/>
      </c>
    </row>
    <row r="830" spans="1:16" ht="15" customHeight="1" x14ac:dyDescent="0.2">
      <c r="A830" s="8"/>
      <c r="B830" s="8"/>
      <c r="C830" s="8"/>
      <c r="D830" s="9"/>
      <c r="E830" s="9"/>
      <c r="F830" s="8"/>
      <c r="G830" s="10" t="str">
        <f t="shared" si="72"/>
        <v/>
      </c>
      <c r="H830" s="10" t="str">
        <f t="shared" si="73"/>
        <v/>
      </c>
      <c r="I830" s="11" t="str">
        <f>IF(B830="Recreation",IFERROR(INDEX(RecPricing!$E$5:$E$10,MATCH(IF(C830="Mixed","External",IF(C830="Unknown","UoB",C830))&amp;"|"&amp;IF(F830&lt;=24,"&lt;=24",IF(F830&lt;=32,"&lt;=32","Above32")),RecPricing!$F$5:$F$10,0)),""),IFERROR(INDEX(Reference!$E$5:$E$12,MATCH(B830&amp;"|"&amp;IF(C830="Mixed","External",IF(C830="Unknown","UoB",C830))&amp;"|"&amp;IF(F830&lt;=32,"32","40"),Reference!$D$5:$D$12,0)),""))</f>
        <v/>
      </c>
      <c r="J830" s="11" t="str">
        <f t="shared" si="74"/>
        <v/>
      </c>
      <c r="K830" s="12"/>
      <c r="L830" s="11" t="str">
        <f t="shared" si="75"/>
        <v/>
      </c>
      <c r="M830" s="12"/>
      <c r="N830" s="12"/>
      <c r="O830" s="11" t="str">
        <f t="shared" si="76"/>
        <v/>
      </c>
      <c r="P830" s="10" t="str">
        <f t="shared" si="77"/>
        <v/>
      </c>
    </row>
    <row r="831" spans="1:16" ht="15" customHeight="1" x14ac:dyDescent="0.2">
      <c r="A831" s="8"/>
      <c r="B831" s="8"/>
      <c r="C831" s="8"/>
      <c r="D831" s="9"/>
      <c r="E831" s="9"/>
      <c r="F831" s="8"/>
      <c r="G831" s="10" t="str">
        <f t="shared" ref="G831:G894" si="78">IF(OR(D831="",E831=""),"",E831-D831)</f>
        <v/>
      </c>
      <c r="H831" s="10" t="str">
        <f t="shared" ref="H831:H894" si="79">IF(OR(F831="",G831=""),"",F831*G831)</f>
        <v/>
      </c>
      <c r="I831" s="11" t="str">
        <f>IF(B831="Recreation",IFERROR(INDEX(RecPricing!$E$5:$E$10,MATCH(IF(C831="Mixed","External",IF(C831="Unknown","UoB",C831))&amp;"|"&amp;IF(F831&lt;=24,"&lt;=24",IF(F831&lt;=32,"&lt;=32","Above32")),RecPricing!$F$5:$F$10,0)),""),IFERROR(INDEX(Reference!$E$5:$E$12,MATCH(B831&amp;"|"&amp;IF(C831="Mixed","External",IF(C831="Unknown","UoB",C831))&amp;"|"&amp;IF(F831&lt;=32,"32","40"),Reference!$D$5:$D$12,0)),""))</f>
        <v/>
      </c>
      <c r="J831" s="11" t="str">
        <f t="shared" ref="J831:J894" si="80">IF(I831="","",IF(B831="Recreation",IF(F831&lt;=32,I831,I831*IF(F831="",0,F831)),IF(AND(I831&lt;&gt;"",G831&lt;&gt;""),I831*G831,"")))</f>
        <v/>
      </c>
      <c r="K831" s="12"/>
      <c r="L831" s="11" t="str">
        <f t="shared" ref="L831:L894" si="81">IF(J831="","",J831-IF(K831="",0,K831))</f>
        <v/>
      </c>
      <c r="M831" s="12"/>
      <c r="N831" s="12"/>
      <c r="O831" s="11" t="str">
        <f t="shared" ref="O831:O894" si="82">IF(L831="","",L831-IF(M831="",0,M831)-IF(N831="",0,N831))</f>
        <v/>
      </c>
      <c r="P831" s="10" t="str">
        <f t="shared" ref="P831:P894" si="83">IF(D831="","",IF(MONTH(D831)&gt;=8,YEAR(D831)&amp;"-"&amp;RIGHT(YEAR(D831)+1,2),YEAR(D831)-1&amp;"-"&amp;RIGHT(YEAR(D831),2)))</f>
        <v/>
      </c>
    </row>
    <row r="832" spans="1:16" ht="15" customHeight="1" x14ac:dyDescent="0.2">
      <c r="A832" s="8"/>
      <c r="B832" s="8"/>
      <c r="C832" s="8"/>
      <c r="D832" s="9"/>
      <c r="E832" s="9"/>
      <c r="F832" s="8"/>
      <c r="G832" s="10" t="str">
        <f t="shared" si="78"/>
        <v/>
      </c>
      <c r="H832" s="10" t="str">
        <f t="shared" si="79"/>
        <v/>
      </c>
      <c r="I832" s="11" t="str">
        <f>IF(B832="Recreation",IFERROR(INDEX(RecPricing!$E$5:$E$10,MATCH(IF(C832="Mixed","External",IF(C832="Unknown","UoB",C832))&amp;"|"&amp;IF(F832&lt;=24,"&lt;=24",IF(F832&lt;=32,"&lt;=32","Above32")),RecPricing!$F$5:$F$10,0)),""),IFERROR(INDEX(Reference!$E$5:$E$12,MATCH(B832&amp;"|"&amp;IF(C832="Mixed","External",IF(C832="Unknown","UoB",C832))&amp;"|"&amp;IF(F832&lt;=32,"32","40"),Reference!$D$5:$D$12,0)),""))</f>
        <v/>
      </c>
      <c r="J832" s="11" t="str">
        <f t="shared" si="80"/>
        <v/>
      </c>
      <c r="K832" s="12"/>
      <c r="L832" s="11" t="str">
        <f t="shared" si="81"/>
        <v/>
      </c>
      <c r="M832" s="12"/>
      <c r="N832" s="12"/>
      <c r="O832" s="11" t="str">
        <f t="shared" si="82"/>
        <v/>
      </c>
      <c r="P832" s="10" t="str">
        <f t="shared" si="83"/>
        <v/>
      </c>
    </row>
    <row r="833" spans="1:16" ht="15" customHeight="1" x14ac:dyDescent="0.2">
      <c r="A833" s="8"/>
      <c r="B833" s="8"/>
      <c r="C833" s="8"/>
      <c r="D833" s="9"/>
      <c r="E833" s="9"/>
      <c r="F833" s="8"/>
      <c r="G833" s="10" t="str">
        <f t="shared" si="78"/>
        <v/>
      </c>
      <c r="H833" s="10" t="str">
        <f t="shared" si="79"/>
        <v/>
      </c>
      <c r="I833" s="11" t="str">
        <f>IF(B833="Recreation",IFERROR(INDEX(RecPricing!$E$5:$E$10,MATCH(IF(C833="Mixed","External",IF(C833="Unknown","UoB",C833))&amp;"|"&amp;IF(F833&lt;=24,"&lt;=24",IF(F833&lt;=32,"&lt;=32","Above32")),RecPricing!$F$5:$F$10,0)),""),IFERROR(INDEX(Reference!$E$5:$E$12,MATCH(B833&amp;"|"&amp;IF(C833="Mixed","External",IF(C833="Unknown","UoB",C833))&amp;"|"&amp;IF(F833&lt;=32,"32","40"),Reference!$D$5:$D$12,0)),""))</f>
        <v/>
      </c>
      <c r="J833" s="11" t="str">
        <f t="shared" si="80"/>
        <v/>
      </c>
      <c r="K833" s="12"/>
      <c r="L833" s="11" t="str">
        <f t="shared" si="81"/>
        <v/>
      </c>
      <c r="M833" s="12"/>
      <c r="N833" s="12"/>
      <c r="O833" s="11" t="str">
        <f t="shared" si="82"/>
        <v/>
      </c>
      <c r="P833" s="10" t="str">
        <f t="shared" si="83"/>
        <v/>
      </c>
    </row>
    <row r="834" spans="1:16" ht="15" customHeight="1" x14ac:dyDescent="0.2">
      <c r="A834" s="8"/>
      <c r="B834" s="8"/>
      <c r="C834" s="8"/>
      <c r="D834" s="9"/>
      <c r="E834" s="9"/>
      <c r="F834" s="8"/>
      <c r="G834" s="10" t="str">
        <f t="shared" si="78"/>
        <v/>
      </c>
      <c r="H834" s="10" t="str">
        <f t="shared" si="79"/>
        <v/>
      </c>
      <c r="I834" s="11" t="str">
        <f>IF(B834="Recreation",IFERROR(INDEX(RecPricing!$E$5:$E$10,MATCH(IF(C834="Mixed","External",IF(C834="Unknown","UoB",C834))&amp;"|"&amp;IF(F834&lt;=24,"&lt;=24",IF(F834&lt;=32,"&lt;=32","Above32")),RecPricing!$F$5:$F$10,0)),""),IFERROR(INDEX(Reference!$E$5:$E$12,MATCH(B834&amp;"|"&amp;IF(C834="Mixed","External",IF(C834="Unknown","UoB",C834))&amp;"|"&amp;IF(F834&lt;=32,"32","40"),Reference!$D$5:$D$12,0)),""))</f>
        <v/>
      </c>
      <c r="J834" s="11" t="str">
        <f t="shared" si="80"/>
        <v/>
      </c>
      <c r="K834" s="12"/>
      <c r="L834" s="11" t="str">
        <f t="shared" si="81"/>
        <v/>
      </c>
      <c r="M834" s="12"/>
      <c r="N834" s="12"/>
      <c r="O834" s="11" t="str">
        <f t="shared" si="82"/>
        <v/>
      </c>
      <c r="P834" s="10" t="str">
        <f t="shared" si="83"/>
        <v/>
      </c>
    </row>
    <row r="835" spans="1:16" ht="15" customHeight="1" x14ac:dyDescent="0.2">
      <c r="A835" s="8"/>
      <c r="B835" s="8"/>
      <c r="C835" s="8"/>
      <c r="D835" s="9"/>
      <c r="E835" s="9"/>
      <c r="F835" s="8"/>
      <c r="G835" s="10" t="str">
        <f t="shared" si="78"/>
        <v/>
      </c>
      <c r="H835" s="10" t="str">
        <f t="shared" si="79"/>
        <v/>
      </c>
      <c r="I835" s="11" t="str">
        <f>IF(B835="Recreation",IFERROR(INDEX(RecPricing!$E$5:$E$10,MATCH(IF(C835="Mixed","External",IF(C835="Unknown","UoB",C835))&amp;"|"&amp;IF(F835&lt;=24,"&lt;=24",IF(F835&lt;=32,"&lt;=32","Above32")),RecPricing!$F$5:$F$10,0)),""),IFERROR(INDEX(Reference!$E$5:$E$12,MATCH(B835&amp;"|"&amp;IF(C835="Mixed","External",IF(C835="Unknown","UoB",C835))&amp;"|"&amp;IF(F835&lt;=32,"32","40"),Reference!$D$5:$D$12,0)),""))</f>
        <v/>
      </c>
      <c r="J835" s="11" t="str">
        <f t="shared" si="80"/>
        <v/>
      </c>
      <c r="K835" s="12"/>
      <c r="L835" s="11" t="str">
        <f t="shared" si="81"/>
        <v/>
      </c>
      <c r="M835" s="12"/>
      <c r="N835" s="12"/>
      <c r="O835" s="11" t="str">
        <f t="shared" si="82"/>
        <v/>
      </c>
      <c r="P835" s="10" t="str">
        <f t="shared" si="83"/>
        <v/>
      </c>
    </row>
    <row r="836" spans="1:16" ht="15" customHeight="1" x14ac:dyDescent="0.2">
      <c r="A836" s="8"/>
      <c r="B836" s="8"/>
      <c r="C836" s="8"/>
      <c r="D836" s="9"/>
      <c r="E836" s="9"/>
      <c r="F836" s="8"/>
      <c r="G836" s="10" t="str">
        <f t="shared" si="78"/>
        <v/>
      </c>
      <c r="H836" s="10" t="str">
        <f t="shared" si="79"/>
        <v/>
      </c>
      <c r="I836" s="11" t="str">
        <f>IF(B836="Recreation",IFERROR(INDEX(RecPricing!$E$5:$E$10,MATCH(IF(C836="Mixed","External",IF(C836="Unknown","UoB",C836))&amp;"|"&amp;IF(F836&lt;=24,"&lt;=24",IF(F836&lt;=32,"&lt;=32","Above32")),RecPricing!$F$5:$F$10,0)),""),IFERROR(INDEX(Reference!$E$5:$E$12,MATCH(B836&amp;"|"&amp;IF(C836="Mixed","External",IF(C836="Unknown","UoB",C836))&amp;"|"&amp;IF(F836&lt;=32,"32","40"),Reference!$D$5:$D$12,0)),""))</f>
        <v/>
      </c>
      <c r="J836" s="11" t="str">
        <f t="shared" si="80"/>
        <v/>
      </c>
      <c r="K836" s="12"/>
      <c r="L836" s="11" t="str">
        <f t="shared" si="81"/>
        <v/>
      </c>
      <c r="M836" s="12"/>
      <c r="N836" s="12"/>
      <c r="O836" s="11" t="str">
        <f t="shared" si="82"/>
        <v/>
      </c>
      <c r="P836" s="10" t="str">
        <f t="shared" si="83"/>
        <v/>
      </c>
    </row>
    <row r="837" spans="1:16" ht="15" customHeight="1" x14ac:dyDescent="0.2">
      <c r="A837" s="8"/>
      <c r="B837" s="8"/>
      <c r="C837" s="8"/>
      <c r="D837" s="9"/>
      <c r="E837" s="9"/>
      <c r="F837" s="8"/>
      <c r="G837" s="10" t="str">
        <f t="shared" si="78"/>
        <v/>
      </c>
      <c r="H837" s="10" t="str">
        <f t="shared" si="79"/>
        <v/>
      </c>
      <c r="I837" s="11" t="str">
        <f>IF(B837="Recreation",IFERROR(INDEX(RecPricing!$E$5:$E$10,MATCH(IF(C837="Mixed","External",IF(C837="Unknown","UoB",C837))&amp;"|"&amp;IF(F837&lt;=24,"&lt;=24",IF(F837&lt;=32,"&lt;=32","Above32")),RecPricing!$F$5:$F$10,0)),""),IFERROR(INDEX(Reference!$E$5:$E$12,MATCH(B837&amp;"|"&amp;IF(C837="Mixed","External",IF(C837="Unknown","UoB",C837))&amp;"|"&amp;IF(F837&lt;=32,"32","40"),Reference!$D$5:$D$12,0)),""))</f>
        <v/>
      </c>
      <c r="J837" s="11" t="str">
        <f t="shared" si="80"/>
        <v/>
      </c>
      <c r="K837" s="12"/>
      <c r="L837" s="11" t="str">
        <f t="shared" si="81"/>
        <v/>
      </c>
      <c r="M837" s="12"/>
      <c r="N837" s="12"/>
      <c r="O837" s="11" t="str">
        <f t="shared" si="82"/>
        <v/>
      </c>
      <c r="P837" s="10" t="str">
        <f t="shared" si="83"/>
        <v/>
      </c>
    </row>
    <row r="838" spans="1:16" ht="15" customHeight="1" x14ac:dyDescent="0.2">
      <c r="A838" s="8"/>
      <c r="B838" s="8"/>
      <c r="C838" s="8"/>
      <c r="D838" s="9"/>
      <c r="E838" s="9"/>
      <c r="F838" s="8"/>
      <c r="G838" s="10" t="str">
        <f t="shared" si="78"/>
        <v/>
      </c>
      <c r="H838" s="10" t="str">
        <f t="shared" si="79"/>
        <v/>
      </c>
      <c r="I838" s="11" t="str">
        <f>IF(B838="Recreation",IFERROR(INDEX(RecPricing!$E$5:$E$10,MATCH(IF(C838="Mixed","External",IF(C838="Unknown","UoB",C838))&amp;"|"&amp;IF(F838&lt;=24,"&lt;=24",IF(F838&lt;=32,"&lt;=32","Above32")),RecPricing!$F$5:$F$10,0)),""),IFERROR(INDEX(Reference!$E$5:$E$12,MATCH(B838&amp;"|"&amp;IF(C838="Mixed","External",IF(C838="Unknown","UoB",C838))&amp;"|"&amp;IF(F838&lt;=32,"32","40"),Reference!$D$5:$D$12,0)),""))</f>
        <v/>
      </c>
      <c r="J838" s="11" t="str">
        <f t="shared" si="80"/>
        <v/>
      </c>
      <c r="K838" s="12"/>
      <c r="L838" s="11" t="str">
        <f t="shared" si="81"/>
        <v/>
      </c>
      <c r="M838" s="12"/>
      <c r="N838" s="12"/>
      <c r="O838" s="11" t="str">
        <f t="shared" si="82"/>
        <v/>
      </c>
      <c r="P838" s="10" t="str">
        <f t="shared" si="83"/>
        <v/>
      </c>
    </row>
    <row r="839" spans="1:16" ht="15" customHeight="1" x14ac:dyDescent="0.2">
      <c r="A839" s="8"/>
      <c r="B839" s="8"/>
      <c r="C839" s="8"/>
      <c r="D839" s="9"/>
      <c r="E839" s="9"/>
      <c r="F839" s="8"/>
      <c r="G839" s="10" t="str">
        <f t="shared" si="78"/>
        <v/>
      </c>
      <c r="H839" s="10" t="str">
        <f t="shared" si="79"/>
        <v/>
      </c>
      <c r="I839" s="11" t="str">
        <f>IF(B839="Recreation",IFERROR(INDEX(RecPricing!$E$5:$E$10,MATCH(IF(C839="Mixed","External",IF(C839="Unknown","UoB",C839))&amp;"|"&amp;IF(F839&lt;=24,"&lt;=24",IF(F839&lt;=32,"&lt;=32","Above32")),RecPricing!$F$5:$F$10,0)),""),IFERROR(INDEX(Reference!$E$5:$E$12,MATCH(B839&amp;"|"&amp;IF(C839="Mixed","External",IF(C839="Unknown","UoB",C839))&amp;"|"&amp;IF(F839&lt;=32,"32","40"),Reference!$D$5:$D$12,0)),""))</f>
        <v/>
      </c>
      <c r="J839" s="11" t="str">
        <f t="shared" si="80"/>
        <v/>
      </c>
      <c r="K839" s="12"/>
      <c r="L839" s="11" t="str">
        <f t="shared" si="81"/>
        <v/>
      </c>
      <c r="M839" s="12"/>
      <c r="N839" s="12"/>
      <c r="O839" s="11" t="str">
        <f t="shared" si="82"/>
        <v/>
      </c>
      <c r="P839" s="10" t="str">
        <f t="shared" si="83"/>
        <v/>
      </c>
    </row>
    <row r="840" spans="1:16" ht="15" customHeight="1" x14ac:dyDescent="0.2">
      <c r="A840" s="8"/>
      <c r="B840" s="8"/>
      <c r="C840" s="8"/>
      <c r="D840" s="9"/>
      <c r="E840" s="9"/>
      <c r="F840" s="8"/>
      <c r="G840" s="10" t="str">
        <f t="shared" si="78"/>
        <v/>
      </c>
      <c r="H840" s="10" t="str">
        <f t="shared" si="79"/>
        <v/>
      </c>
      <c r="I840" s="11" t="str">
        <f>IF(B840="Recreation",IFERROR(INDEX(RecPricing!$E$5:$E$10,MATCH(IF(C840="Mixed","External",IF(C840="Unknown","UoB",C840))&amp;"|"&amp;IF(F840&lt;=24,"&lt;=24",IF(F840&lt;=32,"&lt;=32","Above32")),RecPricing!$F$5:$F$10,0)),""),IFERROR(INDEX(Reference!$E$5:$E$12,MATCH(B840&amp;"|"&amp;IF(C840="Mixed","External",IF(C840="Unknown","UoB",C840))&amp;"|"&amp;IF(F840&lt;=32,"32","40"),Reference!$D$5:$D$12,0)),""))</f>
        <v/>
      </c>
      <c r="J840" s="11" t="str">
        <f t="shared" si="80"/>
        <v/>
      </c>
      <c r="K840" s="12"/>
      <c r="L840" s="11" t="str">
        <f t="shared" si="81"/>
        <v/>
      </c>
      <c r="M840" s="12"/>
      <c r="N840" s="12"/>
      <c r="O840" s="11" t="str">
        <f t="shared" si="82"/>
        <v/>
      </c>
      <c r="P840" s="10" t="str">
        <f t="shared" si="83"/>
        <v/>
      </c>
    </row>
    <row r="841" spans="1:16" ht="15" customHeight="1" x14ac:dyDescent="0.2">
      <c r="A841" s="8"/>
      <c r="B841" s="8"/>
      <c r="C841" s="8"/>
      <c r="D841" s="9"/>
      <c r="E841" s="9"/>
      <c r="F841" s="8"/>
      <c r="G841" s="10" t="str">
        <f t="shared" si="78"/>
        <v/>
      </c>
      <c r="H841" s="10" t="str">
        <f t="shared" si="79"/>
        <v/>
      </c>
      <c r="I841" s="11" t="str">
        <f>IF(B841="Recreation",IFERROR(INDEX(RecPricing!$E$5:$E$10,MATCH(IF(C841="Mixed","External",IF(C841="Unknown","UoB",C841))&amp;"|"&amp;IF(F841&lt;=24,"&lt;=24",IF(F841&lt;=32,"&lt;=32","Above32")),RecPricing!$F$5:$F$10,0)),""),IFERROR(INDEX(Reference!$E$5:$E$12,MATCH(B841&amp;"|"&amp;IF(C841="Mixed","External",IF(C841="Unknown","UoB",C841))&amp;"|"&amp;IF(F841&lt;=32,"32","40"),Reference!$D$5:$D$12,0)),""))</f>
        <v/>
      </c>
      <c r="J841" s="11" t="str">
        <f t="shared" si="80"/>
        <v/>
      </c>
      <c r="K841" s="12"/>
      <c r="L841" s="11" t="str">
        <f t="shared" si="81"/>
        <v/>
      </c>
      <c r="M841" s="12"/>
      <c r="N841" s="12"/>
      <c r="O841" s="11" t="str">
        <f t="shared" si="82"/>
        <v/>
      </c>
      <c r="P841" s="10" t="str">
        <f t="shared" si="83"/>
        <v/>
      </c>
    </row>
    <row r="842" spans="1:16" ht="15" customHeight="1" x14ac:dyDescent="0.2">
      <c r="A842" s="8"/>
      <c r="B842" s="8"/>
      <c r="C842" s="8"/>
      <c r="D842" s="9"/>
      <c r="E842" s="9"/>
      <c r="F842" s="8"/>
      <c r="G842" s="10" t="str">
        <f t="shared" si="78"/>
        <v/>
      </c>
      <c r="H842" s="10" t="str">
        <f t="shared" si="79"/>
        <v/>
      </c>
      <c r="I842" s="11" t="str">
        <f>IF(B842="Recreation",IFERROR(INDEX(RecPricing!$E$5:$E$10,MATCH(IF(C842="Mixed","External",IF(C842="Unknown","UoB",C842))&amp;"|"&amp;IF(F842&lt;=24,"&lt;=24",IF(F842&lt;=32,"&lt;=32","Above32")),RecPricing!$F$5:$F$10,0)),""),IFERROR(INDEX(Reference!$E$5:$E$12,MATCH(B842&amp;"|"&amp;IF(C842="Mixed","External",IF(C842="Unknown","UoB",C842))&amp;"|"&amp;IF(F842&lt;=32,"32","40"),Reference!$D$5:$D$12,0)),""))</f>
        <v/>
      </c>
      <c r="J842" s="11" t="str">
        <f t="shared" si="80"/>
        <v/>
      </c>
      <c r="K842" s="12"/>
      <c r="L842" s="11" t="str">
        <f t="shared" si="81"/>
        <v/>
      </c>
      <c r="M842" s="12"/>
      <c r="N842" s="12"/>
      <c r="O842" s="11" t="str">
        <f t="shared" si="82"/>
        <v/>
      </c>
      <c r="P842" s="10" t="str">
        <f t="shared" si="83"/>
        <v/>
      </c>
    </row>
    <row r="843" spans="1:16" ht="15" customHeight="1" x14ac:dyDescent="0.2">
      <c r="A843" s="8"/>
      <c r="B843" s="8"/>
      <c r="C843" s="8"/>
      <c r="D843" s="9"/>
      <c r="E843" s="9"/>
      <c r="F843" s="8"/>
      <c r="G843" s="10" t="str">
        <f t="shared" si="78"/>
        <v/>
      </c>
      <c r="H843" s="10" t="str">
        <f t="shared" si="79"/>
        <v/>
      </c>
      <c r="I843" s="11" t="str">
        <f>IF(B843="Recreation",IFERROR(INDEX(RecPricing!$E$5:$E$10,MATCH(IF(C843="Mixed","External",IF(C843="Unknown","UoB",C843))&amp;"|"&amp;IF(F843&lt;=24,"&lt;=24",IF(F843&lt;=32,"&lt;=32","Above32")),RecPricing!$F$5:$F$10,0)),""),IFERROR(INDEX(Reference!$E$5:$E$12,MATCH(B843&amp;"|"&amp;IF(C843="Mixed","External",IF(C843="Unknown","UoB",C843))&amp;"|"&amp;IF(F843&lt;=32,"32","40"),Reference!$D$5:$D$12,0)),""))</f>
        <v/>
      </c>
      <c r="J843" s="11" t="str">
        <f t="shared" si="80"/>
        <v/>
      </c>
      <c r="K843" s="12"/>
      <c r="L843" s="11" t="str">
        <f t="shared" si="81"/>
        <v/>
      </c>
      <c r="M843" s="12"/>
      <c r="N843" s="12"/>
      <c r="O843" s="11" t="str">
        <f t="shared" si="82"/>
        <v/>
      </c>
      <c r="P843" s="10" t="str">
        <f t="shared" si="83"/>
        <v/>
      </c>
    </row>
    <row r="844" spans="1:16" ht="15" customHeight="1" x14ac:dyDescent="0.2">
      <c r="A844" s="8"/>
      <c r="B844" s="8"/>
      <c r="C844" s="8"/>
      <c r="D844" s="9"/>
      <c r="E844" s="9"/>
      <c r="F844" s="8"/>
      <c r="G844" s="10" t="str">
        <f t="shared" si="78"/>
        <v/>
      </c>
      <c r="H844" s="10" t="str">
        <f t="shared" si="79"/>
        <v/>
      </c>
      <c r="I844" s="11" t="str">
        <f>IF(B844="Recreation",IFERROR(INDEX(RecPricing!$E$5:$E$10,MATCH(IF(C844="Mixed","External",IF(C844="Unknown","UoB",C844))&amp;"|"&amp;IF(F844&lt;=24,"&lt;=24",IF(F844&lt;=32,"&lt;=32","Above32")),RecPricing!$F$5:$F$10,0)),""),IFERROR(INDEX(Reference!$E$5:$E$12,MATCH(B844&amp;"|"&amp;IF(C844="Mixed","External",IF(C844="Unknown","UoB",C844))&amp;"|"&amp;IF(F844&lt;=32,"32","40"),Reference!$D$5:$D$12,0)),""))</f>
        <v/>
      </c>
      <c r="J844" s="11" t="str">
        <f t="shared" si="80"/>
        <v/>
      </c>
      <c r="K844" s="12"/>
      <c r="L844" s="11" t="str">
        <f t="shared" si="81"/>
        <v/>
      </c>
      <c r="M844" s="12"/>
      <c r="N844" s="12"/>
      <c r="O844" s="11" t="str">
        <f t="shared" si="82"/>
        <v/>
      </c>
      <c r="P844" s="10" t="str">
        <f t="shared" si="83"/>
        <v/>
      </c>
    </row>
    <row r="845" spans="1:16" ht="15" customHeight="1" x14ac:dyDescent="0.2">
      <c r="A845" s="8"/>
      <c r="B845" s="8"/>
      <c r="C845" s="8"/>
      <c r="D845" s="9"/>
      <c r="E845" s="9"/>
      <c r="F845" s="8"/>
      <c r="G845" s="10" t="str">
        <f t="shared" si="78"/>
        <v/>
      </c>
      <c r="H845" s="10" t="str">
        <f t="shared" si="79"/>
        <v/>
      </c>
      <c r="I845" s="11" t="str">
        <f>IF(B845="Recreation",IFERROR(INDEX(RecPricing!$E$5:$E$10,MATCH(IF(C845="Mixed","External",IF(C845="Unknown","UoB",C845))&amp;"|"&amp;IF(F845&lt;=24,"&lt;=24",IF(F845&lt;=32,"&lt;=32","Above32")),RecPricing!$F$5:$F$10,0)),""),IFERROR(INDEX(Reference!$E$5:$E$12,MATCH(B845&amp;"|"&amp;IF(C845="Mixed","External",IF(C845="Unknown","UoB",C845))&amp;"|"&amp;IF(F845&lt;=32,"32","40"),Reference!$D$5:$D$12,0)),""))</f>
        <v/>
      </c>
      <c r="J845" s="11" t="str">
        <f t="shared" si="80"/>
        <v/>
      </c>
      <c r="K845" s="12"/>
      <c r="L845" s="11" t="str">
        <f t="shared" si="81"/>
        <v/>
      </c>
      <c r="M845" s="12"/>
      <c r="N845" s="12"/>
      <c r="O845" s="11" t="str">
        <f t="shared" si="82"/>
        <v/>
      </c>
      <c r="P845" s="10" t="str">
        <f t="shared" si="83"/>
        <v/>
      </c>
    </row>
    <row r="846" spans="1:16" ht="15" customHeight="1" x14ac:dyDescent="0.2">
      <c r="A846" s="8"/>
      <c r="B846" s="8"/>
      <c r="C846" s="8"/>
      <c r="D846" s="9"/>
      <c r="E846" s="9"/>
      <c r="F846" s="8"/>
      <c r="G846" s="10" t="str">
        <f t="shared" si="78"/>
        <v/>
      </c>
      <c r="H846" s="10" t="str">
        <f t="shared" si="79"/>
        <v/>
      </c>
      <c r="I846" s="11" t="str">
        <f>IF(B846="Recreation",IFERROR(INDEX(RecPricing!$E$5:$E$10,MATCH(IF(C846="Mixed","External",IF(C846="Unknown","UoB",C846))&amp;"|"&amp;IF(F846&lt;=24,"&lt;=24",IF(F846&lt;=32,"&lt;=32","Above32")),RecPricing!$F$5:$F$10,0)),""),IFERROR(INDEX(Reference!$E$5:$E$12,MATCH(B846&amp;"|"&amp;IF(C846="Mixed","External",IF(C846="Unknown","UoB",C846))&amp;"|"&amp;IF(F846&lt;=32,"32","40"),Reference!$D$5:$D$12,0)),""))</f>
        <v/>
      </c>
      <c r="J846" s="11" t="str">
        <f t="shared" si="80"/>
        <v/>
      </c>
      <c r="K846" s="12"/>
      <c r="L846" s="11" t="str">
        <f t="shared" si="81"/>
        <v/>
      </c>
      <c r="M846" s="12"/>
      <c r="N846" s="12"/>
      <c r="O846" s="11" t="str">
        <f t="shared" si="82"/>
        <v/>
      </c>
      <c r="P846" s="10" t="str">
        <f t="shared" si="83"/>
        <v/>
      </c>
    </row>
    <row r="847" spans="1:16" ht="15" customHeight="1" x14ac:dyDescent="0.2">
      <c r="A847" s="8"/>
      <c r="B847" s="8"/>
      <c r="C847" s="8"/>
      <c r="D847" s="9"/>
      <c r="E847" s="9"/>
      <c r="F847" s="8"/>
      <c r="G847" s="10" t="str">
        <f t="shared" si="78"/>
        <v/>
      </c>
      <c r="H847" s="10" t="str">
        <f t="shared" si="79"/>
        <v/>
      </c>
      <c r="I847" s="11" t="str">
        <f>IF(B847="Recreation",IFERROR(INDEX(RecPricing!$E$5:$E$10,MATCH(IF(C847="Mixed","External",IF(C847="Unknown","UoB",C847))&amp;"|"&amp;IF(F847&lt;=24,"&lt;=24",IF(F847&lt;=32,"&lt;=32","Above32")),RecPricing!$F$5:$F$10,0)),""),IFERROR(INDEX(Reference!$E$5:$E$12,MATCH(B847&amp;"|"&amp;IF(C847="Mixed","External",IF(C847="Unknown","UoB",C847))&amp;"|"&amp;IF(F847&lt;=32,"32","40"),Reference!$D$5:$D$12,0)),""))</f>
        <v/>
      </c>
      <c r="J847" s="11" t="str">
        <f t="shared" si="80"/>
        <v/>
      </c>
      <c r="K847" s="12"/>
      <c r="L847" s="11" t="str">
        <f t="shared" si="81"/>
        <v/>
      </c>
      <c r="M847" s="12"/>
      <c r="N847" s="12"/>
      <c r="O847" s="11" t="str">
        <f t="shared" si="82"/>
        <v/>
      </c>
      <c r="P847" s="10" t="str">
        <f t="shared" si="83"/>
        <v/>
      </c>
    </row>
    <row r="848" spans="1:16" ht="15" customHeight="1" x14ac:dyDescent="0.2">
      <c r="A848" s="8"/>
      <c r="B848" s="8"/>
      <c r="C848" s="8"/>
      <c r="D848" s="9"/>
      <c r="E848" s="9"/>
      <c r="F848" s="8"/>
      <c r="G848" s="10" t="str">
        <f t="shared" si="78"/>
        <v/>
      </c>
      <c r="H848" s="10" t="str">
        <f t="shared" si="79"/>
        <v/>
      </c>
      <c r="I848" s="11" t="str">
        <f>IF(B848="Recreation",IFERROR(INDEX(RecPricing!$E$5:$E$10,MATCH(IF(C848="Mixed","External",IF(C848="Unknown","UoB",C848))&amp;"|"&amp;IF(F848&lt;=24,"&lt;=24",IF(F848&lt;=32,"&lt;=32","Above32")),RecPricing!$F$5:$F$10,0)),""),IFERROR(INDEX(Reference!$E$5:$E$12,MATCH(B848&amp;"|"&amp;IF(C848="Mixed","External",IF(C848="Unknown","UoB",C848))&amp;"|"&amp;IF(F848&lt;=32,"32","40"),Reference!$D$5:$D$12,0)),""))</f>
        <v/>
      </c>
      <c r="J848" s="11" t="str">
        <f t="shared" si="80"/>
        <v/>
      </c>
      <c r="K848" s="12"/>
      <c r="L848" s="11" t="str">
        <f t="shared" si="81"/>
        <v/>
      </c>
      <c r="M848" s="12"/>
      <c r="N848" s="12"/>
      <c r="O848" s="11" t="str">
        <f t="shared" si="82"/>
        <v/>
      </c>
      <c r="P848" s="10" t="str">
        <f t="shared" si="83"/>
        <v/>
      </c>
    </row>
    <row r="849" spans="1:16" ht="15" customHeight="1" x14ac:dyDescent="0.2">
      <c r="A849" s="8"/>
      <c r="B849" s="8"/>
      <c r="C849" s="8"/>
      <c r="D849" s="9"/>
      <c r="E849" s="9"/>
      <c r="F849" s="8"/>
      <c r="G849" s="10" t="str">
        <f t="shared" si="78"/>
        <v/>
      </c>
      <c r="H849" s="10" t="str">
        <f t="shared" si="79"/>
        <v/>
      </c>
      <c r="I849" s="11" t="str">
        <f>IF(B849="Recreation",IFERROR(INDEX(RecPricing!$E$5:$E$10,MATCH(IF(C849="Mixed","External",IF(C849="Unknown","UoB",C849))&amp;"|"&amp;IF(F849&lt;=24,"&lt;=24",IF(F849&lt;=32,"&lt;=32","Above32")),RecPricing!$F$5:$F$10,0)),""),IFERROR(INDEX(Reference!$E$5:$E$12,MATCH(B849&amp;"|"&amp;IF(C849="Mixed","External",IF(C849="Unknown","UoB",C849))&amp;"|"&amp;IF(F849&lt;=32,"32","40"),Reference!$D$5:$D$12,0)),""))</f>
        <v/>
      </c>
      <c r="J849" s="11" t="str">
        <f t="shared" si="80"/>
        <v/>
      </c>
      <c r="K849" s="12"/>
      <c r="L849" s="11" t="str">
        <f t="shared" si="81"/>
        <v/>
      </c>
      <c r="M849" s="12"/>
      <c r="N849" s="12"/>
      <c r="O849" s="11" t="str">
        <f t="shared" si="82"/>
        <v/>
      </c>
      <c r="P849" s="10" t="str">
        <f t="shared" si="83"/>
        <v/>
      </c>
    </row>
    <row r="850" spans="1:16" ht="15" customHeight="1" x14ac:dyDescent="0.2">
      <c r="A850" s="8"/>
      <c r="B850" s="8"/>
      <c r="C850" s="8"/>
      <c r="D850" s="9"/>
      <c r="E850" s="9"/>
      <c r="F850" s="8"/>
      <c r="G850" s="10" t="str">
        <f t="shared" si="78"/>
        <v/>
      </c>
      <c r="H850" s="10" t="str">
        <f t="shared" si="79"/>
        <v/>
      </c>
      <c r="I850" s="11" t="str">
        <f>IF(B850="Recreation",IFERROR(INDEX(RecPricing!$E$5:$E$10,MATCH(IF(C850="Mixed","External",IF(C850="Unknown","UoB",C850))&amp;"|"&amp;IF(F850&lt;=24,"&lt;=24",IF(F850&lt;=32,"&lt;=32","Above32")),RecPricing!$F$5:$F$10,0)),""),IFERROR(INDEX(Reference!$E$5:$E$12,MATCH(B850&amp;"|"&amp;IF(C850="Mixed","External",IF(C850="Unknown","UoB",C850))&amp;"|"&amp;IF(F850&lt;=32,"32","40"),Reference!$D$5:$D$12,0)),""))</f>
        <v/>
      </c>
      <c r="J850" s="11" t="str">
        <f t="shared" si="80"/>
        <v/>
      </c>
      <c r="K850" s="12"/>
      <c r="L850" s="11" t="str">
        <f t="shared" si="81"/>
        <v/>
      </c>
      <c r="M850" s="12"/>
      <c r="N850" s="12"/>
      <c r="O850" s="11" t="str">
        <f t="shared" si="82"/>
        <v/>
      </c>
      <c r="P850" s="10" t="str">
        <f t="shared" si="83"/>
        <v/>
      </c>
    </row>
    <row r="851" spans="1:16" ht="15" customHeight="1" x14ac:dyDescent="0.2">
      <c r="A851" s="8"/>
      <c r="B851" s="8"/>
      <c r="C851" s="8"/>
      <c r="D851" s="9"/>
      <c r="E851" s="9"/>
      <c r="F851" s="8"/>
      <c r="G851" s="10" t="str">
        <f t="shared" si="78"/>
        <v/>
      </c>
      <c r="H851" s="10" t="str">
        <f t="shared" si="79"/>
        <v/>
      </c>
      <c r="I851" s="11" t="str">
        <f>IF(B851="Recreation",IFERROR(INDEX(RecPricing!$E$5:$E$10,MATCH(IF(C851="Mixed","External",IF(C851="Unknown","UoB",C851))&amp;"|"&amp;IF(F851&lt;=24,"&lt;=24",IF(F851&lt;=32,"&lt;=32","Above32")),RecPricing!$F$5:$F$10,0)),""),IFERROR(INDEX(Reference!$E$5:$E$12,MATCH(B851&amp;"|"&amp;IF(C851="Mixed","External",IF(C851="Unknown","UoB",C851))&amp;"|"&amp;IF(F851&lt;=32,"32","40"),Reference!$D$5:$D$12,0)),""))</f>
        <v/>
      </c>
      <c r="J851" s="11" t="str">
        <f t="shared" si="80"/>
        <v/>
      </c>
      <c r="K851" s="12"/>
      <c r="L851" s="11" t="str">
        <f t="shared" si="81"/>
        <v/>
      </c>
      <c r="M851" s="12"/>
      <c r="N851" s="12"/>
      <c r="O851" s="11" t="str">
        <f t="shared" si="82"/>
        <v/>
      </c>
      <c r="P851" s="10" t="str">
        <f t="shared" si="83"/>
        <v/>
      </c>
    </row>
    <row r="852" spans="1:16" ht="15" customHeight="1" x14ac:dyDescent="0.2">
      <c r="A852" s="8"/>
      <c r="B852" s="8"/>
      <c r="C852" s="8"/>
      <c r="D852" s="9"/>
      <c r="E852" s="9"/>
      <c r="F852" s="8"/>
      <c r="G852" s="10" t="str">
        <f t="shared" si="78"/>
        <v/>
      </c>
      <c r="H852" s="10" t="str">
        <f t="shared" si="79"/>
        <v/>
      </c>
      <c r="I852" s="11" t="str">
        <f>IF(B852="Recreation",IFERROR(INDEX(RecPricing!$E$5:$E$10,MATCH(IF(C852="Mixed","External",IF(C852="Unknown","UoB",C852))&amp;"|"&amp;IF(F852&lt;=24,"&lt;=24",IF(F852&lt;=32,"&lt;=32","Above32")),RecPricing!$F$5:$F$10,0)),""),IFERROR(INDEX(Reference!$E$5:$E$12,MATCH(B852&amp;"|"&amp;IF(C852="Mixed","External",IF(C852="Unknown","UoB",C852))&amp;"|"&amp;IF(F852&lt;=32,"32","40"),Reference!$D$5:$D$12,0)),""))</f>
        <v/>
      </c>
      <c r="J852" s="11" t="str">
        <f t="shared" si="80"/>
        <v/>
      </c>
      <c r="K852" s="12"/>
      <c r="L852" s="11" t="str">
        <f t="shared" si="81"/>
        <v/>
      </c>
      <c r="M852" s="12"/>
      <c r="N852" s="12"/>
      <c r="O852" s="11" t="str">
        <f t="shared" si="82"/>
        <v/>
      </c>
      <c r="P852" s="10" t="str">
        <f t="shared" si="83"/>
        <v/>
      </c>
    </row>
    <row r="853" spans="1:16" ht="15" customHeight="1" x14ac:dyDescent="0.2">
      <c r="A853" s="8"/>
      <c r="B853" s="8"/>
      <c r="C853" s="8"/>
      <c r="D853" s="9"/>
      <c r="E853" s="9"/>
      <c r="F853" s="8"/>
      <c r="G853" s="10" t="str">
        <f t="shared" si="78"/>
        <v/>
      </c>
      <c r="H853" s="10" t="str">
        <f t="shared" si="79"/>
        <v/>
      </c>
      <c r="I853" s="11" t="str">
        <f>IF(B853="Recreation",IFERROR(INDEX(RecPricing!$E$5:$E$10,MATCH(IF(C853="Mixed","External",IF(C853="Unknown","UoB",C853))&amp;"|"&amp;IF(F853&lt;=24,"&lt;=24",IF(F853&lt;=32,"&lt;=32","Above32")),RecPricing!$F$5:$F$10,0)),""),IFERROR(INDEX(Reference!$E$5:$E$12,MATCH(B853&amp;"|"&amp;IF(C853="Mixed","External",IF(C853="Unknown","UoB",C853))&amp;"|"&amp;IF(F853&lt;=32,"32","40"),Reference!$D$5:$D$12,0)),""))</f>
        <v/>
      </c>
      <c r="J853" s="11" t="str">
        <f t="shared" si="80"/>
        <v/>
      </c>
      <c r="K853" s="12"/>
      <c r="L853" s="11" t="str">
        <f t="shared" si="81"/>
        <v/>
      </c>
      <c r="M853" s="12"/>
      <c r="N853" s="12"/>
      <c r="O853" s="11" t="str">
        <f t="shared" si="82"/>
        <v/>
      </c>
      <c r="P853" s="10" t="str">
        <f t="shared" si="83"/>
        <v/>
      </c>
    </row>
    <row r="854" spans="1:16" ht="15" customHeight="1" x14ac:dyDescent="0.2">
      <c r="A854" s="8"/>
      <c r="B854" s="8"/>
      <c r="C854" s="8"/>
      <c r="D854" s="9"/>
      <c r="E854" s="9"/>
      <c r="F854" s="8"/>
      <c r="G854" s="10" t="str">
        <f t="shared" si="78"/>
        <v/>
      </c>
      <c r="H854" s="10" t="str">
        <f t="shared" si="79"/>
        <v/>
      </c>
      <c r="I854" s="11" t="str">
        <f>IF(B854="Recreation",IFERROR(INDEX(RecPricing!$E$5:$E$10,MATCH(IF(C854="Mixed","External",IF(C854="Unknown","UoB",C854))&amp;"|"&amp;IF(F854&lt;=24,"&lt;=24",IF(F854&lt;=32,"&lt;=32","Above32")),RecPricing!$F$5:$F$10,0)),""),IFERROR(INDEX(Reference!$E$5:$E$12,MATCH(B854&amp;"|"&amp;IF(C854="Mixed","External",IF(C854="Unknown","UoB",C854))&amp;"|"&amp;IF(F854&lt;=32,"32","40"),Reference!$D$5:$D$12,0)),""))</f>
        <v/>
      </c>
      <c r="J854" s="11" t="str">
        <f t="shared" si="80"/>
        <v/>
      </c>
      <c r="K854" s="12"/>
      <c r="L854" s="11" t="str">
        <f t="shared" si="81"/>
        <v/>
      </c>
      <c r="M854" s="12"/>
      <c r="N854" s="12"/>
      <c r="O854" s="11" t="str">
        <f t="shared" si="82"/>
        <v/>
      </c>
      <c r="P854" s="10" t="str">
        <f t="shared" si="83"/>
        <v/>
      </c>
    </row>
    <row r="855" spans="1:16" ht="15" customHeight="1" x14ac:dyDescent="0.2">
      <c r="A855" s="8"/>
      <c r="B855" s="8"/>
      <c r="C855" s="8"/>
      <c r="D855" s="9"/>
      <c r="E855" s="9"/>
      <c r="F855" s="8"/>
      <c r="G855" s="10" t="str">
        <f t="shared" si="78"/>
        <v/>
      </c>
      <c r="H855" s="10" t="str">
        <f t="shared" si="79"/>
        <v/>
      </c>
      <c r="I855" s="11" t="str">
        <f>IF(B855="Recreation",IFERROR(INDEX(RecPricing!$E$5:$E$10,MATCH(IF(C855="Mixed","External",IF(C855="Unknown","UoB",C855))&amp;"|"&amp;IF(F855&lt;=24,"&lt;=24",IF(F855&lt;=32,"&lt;=32","Above32")),RecPricing!$F$5:$F$10,0)),""),IFERROR(INDEX(Reference!$E$5:$E$12,MATCH(B855&amp;"|"&amp;IF(C855="Mixed","External",IF(C855="Unknown","UoB",C855))&amp;"|"&amp;IF(F855&lt;=32,"32","40"),Reference!$D$5:$D$12,0)),""))</f>
        <v/>
      </c>
      <c r="J855" s="11" t="str">
        <f t="shared" si="80"/>
        <v/>
      </c>
      <c r="K855" s="12"/>
      <c r="L855" s="11" t="str">
        <f t="shared" si="81"/>
        <v/>
      </c>
      <c r="M855" s="12"/>
      <c r="N855" s="12"/>
      <c r="O855" s="11" t="str">
        <f t="shared" si="82"/>
        <v/>
      </c>
      <c r="P855" s="10" t="str">
        <f t="shared" si="83"/>
        <v/>
      </c>
    </row>
    <row r="856" spans="1:16" ht="15" customHeight="1" x14ac:dyDescent="0.2">
      <c r="A856" s="8"/>
      <c r="B856" s="8"/>
      <c r="C856" s="8"/>
      <c r="D856" s="9"/>
      <c r="E856" s="9"/>
      <c r="F856" s="8"/>
      <c r="G856" s="10" t="str">
        <f t="shared" si="78"/>
        <v/>
      </c>
      <c r="H856" s="10" t="str">
        <f t="shared" si="79"/>
        <v/>
      </c>
      <c r="I856" s="11" t="str">
        <f>IF(B856="Recreation",IFERROR(INDEX(RecPricing!$E$5:$E$10,MATCH(IF(C856="Mixed","External",IF(C856="Unknown","UoB",C856))&amp;"|"&amp;IF(F856&lt;=24,"&lt;=24",IF(F856&lt;=32,"&lt;=32","Above32")),RecPricing!$F$5:$F$10,0)),""),IFERROR(INDEX(Reference!$E$5:$E$12,MATCH(B856&amp;"|"&amp;IF(C856="Mixed","External",IF(C856="Unknown","UoB",C856))&amp;"|"&amp;IF(F856&lt;=32,"32","40"),Reference!$D$5:$D$12,0)),""))</f>
        <v/>
      </c>
      <c r="J856" s="11" t="str">
        <f t="shared" si="80"/>
        <v/>
      </c>
      <c r="K856" s="12"/>
      <c r="L856" s="11" t="str">
        <f t="shared" si="81"/>
        <v/>
      </c>
      <c r="M856" s="12"/>
      <c r="N856" s="12"/>
      <c r="O856" s="11" t="str">
        <f t="shared" si="82"/>
        <v/>
      </c>
      <c r="P856" s="10" t="str">
        <f t="shared" si="83"/>
        <v/>
      </c>
    </row>
    <row r="857" spans="1:16" ht="15" customHeight="1" x14ac:dyDescent="0.2">
      <c r="A857" s="8"/>
      <c r="B857" s="8"/>
      <c r="C857" s="8"/>
      <c r="D857" s="9"/>
      <c r="E857" s="9"/>
      <c r="F857" s="8"/>
      <c r="G857" s="10" t="str">
        <f t="shared" si="78"/>
        <v/>
      </c>
      <c r="H857" s="10" t="str">
        <f t="shared" si="79"/>
        <v/>
      </c>
      <c r="I857" s="11" t="str">
        <f>IF(B857="Recreation",IFERROR(INDEX(RecPricing!$E$5:$E$10,MATCH(IF(C857="Mixed","External",IF(C857="Unknown","UoB",C857))&amp;"|"&amp;IF(F857&lt;=24,"&lt;=24",IF(F857&lt;=32,"&lt;=32","Above32")),RecPricing!$F$5:$F$10,0)),""),IFERROR(INDEX(Reference!$E$5:$E$12,MATCH(B857&amp;"|"&amp;IF(C857="Mixed","External",IF(C857="Unknown","UoB",C857))&amp;"|"&amp;IF(F857&lt;=32,"32","40"),Reference!$D$5:$D$12,0)),""))</f>
        <v/>
      </c>
      <c r="J857" s="11" t="str">
        <f t="shared" si="80"/>
        <v/>
      </c>
      <c r="K857" s="12"/>
      <c r="L857" s="11" t="str">
        <f t="shared" si="81"/>
        <v/>
      </c>
      <c r="M857" s="12"/>
      <c r="N857" s="12"/>
      <c r="O857" s="11" t="str">
        <f t="shared" si="82"/>
        <v/>
      </c>
      <c r="P857" s="10" t="str">
        <f t="shared" si="83"/>
        <v/>
      </c>
    </row>
    <row r="858" spans="1:16" ht="15" customHeight="1" x14ac:dyDescent="0.2">
      <c r="A858" s="8"/>
      <c r="B858" s="8"/>
      <c r="C858" s="8"/>
      <c r="D858" s="9"/>
      <c r="E858" s="9"/>
      <c r="F858" s="8"/>
      <c r="G858" s="10" t="str">
        <f t="shared" si="78"/>
        <v/>
      </c>
      <c r="H858" s="10" t="str">
        <f t="shared" si="79"/>
        <v/>
      </c>
      <c r="I858" s="11" t="str">
        <f>IF(B858="Recreation",IFERROR(INDEX(RecPricing!$E$5:$E$10,MATCH(IF(C858="Mixed","External",IF(C858="Unknown","UoB",C858))&amp;"|"&amp;IF(F858&lt;=24,"&lt;=24",IF(F858&lt;=32,"&lt;=32","Above32")),RecPricing!$F$5:$F$10,0)),""),IFERROR(INDEX(Reference!$E$5:$E$12,MATCH(B858&amp;"|"&amp;IF(C858="Mixed","External",IF(C858="Unknown","UoB",C858))&amp;"|"&amp;IF(F858&lt;=32,"32","40"),Reference!$D$5:$D$12,0)),""))</f>
        <v/>
      </c>
      <c r="J858" s="11" t="str">
        <f t="shared" si="80"/>
        <v/>
      </c>
      <c r="K858" s="12"/>
      <c r="L858" s="11" t="str">
        <f t="shared" si="81"/>
        <v/>
      </c>
      <c r="M858" s="12"/>
      <c r="N858" s="12"/>
      <c r="O858" s="11" t="str">
        <f t="shared" si="82"/>
        <v/>
      </c>
      <c r="P858" s="10" t="str">
        <f t="shared" si="83"/>
        <v/>
      </c>
    </row>
    <row r="859" spans="1:16" ht="15" customHeight="1" x14ac:dyDescent="0.2">
      <c r="A859" s="8"/>
      <c r="B859" s="8"/>
      <c r="C859" s="8"/>
      <c r="D859" s="9"/>
      <c r="E859" s="9"/>
      <c r="F859" s="8"/>
      <c r="G859" s="10" t="str">
        <f t="shared" si="78"/>
        <v/>
      </c>
      <c r="H859" s="10" t="str">
        <f t="shared" si="79"/>
        <v/>
      </c>
      <c r="I859" s="11" t="str">
        <f>IF(B859="Recreation",IFERROR(INDEX(RecPricing!$E$5:$E$10,MATCH(IF(C859="Mixed","External",IF(C859="Unknown","UoB",C859))&amp;"|"&amp;IF(F859&lt;=24,"&lt;=24",IF(F859&lt;=32,"&lt;=32","Above32")),RecPricing!$F$5:$F$10,0)),""),IFERROR(INDEX(Reference!$E$5:$E$12,MATCH(B859&amp;"|"&amp;IF(C859="Mixed","External",IF(C859="Unknown","UoB",C859))&amp;"|"&amp;IF(F859&lt;=32,"32","40"),Reference!$D$5:$D$12,0)),""))</f>
        <v/>
      </c>
      <c r="J859" s="11" t="str">
        <f t="shared" si="80"/>
        <v/>
      </c>
      <c r="K859" s="12"/>
      <c r="L859" s="11" t="str">
        <f t="shared" si="81"/>
        <v/>
      </c>
      <c r="M859" s="12"/>
      <c r="N859" s="12"/>
      <c r="O859" s="11" t="str">
        <f t="shared" si="82"/>
        <v/>
      </c>
      <c r="P859" s="10" t="str">
        <f t="shared" si="83"/>
        <v/>
      </c>
    </row>
    <row r="860" spans="1:16" ht="15" customHeight="1" x14ac:dyDescent="0.2">
      <c r="A860" s="8"/>
      <c r="B860" s="8"/>
      <c r="C860" s="8"/>
      <c r="D860" s="9"/>
      <c r="E860" s="9"/>
      <c r="F860" s="8"/>
      <c r="G860" s="10" t="str">
        <f t="shared" si="78"/>
        <v/>
      </c>
      <c r="H860" s="10" t="str">
        <f t="shared" si="79"/>
        <v/>
      </c>
      <c r="I860" s="11" t="str">
        <f>IF(B860="Recreation",IFERROR(INDEX(RecPricing!$E$5:$E$10,MATCH(IF(C860="Mixed","External",IF(C860="Unknown","UoB",C860))&amp;"|"&amp;IF(F860&lt;=24,"&lt;=24",IF(F860&lt;=32,"&lt;=32","Above32")),RecPricing!$F$5:$F$10,0)),""),IFERROR(INDEX(Reference!$E$5:$E$12,MATCH(B860&amp;"|"&amp;IF(C860="Mixed","External",IF(C860="Unknown","UoB",C860))&amp;"|"&amp;IF(F860&lt;=32,"32","40"),Reference!$D$5:$D$12,0)),""))</f>
        <v/>
      </c>
      <c r="J860" s="11" t="str">
        <f t="shared" si="80"/>
        <v/>
      </c>
      <c r="K860" s="12"/>
      <c r="L860" s="11" t="str">
        <f t="shared" si="81"/>
        <v/>
      </c>
      <c r="M860" s="12"/>
      <c r="N860" s="12"/>
      <c r="O860" s="11" t="str">
        <f t="shared" si="82"/>
        <v/>
      </c>
      <c r="P860" s="10" t="str">
        <f t="shared" si="83"/>
        <v/>
      </c>
    </row>
    <row r="861" spans="1:16" ht="15" customHeight="1" x14ac:dyDescent="0.2">
      <c r="A861" s="8"/>
      <c r="B861" s="8"/>
      <c r="C861" s="8"/>
      <c r="D861" s="9"/>
      <c r="E861" s="9"/>
      <c r="F861" s="8"/>
      <c r="G861" s="10" t="str">
        <f t="shared" si="78"/>
        <v/>
      </c>
      <c r="H861" s="10" t="str">
        <f t="shared" si="79"/>
        <v/>
      </c>
      <c r="I861" s="11" t="str">
        <f>IF(B861="Recreation",IFERROR(INDEX(RecPricing!$E$5:$E$10,MATCH(IF(C861="Mixed","External",IF(C861="Unknown","UoB",C861))&amp;"|"&amp;IF(F861&lt;=24,"&lt;=24",IF(F861&lt;=32,"&lt;=32","Above32")),RecPricing!$F$5:$F$10,0)),""),IFERROR(INDEX(Reference!$E$5:$E$12,MATCH(B861&amp;"|"&amp;IF(C861="Mixed","External",IF(C861="Unknown","UoB",C861))&amp;"|"&amp;IF(F861&lt;=32,"32","40"),Reference!$D$5:$D$12,0)),""))</f>
        <v/>
      </c>
      <c r="J861" s="11" t="str">
        <f t="shared" si="80"/>
        <v/>
      </c>
      <c r="K861" s="12"/>
      <c r="L861" s="11" t="str">
        <f t="shared" si="81"/>
        <v/>
      </c>
      <c r="M861" s="12"/>
      <c r="N861" s="12"/>
      <c r="O861" s="11" t="str">
        <f t="shared" si="82"/>
        <v/>
      </c>
      <c r="P861" s="10" t="str">
        <f t="shared" si="83"/>
        <v/>
      </c>
    </row>
    <row r="862" spans="1:16" ht="15" customHeight="1" x14ac:dyDescent="0.2">
      <c r="A862" s="8"/>
      <c r="B862" s="8"/>
      <c r="C862" s="8"/>
      <c r="D862" s="9"/>
      <c r="E862" s="9"/>
      <c r="F862" s="8"/>
      <c r="G862" s="10" t="str">
        <f t="shared" si="78"/>
        <v/>
      </c>
      <c r="H862" s="10" t="str">
        <f t="shared" si="79"/>
        <v/>
      </c>
      <c r="I862" s="11" t="str">
        <f>IF(B862="Recreation",IFERROR(INDEX(RecPricing!$E$5:$E$10,MATCH(IF(C862="Mixed","External",IF(C862="Unknown","UoB",C862))&amp;"|"&amp;IF(F862&lt;=24,"&lt;=24",IF(F862&lt;=32,"&lt;=32","Above32")),RecPricing!$F$5:$F$10,0)),""),IFERROR(INDEX(Reference!$E$5:$E$12,MATCH(B862&amp;"|"&amp;IF(C862="Mixed","External",IF(C862="Unknown","UoB",C862))&amp;"|"&amp;IF(F862&lt;=32,"32","40"),Reference!$D$5:$D$12,0)),""))</f>
        <v/>
      </c>
      <c r="J862" s="11" t="str">
        <f t="shared" si="80"/>
        <v/>
      </c>
      <c r="K862" s="12"/>
      <c r="L862" s="11" t="str">
        <f t="shared" si="81"/>
        <v/>
      </c>
      <c r="M862" s="12"/>
      <c r="N862" s="12"/>
      <c r="O862" s="11" t="str">
        <f t="shared" si="82"/>
        <v/>
      </c>
      <c r="P862" s="10" t="str">
        <f t="shared" si="83"/>
        <v/>
      </c>
    </row>
    <row r="863" spans="1:16" ht="15" customHeight="1" x14ac:dyDescent="0.2">
      <c r="A863" s="8"/>
      <c r="B863" s="8"/>
      <c r="C863" s="8"/>
      <c r="D863" s="9"/>
      <c r="E863" s="9"/>
      <c r="F863" s="8"/>
      <c r="G863" s="10" t="str">
        <f t="shared" si="78"/>
        <v/>
      </c>
      <c r="H863" s="10" t="str">
        <f t="shared" si="79"/>
        <v/>
      </c>
      <c r="I863" s="11" t="str">
        <f>IF(B863="Recreation",IFERROR(INDEX(RecPricing!$E$5:$E$10,MATCH(IF(C863="Mixed","External",IF(C863="Unknown","UoB",C863))&amp;"|"&amp;IF(F863&lt;=24,"&lt;=24",IF(F863&lt;=32,"&lt;=32","Above32")),RecPricing!$F$5:$F$10,0)),""),IFERROR(INDEX(Reference!$E$5:$E$12,MATCH(B863&amp;"|"&amp;IF(C863="Mixed","External",IF(C863="Unknown","UoB",C863))&amp;"|"&amp;IF(F863&lt;=32,"32","40"),Reference!$D$5:$D$12,0)),""))</f>
        <v/>
      </c>
      <c r="J863" s="11" t="str">
        <f t="shared" si="80"/>
        <v/>
      </c>
      <c r="K863" s="12"/>
      <c r="L863" s="11" t="str">
        <f t="shared" si="81"/>
        <v/>
      </c>
      <c r="M863" s="12"/>
      <c r="N863" s="12"/>
      <c r="O863" s="11" t="str">
        <f t="shared" si="82"/>
        <v/>
      </c>
      <c r="P863" s="10" t="str">
        <f t="shared" si="83"/>
        <v/>
      </c>
    </row>
    <row r="864" spans="1:16" ht="15" customHeight="1" x14ac:dyDescent="0.2">
      <c r="A864" s="8"/>
      <c r="B864" s="8"/>
      <c r="C864" s="8"/>
      <c r="D864" s="9"/>
      <c r="E864" s="9"/>
      <c r="F864" s="8"/>
      <c r="G864" s="10" t="str">
        <f t="shared" si="78"/>
        <v/>
      </c>
      <c r="H864" s="10" t="str">
        <f t="shared" si="79"/>
        <v/>
      </c>
      <c r="I864" s="11" t="str">
        <f>IF(B864="Recreation",IFERROR(INDEX(RecPricing!$E$5:$E$10,MATCH(IF(C864="Mixed","External",IF(C864="Unknown","UoB",C864))&amp;"|"&amp;IF(F864&lt;=24,"&lt;=24",IF(F864&lt;=32,"&lt;=32","Above32")),RecPricing!$F$5:$F$10,0)),""),IFERROR(INDEX(Reference!$E$5:$E$12,MATCH(B864&amp;"|"&amp;IF(C864="Mixed","External",IF(C864="Unknown","UoB",C864))&amp;"|"&amp;IF(F864&lt;=32,"32","40"),Reference!$D$5:$D$12,0)),""))</f>
        <v/>
      </c>
      <c r="J864" s="11" t="str">
        <f t="shared" si="80"/>
        <v/>
      </c>
      <c r="K864" s="12"/>
      <c r="L864" s="11" t="str">
        <f t="shared" si="81"/>
        <v/>
      </c>
      <c r="M864" s="12"/>
      <c r="N864" s="12"/>
      <c r="O864" s="11" t="str">
        <f t="shared" si="82"/>
        <v/>
      </c>
      <c r="P864" s="10" t="str">
        <f t="shared" si="83"/>
        <v/>
      </c>
    </row>
    <row r="865" spans="1:16" ht="15" customHeight="1" x14ac:dyDescent="0.2">
      <c r="A865" s="8"/>
      <c r="B865" s="8"/>
      <c r="C865" s="8"/>
      <c r="D865" s="9"/>
      <c r="E865" s="9"/>
      <c r="F865" s="8"/>
      <c r="G865" s="10" t="str">
        <f t="shared" si="78"/>
        <v/>
      </c>
      <c r="H865" s="10" t="str">
        <f t="shared" si="79"/>
        <v/>
      </c>
      <c r="I865" s="11" t="str">
        <f>IF(B865="Recreation",IFERROR(INDEX(RecPricing!$E$5:$E$10,MATCH(IF(C865="Mixed","External",IF(C865="Unknown","UoB",C865))&amp;"|"&amp;IF(F865&lt;=24,"&lt;=24",IF(F865&lt;=32,"&lt;=32","Above32")),RecPricing!$F$5:$F$10,0)),""),IFERROR(INDEX(Reference!$E$5:$E$12,MATCH(B865&amp;"|"&amp;IF(C865="Mixed","External",IF(C865="Unknown","UoB",C865))&amp;"|"&amp;IF(F865&lt;=32,"32","40"),Reference!$D$5:$D$12,0)),""))</f>
        <v/>
      </c>
      <c r="J865" s="11" t="str">
        <f t="shared" si="80"/>
        <v/>
      </c>
      <c r="K865" s="12"/>
      <c r="L865" s="11" t="str">
        <f t="shared" si="81"/>
        <v/>
      </c>
      <c r="M865" s="12"/>
      <c r="N865" s="12"/>
      <c r="O865" s="11" t="str">
        <f t="shared" si="82"/>
        <v/>
      </c>
      <c r="P865" s="10" t="str">
        <f t="shared" si="83"/>
        <v/>
      </c>
    </row>
    <row r="866" spans="1:16" ht="15" customHeight="1" x14ac:dyDescent="0.2">
      <c r="A866" s="8"/>
      <c r="B866" s="8"/>
      <c r="C866" s="8"/>
      <c r="D866" s="9"/>
      <c r="E866" s="9"/>
      <c r="F866" s="8"/>
      <c r="G866" s="10" t="str">
        <f t="shared" si="78"/>
        <v/>
      </c>
      <c r="H866" s="10" t="str">
        <f t="shared" si="79"/>
        <v/>
      </c>
      <c r="I866" s="11" t="str">
        <f>IF(B866="Recreation",IFERROR(INDEX(RecPricing!$E$5:$E$10,MATCH(IF(C866="Mixed","External",IF(C866="Unknown","UoB",C866))&amp;"|"&amp;IF(F866&lt;=24,"&lt;=24",IF(F866&lt;=32,"&lt;=32","Above32")),RecPricing!$F$5:$F$10,0)),""),IFERROR(INDEX(Reference!$E$5:$E$12,MATCH(B866&amp;"|"&amp;IF(C866="Mixed","External",IF(C866="Unknown","UoB",C866))&amp;"|"&amp;IF(F866&lt;=32,"32","40"),Reference!$D$5:$D$12,0)),""))</f>
        <v/>
      </c>
      <c r="J866" s="11" t="str">
        <f t="shared" si="80"/>
        <v/>
      </c>
      <c r="K866" s="12"/>
      <c r="L866" s="11" t="str">
        <f t="shared" si="81"/>
        <v/>
      </c>
      <c r="M866" s="12"/>
      <c r="N866" s="12"/>
      <c r="O866" s="11" t="str">
        <f t="shared" si="82"/>
        <v/>
      </c>
      <c r="P866" s="10" t="str">
        <f t="shared" si="83"/>
        <v/>
      </c>
    </row>
    <row r="867" spans="1:16" ht="15" customHeight="1" x14ac:dyDescent="0.2">
      <c r="A867" s="8"/>
      <c r="B867" s="8"/>
      <c r="C867" s="8"/>
      <c r="D867" s="9"/>
      <c r="E867" s="9"/>
      <c r="F867" s="8"/>
      <c r="G867" s="10" t="str">
        <f t="shared" si="78"/>
        <v/>
      </c>
      <c r="H867" s="10" t="str">
        <f t="shared" si="79"/>
        <v/>
      </c>
      <c r="I867" s="11" t="str">
        <f>IF(B867="Recreation",IFERROR(INDEX(RecPricing!$E$5:$E$10,MATCH(IF(C867="Mixed","External",IF(C867="Unknown","UoB",C867))&amp;"|"&amp;IF(F867&lt;=24,"&lt;=24",IF(F867&lt;=32,"&lt;=32","Above32")),RecPricing!$F$5:$F$10,0)),""),IFERROR(INDEX(Reference!$E$5:$E$12,MATCH(B867&amp;"|"&amp;IF(C867="Mixed","External",IF(C867="Unknown","UoB",C867))&amp;"|"&amp;IF(F867&lt;=32,"32","40"),Reference!$D$5:$D$12,0)),""))</f>
        <v/>
      </c>
      <c r="J867" s="11" t="str">
        <f t="shared" si="80"/>
        <v/>
      </c>
      <c r="K867" s="12"/>
      <c r="L867" s="11" t="str">
        <f t="shared" si="81"/>
        <v/>
      </c>
      <c r="M867" s="12"/>
      <c r="N867" s="12"/>
      <c r="O867" s="11" t="str">
        <f t="shared" si="82"/>
        <v/>
      </c>
      <c r="P867" s="10" t="str">
        <f t="shared" si="83"/>
        <v/>
      </c>
    </row>
    <row r="868" spans="1:16" ht="15" customHeight="1" x14ac:dyDescent="0.2">
      <c r="A868" s="8"/>
      <c r="B868" s="8"/>
      <c r="C868" s="8"/>
      <c r="D868" s="9"/>
      <c r="E868" s="9"/>
      <c r="F868" s="8"/>
      <c r="G868" s="10" t="str">
        <f t="shared" si="78"/>
        <v/>
      </c>
      <c r="H868" s="10" t="str">
        <f t="shared" si="79"/>
        <v/>
      </c>
      <c r="I868" s="11" t="str">
        <f>IF(B868="Recreation",IFERROR(INDEX(RecPricing!$E$5:$E$10,MATCH(IF(C868="Mixed","External",IF(C868="Unknown","UoB",C868))&amp;"|"&amp;IF(F868&lt;=24,"&lt;=24",IF(F868&lt;=32,"&lt;=32","Above32")),RecPricing!$F$5:$F$10,0)),""),IFERROR(INDEX(Reference!$E$5:$E$12,MATCH(B868&amp;"|"&amp;IF(C868="Mixed","External",IF(C868="Unknown","UoB",C868))&amp;"|"&amp;IF(F868&lt;=32,"32","40"),Reference!$D$5:$D$12,0)),""))</f>
        <v/>
      </c>
      <c r="J868" s="11" t="str">
        <f t="shared" si="80"/>
        <v/>
      </c>
      <c r="K868" s="12"/>
      <c r="L868" s="11" t="str">
        <f t="shared" si="81"/>
        <v/>
      </c>
      <c r="M868" s="12"/>
      <c r="N868" s="12"/>
      <c r="O868" s="11" t="str">
        <f t="shared" si="82"/>
        <v/>
      </c>
      <c r="P868" s="10" t="str">
        <f t="shared" si="83"/>
        <v/>
      </c>
    </row>
    <row r="869" spans="1:16" ht="15" customHeight="1" x14ac:dyDescent="0.2">
      <c r="A869" s="8"/>
      <c r="B869" s="8"/>
      <c r="C869" s="8"/>
      <c r="D869" s="9"/>
      <c r="E869" s="9"/>
      <c r="F869" s="8"/>
      <c r="G869" s="10" t="str">
        <f t="shared" si="78"/>
        <v/>
      </c>
      <c r="H869" s="10" t="str">
        <f t="shared" si="79"/>
        <v/>
      </c>
      <c r="I869" s="11" t="str">
        <f>IF(B869="Recreation",IFERROR(INDEX(RecPricing!$E$5:$E$10,MATCH(IF(C869="Mixed","External",IF(C869="Unknown","UoB",C869))&amp;"|"&amp;IF(F869&lt;=24,"&lt;=24",IF(F869&lt;=32,"&lt;=32","Above32")),RecPricing!$F$5:$F$10,0)),""),IFERROR(INDEX(Reference!$E$5:$E$12,MATCH(B869&amp;"|"&amp;IF(C869="Mixed","External",IF(C869="Unknown","UoB",C869))&amp;"|"&amp;IF(F869&lt;=32,"32","40"),Reference!$D$5:$D$12,0)),""))</f>
        <v/>
      </c>
      <c r="J869" s="11" t="str">
        <f t="shared" si="80"/>
        <v/>
      </c>
      <c r="K869" s="12"/>
      <c r="L869" s="11" t="str">
        <f t="shared" si="81"/>
        <v/>
      </c>
      <c r="M869" s="12"/>
      <c r="N869" s="12"/>
      <c r="O869" s="11" t="str">
        <f t="shared" si="82"/>
        <v/>
      </c>
      <c r="P869" s="10" t="str">
        <f t="shared" si="83"/>
        <v/>
      </c>
    </row>
    <row r="870" spans="1:16" ht="15" customHeight="1" x14ac:dyDescent="0.2">
      <c r="A870" s="8"/>
      <c r="B870" s="8"/>
      <c r="C870" s="8"/>
      <c r="D870" s="9"/>
      <c r="E870" s="9"/>
      <c r="F870" s="8"/>
      <c r="G870" s="10" t="str">
        <f t="shared" si="78"/>
        <v/>
      </c>
      <c r="H870" s="10" t="str">
        <f t="shared" si="79"/>
        <v/>
      </c>
      <c r="I870" s="11" t="str">
        <f>IF(B870="Recreation",IFERROR(INDEX(RecPricing!$E$5:$E$10,MATCH(IF(C870="Mixed","External",IF(C870="Unknown","UoB",C870))&amp;"|"&amp;IF(F870&lt;=24,"&lt;=24",IF(F870&lt;=32,"&lt;=32","Above32")),RecPricing!$F$5:$F$10,0)),""),IFERROR(INDEX(Reference!$E$5:$E$12,MATCH(B870&amp;"|"&amp;IF(C870="Mixed","External",IF(C870="Unknown","UoB",C870))&amp;"|"&amp;IF(F870&lt;=32,"32","40"),Reference!$D$5:$D$12,0)),""))</f>
        <v/>
      </c>
      <c r="J870" s="11" t="str">
        <f t="shared" si="80"/>
        <v/>
      </c>
      <c r="K870" s="12"/>
      <c r="L870" s="11" t="str">
        <f t="shared" si="81"/>
        <v/>
      </c>
      <c r="M870" s="12"/>
      <c r="N870" s="12"/>
      <c r="O870" s="11" t="str">
        <f t="shared" si="82"/>
        <v/>
      </c>
      <c r="P870" s="10" t="str">
        <f t="shared" si="83"/>
        <v/>
      </c>
    </row>
    <row r="871" spans="1:16" ht="15" customHeight="1" x14ac:dyDescent="0.2">
      <c r="A871" s="8"/>
      <c r="B871" s="8"/>
      <c r="C871" s="8"/>
      <c r="D871" s="9"/>
      <c r="E871" s="9"/>
      <c r="F871" s="8"/>
      <c r="G871" s="10" t="str">
        <f t="shared" si="78"/>
        <v/>
      </c>
      <c r="H871" s="10" t="str">
        <f t="shared" si="79"/>
        <v/>
      </c>
      <c r="I871" s="11" t="str">
        <f>IF(B871="Recreation",IFERROR(INDEX(RecPricing!$E$5:$E$10,MATCH(IF(C871="Mixed","External",IF(C871="Unknown","UoB",C871))&amp;"|"&amp;IF(F871&lt;=24,"&lt;=24",IF(F871&lt;=32,"&lt;=32","Above32")),RecPricing!$F$5:$F$10,0)),""),IFERROR(INDEX(Reference!$E$5:$E$12,MATCH(B871&amp;"|"&amp;IF(C871="Mixed","External",IF(C871="Unknown","UoB",C871))&amp;"|"&amp;IF(F871&lt;=32,"32","40"),Reference!$D$5:$D$12,0)),""))</f>
        <v/>
      </c>
      <c r="J871" s="11" t="str">
        <f t="shared" si="80"/>
        <v/>
      </c>
      <c r="K871" s="12"/>
      <c r="L871" s="11" t="str">
        <f t="shared" si="81"/>
        <v/>
      </c>
      <c r="M871" s="12"/>
      <c r="N871" s="12"/>
      <c r="O871" s="11" t="str">
        <f t="shared" si="82"/>
        <v/>
      </c>
      <c r="P871" s="10" t="str">
        <f t="shared" si="83"/>
        <v/>
      </c>
    </row>
    <row r="872" spans="1:16" ht="15" customHeight="1" x14ac:dyDescent="0.2">
      <c r="A872" s="8"/>
      <c r="B872" s="8"/>
      <c r="C872" s="8"/>
      <c r="D872" s="9"/>
      <c r="E872" s="9"/>
      <c r="F872" s="8"/>
      <c r="G872" s="10" t="str">
        <f t="shared" si="78"/>
        <v/>
      </c>
      <c r="H872" s="10" t="str">
        <f t="shared" si="79"/>
        <v/>
      </c>
      <c r="I872" s="11" t="str">
        <f>IF(B872="Recreation",IFERROR(INDEX(RecPricing!$E$5:$E$10,MATCH(IF(C872="Mixed","External",IF(C872="Unknown","UoB",C872))&amp;"|"&amp;IF(F872&lt;=24,"&lt;=24",IF(F872&lt;=32,"&lt;=32","Above32")),RecPricing!$F$5:$F$10,0)),""),IFERROR(INDEX(Reference!$E$5:$E$12,MATCH(B872&amp;"|"&amp;IF(C872="Mixed","External",IF(C872="Unknown","UoB",C872))&amp;"|"&amp;IF(F872&lt;=32,"32","40"),Reference!$D$5:$D$12,0)),""))</f>
        <v/>
      </c>
      <c r="J872" s="11" t="str">
        <f t="shared" si="80"/>
        <v/>
      </c>
      <c r="K872" s="12"/>
      <c r="L872" s="11" t="str">
        <f t="shared" si="81"/>
        <v/>
      </c>
      <c r="M872" s="12"/>
      <c r="N872" s="12"/>
      <c r="O872" s="11" t="str">
        <f t="shared" si="82"/>
        <v/>
      </c>
      <c r="P872" s="10" t="str">
        <f t="shared" si="83"/>
        <v/>
      </c>
    </row>
    <row r="873" spans="1:16" ht="15" customHeight="1" x14ac:dyDescent="0.2">
      <c r="A873" s="8"/>
      <c r="B873" s="8"/>
      <c r="C873" s="8"/>
      <c r="D873" s="9"/>
      <c r="E873" s="9"/>
      <c r="F873" s="8"/>
      <c r="G873" s="10" t="str">
        <f t="shared" si="78"/>
        <v/>
      </c>
      <c r="H873" s="10" t="str">
        <f t="shared" si="79"/>
        <v/>
      </c>
      <c r="I873" s="11" t="str">
        <f>IF(B873="Recreation",IFERROR(INDEX(RecPricing!$E$5:$E$10,MATCH(IF(C873="Mixed","External",IF(C873="Unknown","UoB",C873))&amp;"|"&amp;IF(F873&lt;=24,"&lt;=24",IF(F873&lt;=32,"&lt;=32","Above32")),RecPricing!$F$5:$F$10,0)),""),IFERROR(INDEX(Reference!$E$5:$E$12,MATCH(B873&amp;"|"&amp;IF(C873="Mixed","External",IF(C873="Unknown","UoB",C873))&amp;"|"&amp;IF(F873&lt;=32,"32","40"),Reference!$D$5:$D$12,0)),""))</f>
        <v/>
      </c>
      <c r="J873" s="11" t="str">
        <f t="shared" si="80"/>
        <v/>
      </c>
      <c r="K873" s="12"/>
      <c r="L873" s="11" t="str">
        <f t="shared" si="81"/>
        <v/>
      </c>
      <c r="M873" s="12"/>
      <c r="N873" s="12"/>
      <c r="O873" s="11" t="str">
        <f t="shared" si="82"/>
        <v/>
      </c>
      <c r="P873" s="10" t="str">
        <f t="shared" si="83"/>
        <v/>
      </c>
    </row>
    <row r="874" spans="1:16" ht="15" customHeight="1" x14ac:dyDescent="0.2">
      <c r="A874" s="8"/>
      <c r="B874" s="8"/>
      <c r="C874" s="8"/>
      <c r="D874" s="9"/>
      <c r="E874" s="9"/>
      <c r="F874" s="8"/>
      <c r="G874" s="10" t="str">
        <f t="shared" si="78"/>
        <v/>
      </c>
      <c r="H874" s="10" t="str">
        <f t="shared" si="79"/>
        <v/>
      </c>
      <c r="I874" s="11" t="str">
        <f>IF(B874="Recreation",IFERROR(INDEX(RecPricing!$E$5:$E$10,MATCH(IF(C874="Mixed","External",IF(C874="Unknown","UoB",C874))&amp;"|"&amp;IF(F874&lt;=24,"&lt;=24",IF(F874&lt;=32,"&lt;=32","Above32")),RecPricing!$F$5:$F$10,0)),""),IFERROR(INDEX(Reference!$E$5:$E$12,MATCH(B874&amp;"|"&amp;IF(C874="Mixed","External",IF(C874="Unknown","UoB",C874))&amp;"|"&amp;IF(F874&lt;=32,"32","40"),Reference!$D$5:$D$12,0)),""))</f>
        <v/>
      </c>
      <c r="J874" s="11" t="str">
        <f t="shared" si="80"/>
        <v/>
      </c>
      <c r="K874" s="12"/>
      <c r="L874" s="11" t="str">
        <f t="shared" si="81"/>
        <v/>
      </c>
      <c r="M874" s="12"/>
      <c r="N874" s="12"/>
      <c r="O874" s="11" t="str">
        <f t="shared" si="82"/>
        <v/>
      </c>
      <c r="P874" s="10" t="str">
        <f t="shared" si="83"/>
        <v/>
      </c>
    </row>
    <row r="875" spans="1:16" ht="15" customHeight="1" x14ac:dyDescent="0.2">
      <c r="A875" s="8"/>
      <c r="B875" s="8"/>
      <c r="C875" s="8"/>
      <c r="D875" s="9"/>
      <c r="E875" s="9"/>
      <c r="F875" s="8"/>
      <c r="G875" s="10" t="str">
        <f t="shared" si="78"/>
        <v/>
      </c>
      <c r="H875" s="10" t="str">
        <f t="shared" si="79"/>
        <v/>
      </c>
      <c r="I875" s="11" t="str">
        <f>IF(B875="Recreation",IFERROR(INDEX(RecPricing!$E$5:$E$10,MATCH(IF(C875="Mixed","External",IF(C875="Unknown","UoB",C875))&amp;"|"&amp;IF(F875&lt;=24,"&lt;=24",IF(F875&lt;=32,"&lt;=32","Above32")),RecPricing!$F$5:$F$10,0)),""),IFERROR(INDEX(Reference!$E$5:$E$12,MATCH(B875&amp;"|"&amp;IF(C875="Mixed","External",IF(C875="Unknown","UoB",C875))&amp;"|"&amp;IF(F875&lt;=32,"32","40"),Reference!$D$5:$D$12,0)),""))</f>
        <v/>
      </c>
      <c r="J875" s="11" t="str">
        <f t="shared" si="80"/>
        <v/>
      </c>
      <c r="K875" s="12"/>
      <c r="L875" s="11" t="str">
        <f t="shared" si="81"/>
        <v/>
      </c>
      <c r="M875" s="12"/>
      <c r="N875" s="12"/>
      <c r="O875" s="11" t="str">
        <f t="shared" si="82"/>
        <v/>
      </c>
      <c r="P875" s="10" t="str">
        <f t="shared" si="83"/>
        <v/>
      </c>
    </row>
    <row r="876" spans="1:16" ht="15" customHeight="1" x14ac:dyDescent="0.2">
      <c r="A876" s="8"/>
      <c r="B876" s="8"/>
      <c r="C876" s="8"/>
      <c r="D876" s="9"/>
      <c r="E876" s="9"/>
      <c r="F876" s="8"/>
      <c r="G876" s="10" t="str">
        <f t="shared" si="78"/>
        <v/>
      </c>
      <c r="H876" s="10" t="str">
        <f t="shared" si="79"/>
        <v/>
      </c>
      <c r="I876" s="11" t="str">
        <f>IF(B876="Recreation",IFERROR(INDEX(RecPricing!$E$5:$E$10,MATCH(IF(C876="Mixed","External",IF(C876="Unknown","UoB",C876))&amp;"|"&amp;IF(F876&lt;=24,"&lt;=24",IF(F876&lt;=32,"&lt;=32","Above32")),RecPricing!$F$5:$F$10,0)),""),IFERROR(INDEX(Reference!$E$5:$E$12,MATCH(B876&amp;"|"&amp;IF(C876="Mixed","External",IF(C876="Unknown","UoB",C876))&amp;"|"&amp;IF(F876&lt;=32,"32","40"),Reference!$D$5:$D$12,0)),""))</f>
        <v/>
      </c>
      <c r="J876" s="11" t="str">
        <f t="shared" si="80"/>
        <v/>
      </c>
      <c r="K876" s="12"/>
      <c r="L876" s="11" t="str">
        <f t="shared" si="81"/>
        <v/>
      </c>
      <c r="M876" s="12"/>
      <c r="N876" s="12"/>
      <c r="O876" s="11" t="str">
        <f t="shared" si="82"/>
        <v/>
      </c>
      <c r="P876" s="10" t="str">
        <f t="shared" si="83"/>
        <v/>
      </c>
    </row>
    <row r="877" spans="1:16" ht="15" customHeight="1" x14ac:dyDescent="0.2">
      <c r="A877" s="8"/>
      <c r="B877" s="8"/>
      <c r="C877" s="8"/>
      <c r="D877" s="9"/>
      <c r="E877" s="9"/>
      <c r="F877" s="8"/>
      <c r="G877" s="10" t="str">
        <f t="shared" si="78"/>
        <v/>
      </c>
      <c r="H877" s="10" t="str">
        <f t="shared" si="79"/>
        <v/>
      </c>
      <c r="I877" s="11" t="str">
        <f>IF(B877="Recreation",IFERROR(INDEX(RecPricing!$E$5:$E$10,MATCH(IF(C877="Mixed","External",IF(C877="Unknown","UoB",C877))&amp;"|"&amp;IF(F877&lt;=24,"&lt;=24",IF(F877&lt;=32,"&lt;=32","Above32")),RecPricing!$F$5:$F$10,0)),""),IFERROR(INDEX(Reference!$E$5:$E$12,MATCH(B877&amp;"|"&amp;IF(C877="Mixed","External",IF(C877="Unknown","UoB",C877))&amp;"|"&amp;IF(F877&lt;=32,"32","40"),Reference!$D$5:$D$12,0)),""))</f>
        <v/>
      </c>
      <c r="J877" s="11" t="str">
        <f t="shared" si="80"/>
        <v/>
      </c>
      <c r="K877" s="12"/>
      <c r="L877" s="11" t="str">
        <f t="shared" si="81"/>
        <v/>
      </c>
      <c r="M877" s="12"/>
      <c r="N877" s="12"/>
      <c r="O877" s="11" t="str">
        <f t="shared" si="82"/>
        <v/>
      </c>
      <c r="P877" s="10" t="str">
        <f t="shared" si="83"/>
        <v/>
      </c>
    </row>
    <row r="878" spans="1:16" ht="15" customHeight="1" x14ac:dyDescent="0.2">
      <c r="A878" s="8"/>
      <c r="B878" s="8"/>
      <c r="C878" s="8"/>
      <c r="D878" s="9"/>
      <c r="E878" s="9"/>
      <c r="F878" s="8"/>
      <c r="G878" s="10" t="str">
        <f t="shared" si="78"/>
        <v/>
      </c>
      <c r="H878" s="10" t="str">
        <f t="shared" si="79"/>
        <v/>
      </c>
      <c r="I878" s="11" t="str">
        <f>IF(B878="Recreation",IFERROR(INDEX(RecPricing!$E$5:$E$10,MATCH(IF(C878="Mixed","External",IF(C878="Unknown","UoB",C878))&amp;"|"&amp;IF(F878&lt;=24,"&lt;=24",IF(F878&lt;=32,"&lt;=32","Above32")),RecPricing!$F$5:$F$10,0)),""),IFERROR(INDEX(Reference!$E$5:$E$12,MATCH(B878&amp;"|"&amp;IF(C878="Mixed","External",IF(C878="Unknown","UoB",C878))&amp;"|"&amp;IF(F878&lt;=32,"32","40"),Reference!$D$5:$D$12,0)),""))</f>
        <v/>
      </c>
      <c r="J878" s="11" t="str">
        <f t="shared" si="80"/>
        <v/>
      </c>
      <c r="K878" s="12"/>
      <c r="L878" s="11" t="str">
        <f t="shared" si="81"/>
        <v/>
      </c>
      <c r="M878" s="12"/>
      <c r="N878" s="12"/>
      <c r="O878" s="11" t="str">
        <f t="shared" si="82"/>
        <v/>
      </c>
      <c r="P878" s="10" t="str">
        <f t="shared" si="83"/>
        <v/>
      </c>
    </row>
    <row r="879" spans="1:16" ht="15" customHeight="1" x14ac:dyDescent="0.2">
      <c r="A879" s="8"/>
      <c r="B879" s="8"/>
      <c r="C879" s="8"/>
      <c r="D879" s="9"/>
      <c r="E879" s="9"/>
      <c r="F879" s="8"/>
      <c r="G879" s="10" t="str">
        <f t="shared" si="78"/>
        <v/>
      </c>
      <c r="H879" s="10" t="str">
        <f t="shared" si="79"/>
        <v/>
      </c>
      <c r="I879" s="11" t="str">
        <f>IF(B879="Recreation",IFERROR(INDEX(RecPricing!$E$5:$E$10,MATCH(IF(C879="Mixed","External",IF(C879="Unknown","UoB",C879))&amp;"|"&amp;IF(F879&lt;=24,"&lt;=24",IF(F879&lt;=32,"&lt;=32","Above32")),RecPricing!$F$5:$F$10,0)),""),IFERROR(INDEX(Reference!$E$5:$E$12,MATCH(B879&amp;"|"&amp;IF(C879="Mixed","External",IF(C879="Unknown","UoB",C879))&amp;"|"&amp;IF(F879&lt;=32,"32","40"),Reference!$D$5:$D$12,0)),""))</f>
        <v/>
      </c>
      <c r="J879" s="11" t="str">
        <f t="shared" si="80"/>
        <v/>
      </c>
      <c r="K879" s="12"/>
      <c r="L879" s="11" t="str">
        <f t="shared" si="81"/>
        <v/>
      </c>
      <c r="M879" s="12"/>
      <c r="N879" s="12"/>
      <c r="O879" s="11" t="str">
        <f t="shared" si="82"/>
        <v/>
      </c>
      <c r="P879" s="10" t="str">
        <f t="shared" si="83"/>
        <v/>
      </c>
    </row>
    <row r="880" spans="1:16" ht="15" customHeight="1" x14ac:dyDescent="0.2">
      <c r="A880" s="8"/>
      <c r="B880" s="8"/>
      <c r="C880" s="8"/>
      <c r="D880" s="9"/>
      <c r="E880" s="9"/>
      <c r="F880" s="8"/>
      <c r="G880" s="10" t="str">
        <f t="shared" si="78"/>
        <v/>
      </c>
      <c r="H880" s="10" t="str">
        <f t="shared" si="79"/>
        <v/>
      </c>
      <c r="I880" s="11" t="str">
        <f>IF(B880="Recreation",IFERROR(INDEX(RecPricing!$E$5:$E$10,MATCH(IF(C880="Mixed","External",IF(C880="Unknown","UoB",C880))&amp;"|"&amp;IF(F880&lt;=24,"&lt;=24",IF(F880&lt;=32,"&lt;=32","Above32")),RecPricing!$F$5:$F$10,0)),""),IFERROR(INDEX(Reference!$E$5:$E$12,MATCH(B880&amp;"|"&amp;IF(C880="Mixed","External",IF(C880="Unknown","UoB",C880))&amp;"|"&amp;IF(F880&lt;=32,"32","40"),Reference!$D$5:$D$12,0)),""))</f>
        <v/>
      </c>
      <c r="J880" s="11" t="str">
        <f t="shared" si="80"/>
        <v/>
      </c>
      <c r="K880" s="12"/>
      <c r="L880" s="11" t="str">
        <f t="shared" si="81"/>
        <v/>
      </c>
      <c r="M880" s="12"/>
      <c r="N880" s="12"/>
      <c r="O880" s="11" t="str">
        <f t="shared" si="82"/>
        <v/>
      </c>
      <c r="P880" s="10" t="str">
        <f t="shared" si="83"/>
        <v/>
      </c>
    </row>
    <row r="881" spans="1:16" ht="15" customHeight="1" x14ac:dyDescent="0.2">
      <c r="A881" s="8"/>
      <c r="B881" s="8"/>
      <c r="C881" s="8"/>
      <c r="D881" s="9"/>
      <c r="E881" s="9"/>
      <c r="F881" s="8"/>
      <c r="G881" s="10" t="str">
        <f t="shared" si="78"/>
        <v/>
      </c>
      <c r="H881" s="10" t="str">
        <f t="shared" si="79"/>
        <v/>
      </c>
      <c r="I881" s="11" t="str">
        <f>IF(B881="Recreation",IFERROR(INDEX(RecPricing!$E$5:$E$10,MATCH(IF(C881="Mixed","External",IF(C881="Unknown","UoB",C881))&amp;"|"&amp;IF(F881&lt;=24,"&lt;=24",IF(F881&lt;=32,"&lt;=32","Above32")),RecPricing!$F$5:$F$10,0)),""),IFERROR(INDEX(Reference!$E$5:$E$12,MATCH(B881&amp;"|"&amp;IF(C881="Mixed","External",IF(C881="Unknown","UoB",C881))&amp;"|"&amp;IF(F881&lt;=32,"32","40"),Reference!$D$5:$D$12,0)),""))</f>
        <v/>
      </c>
      <c r="J881" s="11" t="str">
        <f t="shared" si="80"/>
        <v/>
      </c>
      <c r="K881" s="12"/>
      <c r="L881" s="11" t="str">
        <f t="shared" si="81"/>
        <v/>
      </c>
      <c r="M881" s="12"/>
      <c r="N881" s="12"/>
      <c r="O881" s="11" t="str">
        <f t="shared" si="82"/>
        <v/>
      </c>
      <c r="P881" s="10" t="str">
        <f t="shared" si="83"/>
        <v/>
      </c>
    </row>
    <row r="882" spans="1:16" ht="15" customHeight="1" x14ac:dyDescent="0.2">
      <c r="A882" s="8"/>
      <c r="B882" s="8"/>
      <c r="C882" s="8"/>
      <c r="D882" s="9"/>
      <c r="E882" s="9"/>
      <c r="F882" s="8"/>
      <c r="G882" s="10" t="str">
        <f t="shared" si="78"/>
        <v/>
      </c>
      <c r="H882" s="10" t="str">
        <f t="shared" si="79"/>
        <v/>
      </c>
      <c r="I882" s="11" t="str">
        <f>IF(B882="Recreation",IFERROR(INDEX(RecPricing!$E$5:$E$10,MATCH(IF(C882="Mixed","External",IF(C882="Unknown","UoB",C882))&amp;"|"&amp;IF(F882&lt;=24,"&lt;=24",IF(F882&lt;=32,"&lt;=32","Above32")),RecPricing!$F$5:$F$10,0)),""),IFERROR(INDEX(Reference!$E$5:$E$12,MATCH(B882&amp;"|"&amp;IF(C882="Mixed","External",IF(C882="Unknown","UoB",C882))&amp;"|"&amp;IF(F882&lt;=32,"32","40"),Reference!$D$5:$D$12,0)),""))</f>
        <v/>
      </c>
      <c r="J882" s="11" t="str">
        <f t="shared" si="80"/>
        <v/>
      </c>
      <c r="K882" s="12"/>
      <c r="L882" s="11" t="str">
        <f t="shared" si="81"/>
        <v/>
      </c>
      <c r="M882" s="12"/>
      <c r="N882" s="12"/>
      <c r="O882" s="11" t="str">
        <f t="shared" si="82"/>
        <v/>
      </c>
      <c r="P882" s="10" t="str">
        <f t="shared" si="83"/>
        <v/>
      </c>
    </row>
    <row r="883" spans="1:16" ht="15" customHeight="1" x14ac:dyDescent="0.2">
      <c r="A883" s="8"/>
      <c r="B883" s="8"/>
      <c r="C883" s="8"/>
      <c r="D883" s="9"/>
      <c r="E883" s="9"/>
      <c r="F883" s="8"/>
      <c r="G883" s="10" t="str">
        <f t="shared" si="78"/>
        <v/>
      </c>
      <c r="H883" s="10" t="str">
        <f t="shared" si="79"/>
        <v/>
      </c>
      <c r="I883" s="11" t="str">
        <f>IF(B883="Recreation",IFERROR(INDEX(RecPricing!$E$5:$E$10,MATCH(IF(C883="Mixed","External",IF(C883="Unknown","UoB",C883))&amp;"|"&amp;IF(F883&lt;=24,"&lt;=24",IF(F883&lt;=32,"&lt;=32","Above32")),RecPricing!$F$5:$F$10,0)),""),IFERROR(INDEX(Reference!$E$5:$E$12,MATCH(B883&amp;"|"&amp;IF(C883="Mixed","External",IF(C883="Unknown","UoB",C883))&amp;"|"&amp;IF(F883&lt;=32,"32","40"),Reference!$D$5:$D$12,0)),""))</f>
        <v/>
      </c>
      <c r="J883" s="11" t="str">
        <f t="shared" si="80"/>
        <v/>
      </c>
      <c r="K883" s="12"/>
      <c r="L883" s="11" t="str">
        <f t="shared" si="81"/>
        <v/>
      </c>
      <c r="M883" s="12"/>
      <c r="N883" s="12"/>
      <c r="O883" s="11" t="str">
        <f t="shared" si="82"/>
        <v/>
      </c>
      <c r="P883" s="10" t="str">
        <f t="shared" si="83"/>
        <v/>
      </c>
    </row>
    <row r="884" spans="1:16" ht="15" customHeight="1" x14ac:dyDescent="0.2">
      <c r="A884" s="8"/>
      <c r="B884" s="8"/>
      <c r="C884" s="8"/>
      <c r="D884" s="9"/>
      <c r="E884" s="9"/>
      <c r="F884" s="8"/>
      <c r="G884" s="10" t="str">
        <f t="shared" si="78"/>
        <v/>
      </c>
      <c r="H884" s="10" t="str">
        <f t="shared" si="79"/>
        <v/>
      </c>
      <c r="I884" s="11" t="str">
        <f>IF(B884="Recreation",IFERROR(INDEX(RecPricing!$E$5:$E$10,MATCH(IF(C884="Mixed","External",IF(C884="Unknown","UoB",C884))&amp;"|"&amp;IF(F884&lt;=24,"&lt;=24",IF(F884&lt;=32,"&lt;=32","Above32")),RecPricing!$F$5:$F$10,0)),""),IFERROR(INDEX(Reference!$E$5:$E$12,MATCH(B884&amp;"|"&amp;IF(C884="Mixed","External",IF(C884="Unknown","UoB",C884))&amp;"|"&amp;IF(F884&lt;=32,"32","40"),Reference!$D$5:$D$12,0)),""))</f>
        <v/>
      </c>
      <c r="J884" s="11" t="str">
        <f t="shared" si="80"/>
        <v/>
      </c>
      <c r="K884" s="12"/>
      <c r="L884" s="11" t="str">
        <f t="shared" si="81"/>
        <v/>
      </c>
      <c r="M884" s="12"/>
      <c r="N884" s="12"/>
      <c r="O884" s="11" t="str">
        <f t="shared" si="82"/>
        <v/>
      </c>
      <c r="P884" s="10" t="str">
        <f t="shared" si="83"/>
        <v/>
      </c>
    </row>
    <row r="885" spans="1:16" ht="15" customHeight="1" x14ac:dyDescent="0.2">
      <c r="A885" s="8"/>
      <c r="B885" s="8"/>
      <c r="C885" s="8"/>
      <c r="D885" s="9"/>
      <c r="E885" s="9"/>
      <c r="F885" s="8"/>
      <c r="G885" s="10" t="str">
        <f t="shared" si="78"/>
        <v/>
      </c>
      <c r="H885" s="10" t="str">
        <f t="shared" si="79"/>
        <v/>
      </c>
      <c r="I885" s="11" t="str">
        <f>IF(B885="Recreation",IFERROR(INDEX(RecPricing!$E$5:$E$10,MATCH(IF(C885="Mixed","External",IF(C885="Unknown","UoB",C885))&amp;"|"&amp;IF(F885&lt;=24,"&lt;=24",IF(F885&lt;=32,"&lt;=32","Above32")),RecPricing!$F$5:$F$10,0)),""),IFERROR(INDEX(Reference!$E$5:$E$12,MATCH(B885&amp;"|"&amp;IF(C885="Mixed","External",IF(C885="Unknown","UoB",C885))&amp;"|"&amp;IF(F885&lt;=32,"32","40"),Reference!$D$5:$D$12,0)),""))</f>
        <v/>
      </c>
      <c r="J885" s="11" t="str">
        <f t="shared" si="80"/>
        <v/>
      </c>
      <c r="K885" s="12"/>
      <c r="L885" s="11" t="str">
        <f t="shared" si="81"/>
        <v/>
      </c>
      <c r="M885" s="12"/>
      <c r="N885" s="12"/>
      <c r="O885" s="11" t="str">
        <f t="shared" si="82"/>
        <v/>
      </c>
      <c r="P885" s="10" t="str">
        <f t="shared" si="83"/>
        <v/>
      </c>
    </row>
    <row r="886" spans="1:16" ht="15" customHeight="1" x14ac:dyDescent="0.2">
      <c r="A886" s="8"/>
      <c r="B886" s="8"/>
      <c r="C886" s="8"/>
      <c r="D886" s="9"/>
      <c r="E886" s="9"/>
      <c r="F886" s="8"/>
      <c r="G886" s="10" t="str">
        <f t="shared" si="78"/>
        <v/>
      </c>
      <c r="H886" s="10" t="str">
        <f t="shared" si="79"/>
        <v/>
      </c>
      <c r="I886" s="11" t="str">
        <f>IF(B886="Recreation",IFERROR(INDEX(RecPricing!$E$5:$E$10,MATCH(IF(C886="Mixed","External",IF(C886="Unknown","UoB",C886))&amp;"|"&amp;IF(F886&lt;=24,"&lt;=24",IF(F886&lt;=32,"&lt;=32","Above32")),RecPricing!$F$5:$F$10,0)),""),IFERROR(INDEX(Reference!$E$5:$E$12,MATCH(B886&amp;"|"&amp;IF(C886="Mixed","External",IF(C886="Unknown","UoB",C886))&amp;"|"&amp;IF(F886&lt;=32,"32","40"),Reference!$D$5:$D$12,0)),""))</f>
        <v/>
      </c>
      <c r="J886" s="11" t="str">
        <f t="shared" si="80"/>
        <v/>
      </c>
      <c r="K886" s="12"/>
      <c r="L886" s="11" t="str">
        <f t="shared" si="81"/>
        <v/>
      </c>
      <c r="M886" s="12"/>
      <c r="N886" s="12"/>
      <c r="O886" s="11" t="str">
        <f t="shared" si="82"/>
        <v/>
      </c>
      <c r="P886" s="10" t="str">
        <f t="shared" si="83"/>
        <v/>
      </c>
    </row>
    <row r="887" spans="1:16" ht="15" customHeight="1" x14ac:dyDescent="0.2">
      <c r="A887" s="8"/>
      <c r="B887" s="8"/>
      <c r="C887" s="8"/>
      <c r="D887" s="9"/>
      <c r="E887" s="9"/>
      <c r="F887" s="8"/>
      <c r="G887" s="10" t="str">
        <f t="shared" si="78"/>
        <v/>
      </c>
      <c r="H887" s="10" t="str">
        <f t="shared" si="79"/>
        <v/>
      </c>
      <c r="I887" s="11" t="str">
        <f>IF(B887="Recreation",IFERROR(INDEX(RecPricing!$E$5:$E$10,MATCH(IF(C887="Mixed","External",IF(C887="Unknown","UoB",C887))&amp;"|"&amp;IF(F887&lt;=24,"&lt;=24",IF(F887&lt;=32,"&lt;=32","Above32")),RecPricing!$F$5:$F$10,0)),""),IFERROR(INDEX(Reference!$E$5:$E$12,MATCH(B887&amp;"|"&amp;IF(C887="Mixed","External",IF(C887="Unknown","UoB",C887))&amp;"|"&amp;IF(F887&lt;=32,"32","40"),Reference!$D$5:$D$12,0)),""))</f>
        <v/>
      </c>
      <c r="J887" s="11" t="str">
        <f t="shared" si="80"/>
        <v/>
      </c>
      <c r="K887" s="12"/>
      <c r="L887" s="11" t="str">
        <f t="shared" si="81"/>
        <v/>
      </c>
      <c r="M887" s="12"/>
      <c r="N887" s="12"/>
      <c r="O887" s="11" t="str">
        <f t="shared" si="82"/>
        <v/>
      </c>
      <c r="P887" s="10" t="str">
        <f t="shared" si="83"/>
        <v/>
      </c>
    </row>
    <row r="888" spans="1:16" ht="15" customHeight="1" x14ac:dyDescent="0.2">
      <c r="A888" s="8"/>
      <c r="B888" s="8"/>
      <c r="C888" s="8"/>
      <c r="D888" s="9"/>
      <c r="E888" s="9"/>
      <c r="F888" s="8"/>
      <c r="G888" s="10" t="str">
        <f t="shared" si="78"/>
        <v/>
      </c>
      <c r="H888" s="10" t="str">
        <f t="shared" si="79"/>
        <v/>
      </c>
      <c r="I888" s="11" t="str">
        <f>IF(B888="Recreation",IFERROR(INDEX(RecPricing!$E$5:$E$10,MATCH(IF(C888="Mixed","External",IF(C888="Unknown","UoB",C888))&amp;"|"&amp;IF(F888&lt;=24,"&lt;=24",IF(F888&lt;=32,"&lt;=32","Above32")),RecPricing!$F$5:$F$10,0)),""),IFERROR(INDEX(Reference!$E$5:$E$12,MATCH(B888&amp;"|"&amp;IF(C888="Mixed","External",IF(C888="Unknown","UoB",C888))&amp;"|"&amp;IF(F888&lt;=32,"32","40"),Reference!$D$5:$D$12,0)),""))</f>
        <v/>
      </c>
      <c r="J888" s="11" t="str">
        <f t="shared" si="80"/>
        <v/>
      </c>
      <c r="K888" s="12"/>
      <c r="L888" s="11" t="str">
        <f t="shared" si="81"/>
        <v/>
      </c>
      <c r="M888" s="12"/>
      <c r="N888" s="12"/>
      <c r="O888" s="11" t="str">
        <f t="shared" si="82"/>
        <v/>
      </c>
      <c r="P888" s="10" t="str">
        <f t="shared" si="83"/>
        <v/>
      </c>
    </row>
    <row r="889" spans="1:16" ht="15" customHeight="1" x14ac:dyDescent="0.2">
      <c r="A889" s="8"/>
      <c r="B889" s="8"/>
      <c r="C889" s="8"/>
      <c r="D889" s="9"/>
      <c r="E889" s="9"/>
      <c r="F889" s="8"/>
      <c r="G889" s="10" t="str">
        <f t="shared" si="78"/>
        <v/>
      </c>
      <c r="H889" s="10" t="str">
        <f t="shared" si="79"/>
        <v/>
      </c>
      <c r="I889" s="11" t="str">
        <f>IF(B889="Recreation",IFERROR(INDEX(RecPricing!$E$5:$E$10,MATCH(IF(C889="Mixed","External",IF(C889="Unknown","UoB",C889))&amp;"|"&amp;IF(F889&lt;=24,"&lt;=24",IF(F889&lt;=32,"&lt;=32","Above32")),RecPricing!$F$5:$F$10,0)),""),IFERROR(INDEX(Reference!$E$5:$E$12,MATCH(B889&amp;"|"&amp;IF(C889="Mixed","External",IF(C889="Unknown","UoB",C889))&amp;"|"&amp;IF(F889&lt;=32,"32","40"),Reference!$D$5:$D$12,0)),""))</f>
        <v/>
      </c>
      <c r="J889" s="11" t="str">
        <f t="shared" si="80"/>
        <v/>
      </c>
      <c r="K889" s="12"/>
      <c r="L889" s="11" t="str">
        <f t="shared" si="81"/>
        <v/>
      </c>
      <c r="M889" s="12"/>
      <c r="N889" s="12"/>
      <c r="O889" s="11" t="str">
        <f t="shared" si="82"/>
        <v/>
      </c>
      <c r="P889" s="10" t="str">
        <f t="shared" si="83"/>
        <v/>
      </c>
    </row>
    <row r="890" spans="1:16" ht="15" customHeight="1" x14ac:dyDescent="0.2">
      <c r="A890" s="8"/>
      <c r="B890" s="8"/>
      <c r="C890" s="8"/>
      <c r="D890" s="9"/>
      <c r="E890" s="9"/>
      <c r="F890" s="8"/>
      <c r="G890" s="10" t="str">
        <f t="shared" si="78"/>
        <v/>
      </c>
      <c r="H890" s="10" t="str">
        <f t="shared" si="79"/>
        <v/>
      </c>
      <c r="I890" s="11" t="str">
        <f>IF(B890="Recreation",IFERROR(INDEX(RecPricing!$E$5:$E$10,MATCH(IF(C890="Mixed","External",IF(C890="Unknown","UoB",C890))&amp;"|"&amp;IF(F890&lt;=24,"&lt;=24",IF(F890&lt;=32,"&lt;=32","Above32")),RecPricing!$F$5:$F$10,0)),""),IFERROR(INDEX(Reference!$E$5:$E$12,MATCH(B890&amp;"|"&amp;IF(C890="Mixed","External",IF(C890="Unknown","UoB",C890))&amp;"|"&amp;IF(F890&lt;=32,"32","40"),Reference!$D$5:$D$12,0)),""))</f>
        <v/>
      </c>
      <c r="J890" s="11" t="str">
        <f t="shared" si="80"/>
        <v/>
      </c>
      <c r="K890" s="12"/>
      <c r="L890" s="11" t="str">
        <f t="shared" si="81"/>
        <v/>
      </c>
      <c r="M890" s="12"/>
      <c r="N890" s="12"/>
      <c r="O890" s="11" t="str">
        <f t="shared" si="82"/>
        <v/>
      </c>
      <c r="P890" s="10" t="str">
        <f t="shared" si="83"/>
        <v/>
      </c>
    </row>
    <row r="891" spans="1:16" ht="15" customHeight="1" x14ac:dyDescent="0.2">
      <c r="A891" s="8"/>
      <c r="B891" s="8"/>
      <c r="C891" s="8"/>
      <c r="D891" s="9"/>
      <c r="E891" s="9"/>
      <c r="F891" s="8"/>
      <c r="G891" s="10" t="str">
        <f t="shared" si="78"/>
        <v/>
      </c>
      <c r="H891" s="10" t="str">
        <f t="shared" si="79"/>
        <v/>
      </c>
      <c r="I891" s="11" t="str">
        <f>IF(B891="Recreation",IFERROR(INDEX(RecPricing!$E$5:$E$10,MATCH(IF(C891="Mixed","External",IF(C891="Unknown","UoB",C891))&amp;"|"&amp;IF(F891&lt;=24,"&lt;=24",IF(F891&lt;=32,"&lt;=32","Above32")),RecPricing!$F$5:$F$10,0)),""),IFERROR(INDEX(Reference!$E$5:$E$12,MATCH(B891&amp;"|"&amp;IF(C891="Mixed","External",IF(C891="Unknown","UoB",C891))&amp;"|"&amp;IF(F891&lt;=32,"32","40"),Reference!$D$5:$D$12,0)),""))</f>
        <v/>
      </c>
      <c r="J891" s="11" t="str">
        <f t="shared" si="80"/>
        <v/>
      </c>
      <c r="K891" s="12"/>
      <c r="L891" s="11" t="str">
        <f t="shared" si="81"/>
        <v/>
      </c>
      <c r="M891" s="12"/>
      <c r="N891" s="12"/>
      <c r="O891" s="11" t="str">
        <f t="shared" si="82"/>
        <v/>
      </c>
      <c r="P891" s="10" t="str">
        <f t="shared" si="83"/>
        <v/>
      </c>
    </row>
    <row r="892" spans="1:16" ht="15" customHeight="1" x14ac:dyDescent="0.2">
      <c r="A892" s="8"/>
      <c r="B892" s="8"/>
      <c r="C892" s="8"/>
      <c r="D892" s="9"/>
      <c r="E892" s="9"/>
      <c r="F892" s="8"/>
      <c r="G892" s="10" t="str">
        <f t="shared" si="78"/>
        <v/>
      </c>
      <c r="H892" s="10" t="str">
        <f t="shared" si="79"/>
        <v/>
      </c>
      <c r="I892" s="11" t="str">
        <f>IF(B892="Recreation",IFERROR(INDEX(RecPricing!$E$5:$E$10,MATCH(IF(C892="Mixed","External",IF(C892="Unknown","UoB",C892))&amp;"|"&amp;IF(F892&lt;=24,"&lt;=24",IF(F892&lt;=32,"&lt;=32","Above32")),RecPricing!$F$5:$F$10,0)),""),IFERROR(INDEX(Reference!$E$5:$E$12,MATCH(B892&amp;"|"&amp;IF(C892="Mixed","External",IF(C892="Unknown","UoB",C892))&amp;"|"&amp;IF(F892&lt;=32,"32","40"),Reference!$D$5:$D$12,0)),""))</f>
        <v/>
      </c>
      <c r="J892" s="11" t="str">
        <f t="shared" si="80"/>
        <v/>
      </c>
      <c r="K892" s="12"/>
      <c r="L892" s="11" t="str">
        <f t="shared" si="81"/>
        <v/>
      </c>
      <c r="M892" s="12"/>
      <c r="N892" s="12"/>
      <c r="O892" s="11" t="str">
        <f t="shared" si="82"/>
        <v/>
      </c>
      <c r="P892" s="10" t="str">
        <f t="shared" si="83"/>
        <v/>
      </c>
    </row>
    <row r="893" spans="1:16" ht="15" customHeight="1" x14ac:dyDescent="0.2">
      <c r="A893" s="8"/>
      <c r="B893" s="8"/>
      <c r="C893" s="8"/>
      <c r="D893" s="9"/>
      <c r="E893" s="9"/>
      <c r="F893" s="8"/>
      <c r="G893" s="10" t="str">
        <f t="shared" si="78"/>
        <v/>
      </c>
      <c r="H893" s="10" t="str">
        <f t="shared" si="79"/>
        <v/>
      </c>
      <c r="I893" s="11" t="str">
        <f>IF(B893="Recreation",IFERROR(INDEX(RecPricing!$E$5:$E$10,MATCH(IF(C893="Mixed","External",IF(C893="Unknown","UoB",C893))&amp;"|"&amp;IF(F893&lt;=24,"&lt;=24",IF(F893&lt;=32,"&lt;=32","Above32")),RecPricing!$F$5:$F$10,0)),""),IFERROR(INDEX(Reference!$E$5:$E$12,MATCH(B893&amp;"|"&amp;IF(C893="Mixed","External",IF(C893="Unknown","UoB",C893))&amp;"|"&amp;IF(F893&lt;=32,"32","40"),Reference!$D$5:$D$12,0)),""))</f>
        <v/>
      </c>
      <c r="J893" s="11" t="str">
        <f t="shared" si="80"/>
        <v/>
      </c>
      <c r="K893" s="12"/>
      <c r="L893" s="11" t="str">
        <f t="shared" si="81"/>
        <v/>
      </c>
      <c r="M893" s="12"/>
      <c r="N893" s="12"/>
      <c r="O893" s="11" t="str">
        <f t="shared" si="82"/>
        <v/>
      </c>
      <c r="P893" s="10" t="str">
        <f t="shared" si="83"/>
        <v/>
      </c>
    </row>
    <row r="894" spans="1:16" ht="15" customHeight="1" x14ac:dyDescent="0.2">
      <c r="A894" s="8"/>
      <c r="B894" s="8"/>
      <c r="C894" s="8"/>
      <c r="D894" s="9"/>
      <c r="E894" s="9"/>
      <c r="F894" s="8"/>
      <c r="G894" s="10" t="str">
        <f t="shared" si="78"/>
        <v/>
      </c>
      <c r="H894" s="10" t="str">
        <f t="shared" si="79"/>
        <v/>
      </c>
      <c r="I894" s="11" t="str">
        <f>IF(B894="Recreation",IFERROR(INDEX(RecPricing!$E$5:$E$10,MATCH(IF(C894="Mixed","External",IF(C894="Unknown","UoB",C894))&amp;"|"&amp;IF(F894&lt;=24,"&lt;=24",IF(F894&lt;=32,"&lt;=32","Above32")),RecPricing!$F$5:$F$10,0)),""),IFERROR(INDEX(Reference!$E$5:$E$12,MATCH(B894&amp;"|"&amp;IF(C894="Mixed","External",IF(C894="Unknown","UoB",C894))&amp;"|"&amp;IF(F894&lt;=32,"32","40"),Reference!$D$5:$D$12,0)),""))</f>
        <v/>
      </c>
      <c r="J894" s="11" t="str">
        <f t="shared" si="80"/>
        <v/>
      </c>
      <c r="K894" s="12"/>
      <c r="L894" s="11" t="str">
        <f t="shared" si="81"/>
        <v/>
      </c>
      <c r="M894" s="12"/>
      <c r="N894" s="12"/>
      <c r="O894" s="11" t="str">
        <f t="shared" si="82"/>
        <v/>
      </c>
      <c r="P894" s="10" t="str">
        <f t="shared" si="83"/>
        <v/>
      </c>
    </row>
    <row r="895" spans="1:16" ht="15" customHeight="1" x14ac:dyDescent="0.2">
      <c r="A895" s="8"/>
      <c r="B895" s="8"/>
      <c r="C895" s="8"/>
      <c r="D895" s="9"/>
      <c r="E895" s="9"/>
      <c r="F895" s="8"/>
      <c r="G895" s="10" t="str">
        <f t="shared" ref="G895:G958" si="84">IF(OR(D895="",E895=""),"",E895-D895)</f>
        <v/>
      </c>
      <c r="H895" s="10" t="str">
        <f t="shared" ref="H895:H958" si="85">IF(OR(F895="",G895=""),"",F895*G895)</f>
        <v/>
      </c>
      <c r="I895" s="11" t="str">
        <f>IF(B895="Recreation",IFERROR(INDEX(RecPricing!$E$5:$E$10,MATCH(IF(C895="Mixed","External",IF(C895="Unknown","UoB",C895))&amp;"|"&amp;IF(F895&lt;=24,"&lt;=24",IF(F895&lt;=32,"&lt;=32","Above32")),RecPricing!$F$5:$F$10,0)),""),IFERROR(INDEX(Reference!$E$5:$E$12,MATCH(B895&amp;"|"&amp;IF(C895="Mixed","External",IF(C895="Unknown","UoB",C895))&amp;"|"&amp;IF(F895&lt;=32,"32","40"),Reference!$D$5:$D$12,0)),""))</f>
        <v/>
      </c>
      <c r="J895" s="11" t="str">
        <f t="shared" ref="J895:J958" si="86">IF(I895="","",IF(B895="Recreation",IF(F895&lt;=32,I895,I895*IF(F895="",0,F895)),IF(AND(I895&lt;&gt;"",G895&lt;&gt;""),I895*G895,"")))</f>
        <v/>
      </c>
      <c r="K895" s="12"/>
      <c r="L895" s="11" t="str">
        <f t="shared" ref="L895:L958" si="87">IF(J895="","",J895-IF(K895="",0,K895))</f>
        <v/>
      </c>
      <c r="M895" s="12"/>
      <c r="N895" s="12"/>
      <c r="O895" s="11" t="str">
        <f t="shared" ref="O895:O958" si="88">IF(L895="","",L895-IF(M895="",0,M895)-IF(N895="",0,N895))</f>
        <v/>
      </c>
      <c r="P895" s="10" t="str">
        <f t="shared" ref="P895:P958" si="89">IF(D895="","",IF(MONTH(D895)&gt;=8,YEAR(D895)&amp;"-"&amp;RIGHT(YEAR(D895)+1,2),YEAR(D895)-1&amp;"-"&amp;RIGHT(YEAR(D895),2)))</f>
        <v/>
      </c>
    </row>
    <row r="896" spans="1:16" ht="15" customHeight="1" x14ac:dyDescent="0.2">
      <c r="A896" s="8"/>
      <c r="B896" s="8"/>
      <c r="C896" s="8"/>
      <c r="D896" s="9"/>
      <c r="E896" s="9"/>
      <c r="F896" s="8"/>
      <c r="G896" s="10" t="str">
        <f t="shared" si="84"/>
        <v/>
      </c>
      <c r="H896" s="10" t="str">
        <f t="shared" si="85"/>
        <v/>
      </c>
      <c r="I896" s="11" t="str">
        <f>IF(B896="Recreation",IFERROR(INDEX(RecPricing!$E$5:$E$10,MATCH(IF(C896="Mixed","External",IF(C896="Unknown","UoB",C896))&amp;"|"&amp;IF(F896&lt;=24,"&lt;=24",IF(F896&lt;=32,"&lt;=32","Above32")),RecPricing!$F$5:$F$10,0)),""),IFERROR(INDEX(Reference!$E$5:$E$12,MATCH(B896&amp;"|"&amp;IF(C896="Mixed","External",IF(C896="Unknown","UoB",C896))&amp;"|"&amp;IF(F896&lt;=32,"32","40"),Reference!$D$5:$D$12,0)),""))</f>
        <v/>
      </c>
      <c r="J896" s="11" t="str">
        <f t="shared" si="86"/>
        <v/>
      </c>
      <c r="K896" s="12"/>
      <c r="L896" s="11" t="str">
        <f t="shared" si="87"/>
        <v/>
      </c>
      <c r="M896" s="12"/>
      <c r="N896" s="12"/>
      <c r="O896" s="11" t="str">
        <f t="shared" si="88"/>
        <v/>
      </c>
      <c r="P896" s="10" t="str">
        <f t="shared" si="89"/>
        <v/>
      </c>
    </row>
    <row r="897" spans="1:16" ht="15" customHeight="1" x14ac:dyDescent="0.2">
      <c r="A897" s="8"/>
      <c r="B897" s="8"/>
      <c r="C897" s="8"/>
      <c r="D897" s="9"/>
      <c r="E897" s="9"/>
      <c r="F897" s="8"/>
      <c r="G897" s="10" t="str">
        <f t="shared" si="84"/>
        <v/>
      </c>
      <c r="H897" s="10" t="str">
        <f t="shared" si="85"/>
        <v/>
      </c>
      <c r="I897" s="11" t="str">
        <f>IF(B897="Recreation",IFERROR(INDEX(RecPricing!$E$5:$E$10,MATCH(IF(C897="Mixed","External",IF(C897="Unknown","UoB",C897))&amp;"|"&amp;IF(F897&lt;=24,"&lt;=24",IF(F897&lt;=32,"&lt;=32","Above32")),RecPricing!$F$5:$F$10,0)),""),IFERROR(INDEX(Reference!$E$5:$E$12,MATCH(B897&amp;"|"&amp;IF(C897="Mixed","External",IF(C897="Unknown","UoB",C897))&amp;"|"&amp;IF(F897&lt;=32,"32","40"),Reference!$D$5:$D$12,0)),""))</f>
        <v/>
      </c>
      <c r="J897" s="11" t="str">
        <f t="shared" si="86"/>
        <v/>
      </c>
      <c r="K897" s="12"/>
      <c r="L897" s="11" t="str">
        <f t="shared" si="87"/>
        <v/>
      </c>
      <c r="M897" s="12"/>
      <c r="N897" s="12"/>
      <c r="O897" s="11" t="str">
        <f t="shared" si="88"/>
        <v/>
      </c>
      <c r="P897" s="10" t="str">
        <f t="shared" si="89"/>
        <v/>
      </c>
    </row>
    <row r="898" spans="1:16" ht="15" customHeight="1" x14ac:dyDescent="0.2">
      <c r="A898" s="8"/>
      <c r="B898" s="8"/>
      <c r="C898" s="8"/>
      <c r="D898" s="9"/>
      <c r="E898" s="9"/>
      <c r="F898" s="8"/>
      <c r="G898" s="10" t="str">
        <f t="shared" si="84"/>
        <v/>
      </c>
      <c r="H898" s="10" t="str">
        <f t="shared" si="85"/>
        <v/>
      </c>
      <c r="I898" s="11" t="str">
        <f>IF(B898="Recreation",IFERROR(INDEX(RecPricing!$E$5:$E$10,MATCH(IF(C898="Mixed","External",IF(C898="Unknown","UoB",C898))&amp;"|"&amp;IF(F898&lt;=24,"&lt;=24",IF(F898&lt;=32,"&lt;=32","Above32")),RecPricing!$F$5:$F$10,0)),""),IFERROR(INDEX(Reference!$E$5:$E$12,MATCH(B898&amp;"|"&amp;IF(C898="Mixed","External",IF(C898="Unknown","UoB",C898))&amp;"|"&amp;IF(F898&lt;=32,"32","40"),Reference!$D$5:$D$12,0)),""))</f>
        <v/>
      </c>
      <c r="J898" s="11" t="str">
        <f t="shared" si="86"/>
        <v/>
      </c>
      <c r="K898" s="12"/>
      <c r="L898" s="11" t="str">
        <f t="shared" si="87"/>
        <v/>
      </c>
      <c r="M898" s="12"/>
      <c r="N898" s="12"/>
      <c r="O898" s="11" t="str">
        <f t="shared" si="88"/>
        <v/>
      </c>
      <c r="P898" s="10" t="str">
        <f t="shared" si="89"/>
        <v/>
      </c>
    </row>
    <row r="899" spans="1:16" ht="15" customHeight="1" x14ac:dyDescent="0.2">
      <c r="A899" s="8"/>
      <c r="B899" s="8"/>
      <c r="C899" s="8"/>
      <c r="D899" s="9"/>
      <c r="E899" s="9"/>
      <c r="F899" s="8"/>
      <c r="G899" s="10" t="str">
        <f t="shared" si="84"/>
        <v/>
      </c>
      <c r="H899" s="10" t="str">
        <f t="shared" si="85"/>
        <v/>
      </c>
      <c r="I899" s="11" t="str">
        <f>IF(B899="Recreation",IFERROR(INDEX(RecPricing!$E$5:$E$10,MATCH(IF(C899="Mixed","External",IF(C899="Unknown","UoB",C899))&amp;"|"&amp;IF(F899&lt;=24,"&lt;=24",IF(F899&lt;=32,"&lt;=32","Above32")),RecPricing!$F$5:$F$10,0)),""),IFERROR(INDEX(Reference!$E$5:$E$12,MATCH(B899&amp;"|"&amp;IF(C899="Mixed","External",IF(C899="Unknown","UoB",C899))&amp;"|"&amp;IF(F899&lt;=32,"32","40"),Reference!$D$5:$D$12,0)),""))</f>
        <v/>
      </c>
      <c r="J899" s="11" t="str">
        <f t="shared" si="86"/>
        <v/>
      </c>
      <c r="K899" s="12"/>
      <c r="L899" s="11" t="str">
        <f t="shared" si="87"/>
        <v/>
      </c>
      <c r="M899" s="12"/>
      <c r="N899" s="12"/>
      <c r="O899" s="11" t="str">
        <f t="shared" si="88"/>
        <v/>
      </c>
      <c r="P899" s="10" t="str">
        <f t="shared" si="89"/>
        <v/>
      </c>
    </row>
    <row r="900" spans="1:16" ht="15" customHeight="1" x14ac:dyDescent="0.2">
      <c r="A900" s="8"/>
      <c r="B900" s="8"/>
      <c r="C900" s="8"/>
      <c r="D900" s="9"/>
      <c r="E900" s="9"/>
      <c r="F900" s="8"/>
      <c r="G900" s="10" t="str">
        <f t="shared" si="84"/>
        <v/>
      </c>
      <c r="H900" s="10" t="str">
        <f t="shared" si="85"/>
        <v/>
      </c>
      <c r="I900" s="11" t="str">
        <f>IF(B900="Recreation",IFERROR(INDEX(RecPricing!$E$5:$E$10,MATCH(IF(C900="Mixed","External",IF(C900="Unknown","UoB",C900))&amp;"|"&amp;IF(F900&lt;=24,"&lt;=24",IF(F900&lt;=32,"&lt;=32","Above32")),RecPricing!$F$5:$F$10,0)),""),IFERROR(INDEX(Reference!$E$5:$E$12,MATCH(B900&amp;"|"&amp;IF(C900="Mixed","External",IF(C900="Unknown","UoB",C900))&amp;"|"&amp;IF(F900&lt;=32,"32","40"),Reference!$D$5:$D$12,0)),""))</f>
        <v/>
      </c>
      <c r="J900" s="11" t="str">
        <f t="shared" si="86"/>
        <v/>
      </c>
      <c r="K900" s="12"/>
      <c r="L900" s="11" t="str">
        <f t="shared" si="87"/>
        <v/>
      </c>
      <c r="M900" s="12"/>
      <c r="N900" s="12"/>
      <c r="O900" s="11" t="str">
        <f t="shared" si="88"/>
        <v/>
      </c>
      <c r="P900" s="10" t="str">
        <f t="shared" si="89"/>
        <v/>
      </c>
    </row>
    <row r="901" spans="1:16" ht="15" customHeight="1" x14ac:dyDescent="0.2">
      <c r="A901" s="8"/>
      <c r="B901" s="8"/>
      <c r="C901" s="8"/>
      <c r="D901" s="9"/>
      <c r="E901" s="9"/>
      <c r="F901" s="8"/>
      <c r="G901" s="10" t="str">
        <f t="shared" si="84"/>
        <v/>
      </c>
      <c r="H901" s="10" t="str">
        <f t="shared" si="85"/>
        <v/>
      </c>
      <c r="I901" s="11" t="str">
        <f>IF(B901="Recreation",IFERROR(INDEX(RecPricing!$E$5:$E$10,MATCH(IF(C901="Mixed","External",IF(C901="Unknown","UoB",C901))&amp;"|"&amp;IF(F901&lt;=24,"&lt;=24",IF(F901&lt;=32,"&lt;=32","Above32")),RecPricing!$F$5:$F$10,0)),""),IFERROR(INDEX(Reference!$E$5:$E$12,MATCH(B901&amp;"|"&amp;IF(C901="Mixed","External",IF(C901="Unknown","UoB",C901))&amp;"|"&amp;IF(F901&lt;=32,"32","40"),Reference!$D$5:$D$12,0)),""))</f>
        <v/>
      </c>
      <c r="J901" s="11" t="str">
        <f t="shared" si="86"/>
        <v/>
      </c>
      <c r="K901" s="12"/>
      <c r="L901" s="11" t="str">
        <f t="shared" si="87"/>
        <v/>
      </c>
      <c r="M901" s="12"/>
      <c r="N901" s="12"/>
      <c r="O901" s="11" t="str">
        <f t="shared" si="88"/>
        <v/>
      </c>
      <c r="P901" s="10" t="str">
        <f t="shared" si="89"/>
        <v/>
      </c>
    </row>
    <row r="902" spans="1:16" ht="15" customHeight="1" x14ac:dyDescent="0.2">
      <c r="A902" s="8"/>
      <c r="B902" s="8"/>
      <c r="C902" s="8"/>
      <c r="D902" s="9"/>
      <c r="E902" s="9"/>
      <c r="F902" s="8"/>
      <c r="G902" s="10" t="str">
        <f t="shared" si="84"/>
        <v/>
      </c>
      <c r="H902" s="10" t="str">
        <f t="shared" si="85"/>
        <v/>
      </c>
      <c r="I902" s="11" t="str">
        <f>IF(B902="Recreation",IFERROR(INDEX(RecPricing!$E$5:$E$10,MATCH(IF(C902="Mixed","External",IF(C902="Unknown","UoB",C902))&amp;"|"&amp;IF(F902&lt;=24,"&lt;=24",IF(F902&lt;=32,"&lt;=32","Above32")),RecPricing!$F$5:$F$10,0)),""),IFERROR(INDEX(Reference!$E$5:$E$12,MATCH(B902&amp;"|"&amp;IF(C902="Mixed","External",IF(C902="Unknown","UoB",C902))&amp;"|"&amp;IF(F902&lt;=32,"32","40"),Reference!$D$5:$D$12,0)),""))</f>
        <v/>
      </c>
      <c r="J902" s="11" t="str">
        <f t="shared" si="86"/>
        <v/>
      </c>
      <c r="K902" s="12"/>
      <c r="L902" s="11" t="str">
        <f t="shared" si="87"/>
        <v/>
      </c>
      <c r="M902" s="12"/>
      <c r="N902" s="12"/>
      <c r="O902" s="11" t="str">
        <f t="shared" si="88"/>
        <v/>
      </c>
      <c r="P902" s="10" t="str">
        <f t="shared" si="89"/>
        <v/>
      </c>
    </row>
    <row r="903" spans="1:16" ht="15" customHeight="1" x14ac:dyDescent="0.2">
      <c r="A903" s="8"/>
      <c r="B903" s="8"/>
      <c r="C903" s="8"/>
      <c r="D903" s="9"/>
      <c r="E903" s="9"/>
      <c r="F903" s="8"/>
      <c r="G903" s="10" t="str">
        <f t="shared" si="84"/>
        <v/>
      </c>
      <c r="H903" s="10" t="str">
        <f t="shared" si="85"/>
        <v/>
      </c>
      <c r="I903" s="11" t="str">
        <f>IF(B903="Recreation",IFERROR(INDEX(RecPricing!$E$5:$E$10,MATCH(IF(C903="Mixed","External",IF(C903="Unknown","UoB",C903))&amp;"|"&amp;IF(F903&lt;=24,"&lt;=24",IF(F903&lt;=32,"&lt;=32","Above32")),RecPricing!$F$5:$F$10,0)),""),IFERROR(INDEX(Reference!$E$5:$E$12,MATCH(B903&amp;"|"&amp;IF(C903="Mixed","External",IF(C903="Unknown","UoB",C903))&amp;"|"&amp;IF(F903&lt;=32,"32","40"),Reference!$D$5:$D$12,0)),""))</f>
        <v/>
      </c>
      <c r="J903" s="11" t="str">
        <f t="shared" si="86"/>
        <v/>
      </c>
      <c r="K903" s="12"/>
      <c r="L903" s="11" t="str">
        <f t="shared" si="87"/>
        <v/>
      </c>
      <c r="M903" s="12"/>
      <c r="N903" s="12"/>
      <c r="O903" s="11" t="str">
        <f t="shared" si="88"/>
        <v/>
      </c>
      <c r="P903" s="10" t="str">
        <f t="shared" si="89"/>
        <v/>
      </c>
    </row>
    <row r="904" spans="1:16" ht="15" customHeight="1" x14ac:dyDescent="0.2">
      <c r="A904" s="8"/>
      <c r="B904" s="8"/>
      <c r="C904" s="8"/>
      <c r="D904" s="9"/>
      <c r="E904" s="9"/>
      <c r="F904" s="8"/>
      <c r="G904" s="10" t="str">
        <f t="shared" si="84"/>
        <v/>
      </c>
      <c r="H904" s="10" t="str">
        <f t="shared" si="85"/>
        <v/>
      </c>
      <c r="I904" s="11" t="str">
        <f>IF(B904="Recreation",IFERROR(INDEX(RecPricing!$E$5:$E$10,MATCH(IF(C904="Mixed","External",IF(C904="Unknown","UoB",C904))&amp;"|"&amp;IF(F904&lt;=24,"&lt;=24",IF(F904&lt;=32,"&lt;=32","Above32")),RecPricing!$F$5:$F$10,0)),""),IFERROR(INDEX(Reference!$E$5:$E$12,MATCH(B904&amp;"|"&amp;IF(C904="Mixed","External",IF(C904="Unknown","UoB",C904))&amp;"|"&amp;IF(F904&lt;=32,"32","40"),Reference!$D$5:$D$12,0)),""))</f>
        <v/>
      </c>
      <c r="J904" s="11" t="str">
        <f t="shared" si="86"/>
        <v/>
      </c>
      <c r="K904" s="12"/>
      <c r="L904" s="11" t="str">
        <f t="shared" si="87"/>
        <v/>
      </c>
      <c r="M904" s="12"/>
      <c r="N904" s="12"/>
      <c r="O904" s="11" t="str">
        <f t="shared" si="88"/>
        <v/>
      </c>
      <c r="P904" s="10" t="str">
        <f t="shared" si="89"/>
        <v/>
      </c>
    </row>
    <row r="905" spans="1:16" ht="15" customHeight="1" x14ac:dyDescent="0.2">
      <c r="A905" s="8"/>
      <c r="B905" s="8"/>
      <c r="C905" s="8"/>
      <c r="D905" s="9"/>
      <c r="E905" s="9"/>
      <c r="F905" s="8"/>
      <c r="G905" s="10" t="str">
        <f t="shared" si="84"/>
        <v/>
      </c>
      <c r="H905" s="10" t="str">
        <f t="shared" si="85"/>
        <v/>
      </c>
      <c r="I905" s="11" t="str">
        <f>IF(B905="Recreation",IFERROR(INDEX(RecPricing!$E$5:$E$10,MATCH(IF(C905="Mixed","External",IF(C905="Unknown","UoB",C905))&amp;"|"&amp;IF(F905&lt;=24,"&lt;=24",IF(F905&lt;=32,"&lt;=32","Above32")),RecPricing!$F$5:$F$10,0)),""),IFERROR(INDEX(Reference!$E$5:$E$12,MATCH(B905&amp;"|"&amp;IF(C905="Mixed","External",IF(C905="Unknown","UoB",C905))&amp;"|"&amp;IF(F905&lt;=32,"32","40"),Reference!$D$5:$D$12,0)),""))</f>
        <v/>
      </c>
      <c r="J905" s="11" t="str">
        <f t="shared" si="86"/>
        <v/>
      </c>
      <c r="K905" s="12"/>
      <c r="L905" s="11" t="str">
        <f t="shared" si="87"/>
        <v/>
      </c>
      <c r="M905" s="12"/>
      <c r="N905" s="12"/>
      <c r="O905" s="11" t="str">
        <f t="shared" si="88"/>
        <v/>
      </c>
      <c r="P905" s="10" t="str">
        <f t="shared" si="89"/>
        <v/>
      </c>
    </row>
    <row r="906" spans="1:16" ht="15" customHeight="1" x14ac:dyDescent="0.2">
      <c r="A906" s="8"/>
      <c r="B906" s="8"/>
      <c r="C906" s="8"/>
      <c r="D906" s="9"/>
      <c r="E906" s="9"/>
      <c r="F906" s="8"/>
      <c r="G906" s="10" t="str">
        <f t="shared" si="84"/>
        <v/>
      </c>
      <c r="H906" s="10" t="str">
        <f t="shared" si="85"/>
        <v/>
      </c>
      <c r="I906" s="11" t="str">
        <f>IF(B906="Recreation",IFERROR(INDEX(RecPricing!$E$5:$E$10,MATCH(IF(C906="Mixed","External",IF(C906="Unknown","UoB",C906))&amp;"|"&amp;IF(F906&lt;=24,"&lt;=24",IF(F906&lt;=32,"&lt;=32","Above32")),RecPricing!$F$5:$F$10,0)),""),IFERROR(INDEX(Reference!$E$5:$E$12,MATCH(B906&amp;"|"&amp;IF(C906="Mixed","External",IF(C906="Unknown","UoB",C906))&amp;"|"&amp;IF(F906&lt;=32,"32","40"),Reference!$D$5:$D$12,0)),""))</f>
        <v/>
      </c>
      <c r="J906" s="11" t="str">
        <f t="shared" si="86"/>
        <v/>
      </c>
      <c r="K906" s="12"/>
      <c r="L906" s="11" t="str">
        <f t="shared" si="87"/>
        <v/>
      </c>
      <c r="M906" s="12"/>
      <c r="N906" s="12"/>
      <c r="O906" s="11" t="str">
        <f t="shared" si="88"/>
        <v/>
      </c>
      <c r="P906" s="10" t="str">
        <f t="shared" si="89"/>
        <v/>
      </c>
    </row>
    <row r="907" spans="1:16" ht="15" customHeight="1" x14ac:dyDescent="0.2">
      <c r="A907" s="8"/>
      <c r="B907" s="8"/>
      <c r="C907" s="8"/>
      <c r="D907" s="9"/>
      <c r="E907" s="9"/>
      <c r="F907" s="8"/>
      <c r="G907" s="10" t="str">
        <f t="shared" si="84"/>
        <v/>
      </c>
      <c r="H907" s="10" t="str">
        <f t="shared" si="85"/>
        <v/>
      </c>
      <c r="I907" s="11" t="str">
        <f>IF(B907="Recreation",IFERROR(INDEX(RecPricing!$E$5:$E$10,MATCH(IF(C907="Mixed","External",IF(C907="Unknown","UoB",C907))&amp;"|"&amp;IF(F907&lt;=24,"&lt;=24",IF(F907&lt;=32,"&lt;=32","Above32")),RecPricing!$F$5:$F$10,0)),""),IFERROR(INDEX(Reference!$E$5:$E$12,MATCH(B907&amp;"|"&amp;IF(C907="Mixed","External",IF(C907="Unknown","UoB",C907))&amp;"|"&amp;IF(F907&lt;=32,"32","40"),Reference!$D$5:$D$12,0)),""))</f>
        <v/>
      </c>
      <c r="J907" s="11" t="str">
        <f t="shared" si="86"/>
        <v/>
      </c>
      <c r="K907" s="12"/>
      <c r="L907" s="11" t="str">
        <f t="shared" si="87"/>
        <v/>
      </c>
      <c r="M907" s="12"/>
      <c r="N907" s="12"/>
      <c r="O907" s="11" t="str">
        <f t="shared" si="88"/>
        <v/>
      </c>
      <c r="P907" s="10" t="str">
        <f t="shared" si="89"/>
        <v/>
      </c>
    </row>
    <row r="908" spans="1:16" ht="15" customHeight="1" x14ac:dyDescent="0.2">
      <c r="A908" s="8"/>
      <c r="B908" s="8"/>
      <c r="C908" s="8"/>
      <c r="D908" s="9"/>
      <c r="E908" s="9"/>
      <c r="F908" s="8"/>
      <c r="G908" s="10" t="str">
        <f t="shared" si="84"/>
        <v/>
      </c>
      <c r="H908" s="10" t="str">
        <f t="shared" si="85"/>
        <v/>
      </c>
      <c r="I908" s="11" t="str">
        <f>IF(B908="Recreation",IFERROR(INDEX(RecPricing!$E$5:$E$10,MATCH(IF(C908="Mixed","External",IF(C908="Unknown","UoB",C908))&amp;"|"&amp;IF(F908&lt;=24,"&lt;=24",IF(F908&lt;=32,"&lt;=32","Above32")),RecPricing!$F$5:$F$10,0)),""),IFERROR(INDEX(Reference!$E$5:$E$12,MATCH(B908&amp;"|"&amp;IF(C908="Mixed","External",IF(C908="Unknown","UoB",C908))&amp;"|"&amp;IF(F908&lt;=32,"32","40"),Reference!$D$5:$D$12,0)),""))</f>
        <v/>
      </c>
      <c r="J908" s="11" t="str">
        <f t="shared" si="86"/>
        <v/>
      </c>
      <c r="K908" s="12"/>
      <c r="L908" s="11" t="str">
        <f t="shared" si="87"/>
        <v/>
      </c>
      <c r="M908" s="12"/>
      <c r="N908" s="12"/>
      <c r="O908" s="11" t="str">
        <f t="shared" si="88"/>
        <v/>
      </c>
      <c r="P908" s="10" t="str">
        <f t="shared" si="89"/>
        <v/>
      </c>
    </row>
    <row r="909" spans="1:16" ht="15" customHeight="1" x14ac:dyDescent="0.2">
      <c r="A909" s="8"/>
      <c r="B909" s="8"/>
      <c r="C909" s="8"/>
      <c r="D909" s="9"/>
      <c r="E909" s="9"/>
      <c r="F909" s="8"/>
      <c r="G909" s="10" t="str">
        <f t="shared" si="84"/>
        <v/>
      </c>
      <c r="H909" s="10" t="str">
        <f t="shared" si="85"/>
        <v/>
      </c>
      <c r="I909" s="11" t="str">
        <f>IF(B909="Recreation",IFERROR(INDEX(RecPricing!$E$5:$E$10,MATCH(IF(C909="Mixed","External",IF(C909="Unknown","UoB",C909))&amp;"|"&amp;IF(F909&lt;=24,"&lt;=24",IF(F909&lt;=32,"&lt;=32","Above32")),RecPricing!$F$5:$F$10,0)),""),IFERROR(INDEX(Reference!$E$5:$E$12,MATCH(B909&amp;"|"&amp;IF(C909="Mixed","External",IF(C909="Unknown","UoB",C909))&amp;"|"&amp;IF(F909&lt;=32,"32","40"),Reference!$D$5:$D$12,0)),""))</f>
        <v/>
      </c>
      <c r="J909" s="11" t="str">
        <f t="shared" si="86"/>
        <v/>
      </c>
      <c r="K909" s="12"/>
      <c r="L909" s="11" t="str">
        <f t="shared" si="87"/>
        <v/>
      </c>
      <c r="M909" s="12"/>
      <c r="N909" s="12"/>
      <c r="O909" s="11" t="str">
        <f t="shared" si="88"/>
        <v/>
      </c>
      <c r="P909" s="10" t="str">
        <f t="shared" si="89"/>
        <v/>
      </c>
    </row>
    <row r="910" spans="1:16" ht="15" customHeight="1" x14ac:dyDescent="0.2">
      <c r="A910" s="8"/>
      <c r="B910" s="8"/>
      <c r="C910" s="8"/>
      <c r="D910" s="9"/>
      <c r="E910" s="9"/>
      <c r="F910" s="8"/>
      <c r="G910" s="10" t="str">
        <f t="shared" si="84"/>
        <v/>
      </c>
      <c r="H910" s="10" t="str">
        <f t="shared" si="85"/>
        <v/>
      </c>
      <c r="I910" s="11" t="str">
        <f>IF(B910="Recreation",IFERROR(INDEX(RecPricing!$E$5:$E$10,MATCH(IF(C910="Mixed","External",IF(C910="Unknown","UoB",C910))&amp;"|"&amp;IF(F910&lt;=24,"&lt;=24",IF(F910&lt;=32,"&lt;=32","Above32")),RecPricing!$F$5:$F$10,0)),""),IFERROR(INDEX(Reference!$E$5:$E$12,MATCH(B910&amp;"|"&amp;IF(C910="Mixed","External",IF(C910="Unknown","UoB",C910))&amp;"|"&amp;IF(F910&lt;=32,"32","40"),Reference!$D$5:$D$12,0)),""))</f>
        <v/>
      </c>
      <c r="J910" s="11" t="str">
        <f t="shared" si="86"/>
        <v/>
      </c>
      <c r="K910" s="12"/>
      <c r="L910" s="11" t="str">
        <f t="shared" si="87"/>
        <v/>
      </c>
      <c r="M910" s="12"/>
      <c r="N910" s="12"/>
      <c r="O910" s="11" t="str">
        <f t="shared" si="88"/>
        <v/>
      </c>
      <c r="P910" s="10" t="str">
        <f t="shared" si="89"/>
        <v/>
      </c>
    </row>
    <row r="911" spans="1:16" ht="15" customHeight="1" x14ac:dyDescent="0.2">
      <c r="A911" s="8"/>
      <c r="B911" s="8"/>
      <c r="C911" s="8"/>
      <c r="D911" s="9"/>
      <c r="E911" s="9"/>
      <c r="F911" s="8"/>
      <c r="G911" s="10" t="str">
        <f t="shared" si="84"/>
        <v/>
      </c>
      <c r="H911" s="10" t="str">
        <f t="shared" si="85"/>
        <v/>
      </c>
      <c r="I911" s="11" t="str">
        <f>IF(B911="Recreation",IFERROR(INDEX(RecPricing!$E$5:$E$10,MATCH(IF(C911="Mixed","External",IF(C911="Unknown","UoB",C911))&amp;"|"&amp;IF(F911&lt;=24,"&lt;=24",IF(F911&lt;=32,"&lt;=32","Above32")),RecPricing!$F$5:$F$10,0)),""),IFERROR(INDEX(Reference!$E$5:$E$12,MATCH(B911&amp;"|"&amp;IF(C911="Mixed","External",IF(C911="Unknown","UoB",C911))&amp;"|"&amp;IF(F911&lt;=32,"32","40"),Reference!$D$5:$D$12,0)),""))</f>
        <v/>
      </c>
      <c r="J911" s="11" t="str">
        <f t="shared" si="86"/>
        <v/>
      </c>
      <c r="K911" s="12"/>
      <c r="L911" s="11" t="str">
        <f t="shared" si="87"/>
        <v/>
      </c>
      <c r="M911" s="12"/>
      <c r="N911" s="12"/>
      <c r="O911" s="11" t="str">
        <f t="shared" si="88"/>
        <v/>
      </c>
      <c r="P911" s="10" t="str">
        <f t="shared" si="89"/>
        <v/>
      </c>
    </row>
    <row r="912" spans="1:16" ht="15" customHeight="1" x14ac:dyDescent="0.2">
      <c r="A912" s="8"/>
      <c r="B912" s="8"/>
      <c r="C912" s="8"/>
      <c r="D912" s="9"/>
      <c r="E912" s="9"/>
      <c r="F912" s="8"/>
      <c r="G912" s="10" t="str">
        <f t="shared" si="84"/>
        <v/>
      </c>
      <c r="H912" s="10" t="str">
        <f t="shared" si="85"/>
        <v/>
      </c>
      <c r="I912" s="11" t="str">
        <f>IF(B912="Recreation",IFERROR(INDEX(RecPricing!$E$5:$E$10,MATCH(IF(C912="Mixed","External",IF(C912="Unknown","UoB",C912))&amp;"|"&amp;IF(F912&lt;=24,"&lt;=24",IF(F912&lt;=32,"&lt;=32","Above32")),RecPricing!$F$5:$F$10,0)),""),IFERROR(INDEX(Reference!$E$5:$E$12,MATCH(B912&amp;"|"&amp;IF(C912="Mixed","External",IF(C912="Unknown","UoB",C912))&amp;"|"&amp;IF(F912&lt;=32,"32","40"),Reference!$D$5:$D$12,0)),""))</f>
        <v/>
      </c>
      <c r="J912" s="11" t="str">
        <f t="shared" si="86"/>
        <v/>
      </c>
      <c r="K912" s="12"/>
      <c r="L912" s="11" t="str">
        <f t="shared" si="87"/>
        <v/>
      </c>
      <c r="M912" s="12"/>
      <c r="N912" s="12"/>
      <c r="O912" s="11" t="str">
        <f t="shared" si="88"/>
        <v/>
      </c>
      <c r="P912" s="10" t="str">
        <f t="shared" si="89"/>
        <v/>
      </c>
    </row>
    <row r="913" spans="1:16" ht="15" customHeight="1" x14ac:dyDescent="0.2">
      <c r="A913" s="8"/>
      <c r="B913" s="8"/>
      <c r="C913" s="8"/>
      <c r="D913" s="9"/>
      <c r="E913" s="9"/>
      <c r="F913" s="8"/>
      <c r="G913" s="10" t="str">
        <f t="shared" si="84"/>
        <v/>
      </c>
      <c r="H913" s="10" t="str">
        <f t="shared" si="85"/>
        <v/>
      </c>
      <c r="I913" s="11" t="str">
        <f>IF(B913="Recreation",IFERROR(INDEX(RecPricing!$E$5:$E$10,MATCH(IF(C913="Mixed","External",IF(C913="Unknown","UoB",C913))&amp;"|"&amp;IF(F913&lt;=24,"&lt;=24",IF(F913&lt;=32,"&lt;=32","Above32")),RecPricing!$F$5:$F$10,0)),""),IFERROR(INDEX(Reference!$E$5:$E$12,MATCH(B913&amp;"|"&amp;IF(C913="Mixed","External",IF(C913="Unknown","UoB",C913))&amp;"|"&amp;IF(F913&lt;=32,"32","40"),Reference!$D$5:$D$12,0)),""))</f>
        <v/>
      </c>
      <c r="J913" s="11" t="str">
        <f t="shared" si="86"/>
        <v/>
      </c>
      <c r="K913" s="12"/>
      <c r="L913" s="11" t="str">
        <f t="shared" si="87"/>
        <v/>
      </c>
      <c r="M913" s="12"/>
      <c r="N913" s="12"/>
      <c r="O913" s="11" t="str">
        <f t="shared" si="88"/>
        <v/>
      </c>
      <c r="P913" s="10" t="str">
        <f t="shared" si="89"/>
        <v/>
      </c>
    </row>
    <row r="914" spans="1:16" ht="15" customHeight="1" x14ac:dyDescent="0.2">
      <c r="A914" s="8"/>
      <c r="B914" s="8"/>
      <c r="C914" s="8"/>
      <c r="D914" s="9"/>
      <c r="E914" s="9"/>
      <c r="F914" s="8"/>
      <c r="G914" s="10" t="str">
        <f t="shared" si="84"/>
        <v/>
      </c>
      <c r="H914" s="10" t="str">
        <f t="shared" si="85"/>
        <v/>
      </c>
      <c r="I914" s="11" t="str">
        <f>IF(B914="Recreation",IFERROR(INDEX(RecPricing!$E$5:$E$10,MATCH(IF(C914="Mixed","External",IF(C914="Unknown","UoB",C914))&amp;"|"&amp;IF(F914&lt;=24,"&lt;=24",IF(F914&lt;=32,"&lt;=32","Above32")),RecPricing!$F$5:$F$10,0)),""),IFERROR(INDEX(Reference!$E$5:$E$12,MATCH(B914&amp;"|"&amp;IF(C914="Mixed","External",IF(C914="Unknown","UoB",C914))&amp;"|"&amp;IF(F914&lt;=32,"32","40"),Reference!$D$5:$D$12,0)),""))</f>
        <v/>
      </c>
      <c r="J914" s="11" t="str">
        <f t="shared" si="86"/>
        <v/>
      </c>
      <c r="K914" s="12"/>
      <c r="L914" s="11" t="str">
        <f t="shared" si="87"/>
        <v/>
      </c>
      <c r="M914" s="12"/>
      <c r="N914" s="12"/>
      <c r="O914" s="11" t="str">
        <f t="shared" si="88"/>
        <v/>
      </c>
      <c r="P914" s="10" t="str">
        <f t="shared" si="89"/>
        <v/>
      </c>
    </row>
    <row r="915" spans="1:16" ht="15" customHeight="1" x14ac:dyDescent="0.2">
      <c r="A915" s="8"/>
      <c r="B915" s="8"/>
      <c r="C915" s="8"/>
      <c r="D915" s="9"/>
      <c r="E915" s="9"/>
      <c r="F915" s="8"/>
      <c r="G915" s="10" t="str">
        <f t="shared" si="84"/>
        <v/>
      </c>
      <c r="H915" s="10" t="str">
        <f t="shared" si="85"/>
        <v/>
      </c>
      <c r="I915" s="11" t="str">
        <f>IF(B915="Recreation",IFERROR(INDEX(RecPricing!$E$5:$E$10,MATCH(IF(C915="Mixed","External",IF(C915="Unknown","UoB",C915))&amp;"|"&amp;IF(F915&lt;=24,"&lt;=24",IF(F915&lt;=32,"&lt;=32","Above32")),RecPricing!$F$5:$F$10,0)),""),IFERROR(INDEX(Reference!$E$5:$E$12,MATCH(B915&amp;"|"&amp;IF(C915="Mixed","External",IF(C915="Unknown","UoB",C915))&amp;"|"&amp;IF(F915&lt;=32,"32","40"),Reference!$D$5:$D$12,0)),""))</f>
        <v/>
      </c>
      <c r="J915" s="11" t="str">
        <f t="shared" si="86"/>
        <v/>
      </c>
      <c r="K915" s="12"/>
      <c r="L915" s="11" t="str">
        <f t="shared" si="87"/>
        <v/>
      </c>
      <c r="M915" s="12"/>
      <c r="N915" s="12"/>
      <c r="O915" s="11" t="str">
        <f t="shared" si="88"/>
        <v/>
      </c>
      <c r="P915" s="10" t="str">
        <f t="shared" si="89"/>
        <v/>
      </c>
    </row>
    <row r="916" spans="1:16" ht="15" customHeight="1" x14ac:dyDescent="0.2">
      <c r="A916" s="8"/>
      <c r="B916" s="8"/>
      <c r="C916" s="8"/>
      <c r="D916" s="9"/>
      <c r="E916" s="9"/>
      <c r="F916" s="8"/>
      <c r="G916" s="10" t="str">
        <f t="shared" si="84"/>
        <v/>
      </c>
      <c r="H916" s="10" t="str">
        <f t="shared" si="85"/>
        <v/>
      </c>
      <c r="I916" s="11" t="str">
        <f>IF(B916="Recreation",IFERROR(INDEX(RecPricing!$E$5:$E$10,MATCH(IF(C916="Mixed","External",IF(C916="Unknown","UoB",C916))&amp;"|"&amp;IF(F916&lt;=24,"&lt;=24",IF(F916&lt;=32,"&lt;=32","Above32")),RecPricing!$F$5:$F$10,0)),""),IFERROR(INDEX(Reference!$E$5:$E$12,MATCH(B916&amp;"|"&amp;IF(C916="Mixed","External",IF(C916="Unknown","UoB",C916))&amp;"|"&amp;IF(F916&lt;=32,"32","40"),Reference!$D$5:$D$12,0)),""))</f>
        <v/>
      </c>
      <c r="J916" s="11" t="str">
        <f t="shared" si="86"/>
        <v/>
      </c>
      <c r="K916" s="12"/>
      <c r="L916" s="11" t="str">
        <f t="shared" si="87"/>
        <v/>
      </c>
      <c r="M916" s="12"/>
      <c r="N916" s="12"/>
      <c r="O916" s="11" t="str">
        <f t="shared" si="88"/>
        <v/>
      </c>
      <c r="P916" s="10" t="str">
        <f t="shared" si="89"/>
        <v/>
      </c>
    </row>
    <row r="917" spans="1:16" ht="15" customHeight="1" x14ac:dyDescent="0.2">
      <c r="A917" s="8"/>
      <c r="B917" s="8"/>
      <c r="C917" s="8"/>
      <c r="D917" s="9"/>
      <c r="E917" s="9"/>
      <c r="F917" s="8"/>
      <c r="G917" s="10" t="str">
        <f t="shared" si="84"/>
        <v/>
      </c>
      <c r="H917" s="10" t="str">
        <f t="shared" si="85"/>
        <v/>
      </c>
      <c r="I917" s="11" t="str">
        <f>IF(B917="Recreation",IFERROR(INDEX(RecPricing!$E$5:$E$10,MATCH(IF(C917="Mixed","External",IF(C917="Unknown","UoB",C917))&amp;"|"&amp;IF(F917&lt;=24,"&lt;=24",IF(F917&lt;=32,"&lt;=32","Above32")),RecPricing!$F$5:$F$10,0)),""),IFERROR(INDEX(Reference!$E$5:$E$12,MATCH(B917&amp;"|"&amp;IF(C917="Mixed","External",IF(C917="Unknown","UoB",C917))&amp;"|"&amp;IF(F917&lt;=32,"32","40"),Reference!$D$5:$D$12,0)),""))</f>
        <v/>
      </c>
      <c r="J917" s="11" t="str">
        <f t="shared" si="86"/>
        <v/>
      </c>
      <c r="K917" s="12"/>
      <c r="L917" s="11" t="str">
        <f t="shared" si="87"/>
        <v/>
      </c>
      <c r="M917" s="12"/>
      <c r="N917" s="12"/>
      <c r="O917" s="11" t="str">
        <f t="shared" si="88"/>
        <v/>
      </c>
      <c r="P917" s="10" t="str">
        <f t="shared" si="89"/>
        <v/>
      </c>
    </row>
    <row r="918" spans="1:16" ht="15" customHeight="1" x14ac:dyDescent="0.2">
      <c r="A918" s="8"/>
      <c r="B918" s="8"/>
      <c r="C918" s="8"/>
      <c r="D918" s="9"/>
      <c r="E918" s="9"/>
      <c r="F918" s="8"/>
      <c r="G918" s="10" t="str">
        <f t="shared" si="84"/>
        <v/>
      </c>
      <c r="H918" s="10" t="str">
        <f t="shared" si="85"/>
        <v/>
      </c>
      <c r="I918" s="11" t="str">
        <f>IF(B918="Recreation",IFERROR(INDEX(RecPricing!$E$5:$E$10,MATCH(IF(C918="Mixed","External",IF(C918="Unknown","UoB",C918))&amp;"|"&amp;IF(F918&lt;=24,"&lt;=24",IF(F918&lt;=32,"&lt;=32","Above32")),RecPricing!$F$5:$F$10,0)),""),IFERROR(INDEX(Reference!$E$5:$E$12,MATCH(B918&amp;"|"&amp;IF(C918="Mixed","External",IF(C918="Unknown","UoB",C918))&amp;"|"&amp;IF(F918&lt;=32,"32","40"),Reference!$D$5:$D$12,0)),""))</f>
        <v/>
      </c>
      <c r="J918" s="11" t="str">
        <f t="shared" si="86"/>
        <v/>
      </c>
      <c r="K918" s="12"/>
      <c r="L918" s="11" t="str">
        <f t="shared" si="87"/>
        <v/>
      </c>
      <c r="M918" s="12"/>
      <c r="N918" s="12"/>
      <c r="O918" s="11" t="str">
        <f t="shared" si="88"/>
        <v/>
      </c>
      <c r="P918" s="10" t="str">
        <f t="shared" si="89"/>
        <v/>
      </c>
    </row>
    <row r="919" spans="1:16" ht="15" customHeight="1" x14ac:dyDescent="0.2">
      <c r="A919" s="8"/>
      <c r="B919" s="8"/>
      <c r="C919" s="8"/>
      <c r="D919" s="9"/>
      <c r="E919" s="9"/>
      <c r="F919" s="8"/>
      <c r="G919" s="10" t="str">
        <f t="shared" si="84"/>
        <v/>
      </c>
      <c r="H919" s="10" t="str">
        <f t="shared" si="85"/>
        <v/>
      </c>
      <c r="I919" s="11" t="str">
        <f>IF(B919="Recreation",IFERROR(INDEX(RecPricing!$E$5:$E$10,MATCH(IF(C919="Mixed","External",IF(C919="Unknown","UoB",C919))&amp;"|"&amp;IF(F919&lt;=24,"&lt;=24",IF(F919&lt;=32,"&lt;=32","Above32")),RecPricing!$F$5:$F$10,0)),""),IFERROR(INDEX(Reference!$E$5:$E$12,MATCH(B919&amp;"|"&amp;IF(C919="Mixed","External",IF(C919="Unknown","UoB",C919))&amp;"|"&amp;IF(F919&lt;=32,"32","40"),Reference!$D$5:$D$12,0)),""))</f>
        <v/>
      </c>
      <c r="J919" s="11" t="str">
        <f t="shared" si="86"/>
        <v/>
      </c>
      <c r="K919" s="12"/>
      <c r="L919" s="11" t="str">
        <f t="shared" si="87"/>
        <v/>
      </c>
      <c r="M919" s="12"/>
      <c r="N919" s="12"/>
      <c r="O919" s="11" t="str">
        <f t="shared" si="88"/>
        <v/>
      </c>
      <c r="P919" s="10" t="str">
        <f t="shared" si="89"/>
        <v/>
      </c>
    </row>
    <row r="920" spans="1:16" ht="15" customHeight="1" x14ac:dyDescent="0.2">
      <c r="A920" s="8"/>
      <c r="B920" s="8"/>
      <c r="C920" s="8"/>
      <c r="D920" s="9"/>
      <c r="E920" s="9"/>
      <c r="F920" s="8"/>
      <c r="G920" s="10" t="str">
        <f t="shared" si="84"/>
        <v/>
      </c>
      <c r="H920" s="10" t="str">
        <f t="shared" si="85"/>
        <v/>
      </c>
      <c r="I920" s="11" t="str">
        <f>IF(B920="Recreation",IFERROR(INDEX(RecPricing!$E$5:$E$10,MATCH(IF(C920="Mixed","External",IF(C920="Unknown","UoB",C920))&amp;"|"&amp;IF(F920&lt;=24,"&lt;=24",IF(F920&lt;=32,"&lt;=32","Above32")),RecPricing!$F$5:$F$10,0)),""),IFERROR(INDEX(Reference!$E$5:$E$12,MATCH(B920&amp;"|"&amp;IF(C920="Mixed","External",IF(C920="Unknown","UoB",C920))&amp;"|"&amp;IF(F920&lt;=32,"32","40"),Reference!$D$5:$D$12,0)),""))</f>
        <v/>
      </c>
      <c r="J920" s="11" t="str">
        <f t="shared" si="86"/>
        <v/>
      </c>
      <c r="K920" s="12"/>
      <c r="L920" s="11" t="str">
        <f t="shared" si="87"/>
        <v/>
      </c>
      <c r="M920" s="12"/>
      <c r="N920" s="12"/>
      <c r="O920" s="11" t="str">
        <f t="shared" si="88"/>
        <v/>
      </c>
      <c r="P920" s="10" t="str">
        <f t="shared" si="89"/>
        <v/>
      </c>
    </row>
    <row r="921" spans="1:16" ht="15" customHeight="1" x14ac:dyDescent="0.2">
      <c r="A921" s="8"/>
      <c r="B921" s="8"/>
      <c r="C921" s="8"/>
      <c r="D921" s="9"/>
      <c r="E921" s="9"/>
      <c r="F921" s="8"/>
      <c r="G921" s="10" t="str">
        <f t="shared" si="84"/>
        <v/>
      </c>
      <c r="H921" s="10" t="str">
        <f t="shared" si="85"/>
        <v/>
      </c>
      <c r="I921" s="11" t="str">
        <f>IF(B921="Recreation",IFERROR(INDEX(RecPricing!$E$5:$E$10,MATCH(IF(C921="Mixed","External",IF(C921="Unknown","UoB",C921))&amp;"|"&amp;IF(F921&lt;=24,"&lt;=24",IF(F921&lt;=32,"&lt;=32","Above32")),RecPricing!$F$5:$F$10,0)),""),IFERROR(INDEX(Reference!$E$5:$E$12,MATCH(B921&amp;"|"&amp;IF(C921="Mixed","External",IF(C921="Unknown","UoB",C921))&amp;"|"&amp;IF(F921&lt;=32,"32","40"),Reference!$D$5:$D$12,0)),""))</f>
        <v/>
      </c>
      <c r="J921" s="11" t="str">
        <f t="shared" si="86"/>
        <v/>
      </c>
      <c r="K921" s="12"/>
      <c r="L921" s="11" t="str">
        <f t="shared" si="87"/>
        <v/>
      </c>
      <c r="M921" s="12"/>
      <c r="N921" s="12"/>
      <c r="O921" s="11" t="str">
        <f t="shared" si="88"/>
        <v/>
      </c>
      <c r="P921" s="10" t="str">
        <f t="shared" si="89"/>
        <v/>
      </c>
    </row>
    <row r="922" spans="1:16" ht="15" customHeight="1" x14ac:dyDescent="0.2">
      <c r="A922" s="8"/>
      <c r="B922" s="8"/>
      <c r="C922" s="8"/>
      <c r="D922" s="9"/>
      <c r="E922" s="9"/>
      <c r="F922" s="8"/>
      <c r="G922" s="10" t="str">
        <f t="shared" si="84"/>
        <v/>
      </c>
      <c r="H922" s="10" t="str">
        <f t="shared" si="85"/>
        <v/>
      </c>
      <c r="I922" s="11" t="str">
        <f>IF(B922="Recreation",IFERROR(INDEX(RecPricing!$E$5:$E$10,MATCH(IF(C922="Mixed","External",IF(C922="Unknown","UoB",C922))&amp;"|"&amp;IF(F922&lt;=24,"&lt;=24",IF(F922&lt;=32,"&lt;=32","Above32")),RecPricing!$F$5:$F$10,0)),""),IFERROR(INDEX(Reference!$E$5:$E$12,MATCH(B922&amp;"|"&amp;IF(C922="Mixed","External",IF(C922="Unknown","UoB",C922))&amp;"|"&amp;IF(F922&lt;=32,"32","40"),Reference!$D$5:$D$12,0)),""))</f>
        <v/>
      </c>
      <c r="J922" s="11" t="str">
        <f t="shared" si="86"/>
        <v/>
      </c>
      <c r="K922" s="12"/>
      <c r="L922" s="11" t="str">
        <f t="shared" si="87"/>
        <v/>
      </c>
      <c r="M922" s="12"/>
      <c r="N922" s="12"/>
      <c r="O922" s="11" t="str">
        <f t="shared" si="88"/>
        <v/>
      </c>
      <c r="P922" s="10" t="str">
        <f t="shared" si="89"/>
        <v/>
      </c>
    </row>
    <row r="923" spans="1:16" ht="15" customHeight="1" x14ac:dyDescent="0.2">
      <c r="A923" s="8"/>
      <c r="B923" s="8"/>
      <c r="C923" s="8"/>
      <c r="D923" s="9"/>
      <c r="E923" s="9"/>
      <c r="F923" s="8"/>
      <c r="G923" s="10" t="str">
        <f t="shared" si="84"/>
        <v/>
      </c>
      <c r="H923" s="10" t="str">
        <f t="shared" si="85"/>
        <v/>
      </c>
      <c r="I923" s="11" t="str">
        <f>IF(B923="Recreation",IFERROR(INDEX(RecPricing!$E$5:$E$10,MATCH(IF(C923="Mixed","External",IF(C923="Unknown","UoB",C923))&amp;"|"&amp;IF(F923&lt;=24,"&lt;=24",IF(F923&lt;=32,"&lt;=32","Above32")),RecPricing!$F$5:$F$10,0)),""),IFERROR(INDEX(Reference!$E$5:$E$12,MATCH(B923&amp;"|"&amp;IF(C923="Mixed","External",IF(C923="Unknown","UoB",C923))&amp;"|"&amp;IF(F923&lt;=32,"32","40"),Reference!$D$5:$D$12,0)),""))</f>
        <v/>
      </c>
      <c r="J923" s="11" t="str">
        <f t="shared" si="86"/>
        <v/>
      </c>
      <c r="K923" s="12"/>
      <c r="L923" s="11" t="str">
        <f t="shared" si="87"/>
        <v/>
      </c>
      <c r="M923" s="12"/>
      <c r="N923" s="12"/>
      <c r="O923" s="11" t="str">
        <f t="shared" si="88"/>
        <v/>
      </c>
      <c r="P923" s="10" t="str">
        <f t="shared" si="89"/>
        <v/>
      </c>
    </row>
    <row r="924" spans="1:16" ht="15" customHeight="1" x14ac:dyDescent="0.2">
      <c r="A924" s="8"/>
      <c r="B924" s="8"/>
      <c r="C924" s="8"/>
      <c r="D924" s="9"/>
      <c r="E924" s="9"/>
      <c r="F924" s="8"/>
      <c r="G924" s="10" t="str">
        <f t="shared" si="84"/>
        <v/>
      </c>
      <c r="H924" s="10" t="str">
        <f t="shared" si="85"/>
        <v/>
      </c>
      <c r="I924" s="11" t="str">
        <f>IF(B924="Recreation",IFERROR(INDEX(RecPricing!$E$5:$E$10,MATCH(IF(C924="Mixed","External",IF(C924="Unknown","UoB",C924))&amp;"|"&amp;IF(F924&lt;=24,"&lt;=24",IF(F924&lt;=32,"&lt;=32","Above32")),RecPricing!$F$5:$F$10,0)),""),IFERROR(INDEX(Reference!$E$5:$E$12,MATCH(B924&amp;"|"&amp;IF(C924="Mixed","External",IF(C924="Unknown","UoB",C924))&amp;"|"&amp;IF(F924&lt;=32,"32","40"),Reference!$D$5:$D$12,0)),""))</f>
        <v/>
      </c>
      <c r="J924" s="11" t="str">
        <f t="shared" si="86"/>
        <v/>
      </c>
      <c r="K924" s="12"/>
      <c r="L924" s="11" t="str">
        <f t="shared" si="87"/>
        <v/>
      </c>
      <c r="M924" s="12"/>
      <c r="N924" s="12"/>
      <c r="O924" s="11" t="str">
        <f t="shared" si="88"/>
        <v/>
      </c>
      <c r="P924" s="10" t="str">
        <f t="shared" si="89"/>
        <v/>
      </c>
    </row>
    <row r="925" spans="1:16" ht="15" customHeight="1" x14ac:dyDescent="0.2">
      <c r="A925" s="8"/>
      <c r="B925" s="8"/>
      <c r="C925" s="8"/>
      <c r="D925" s="9"/>
      <c r="E925" s="9"/>
      <c r="F925" s="8"/>
      <c r="G925" s="10" t="str">
        <f t="shared" si="84"/>
        <v/>
      </c>
      <c r="H925" s="10" t="str">
        <f t="shared" si="85"/>
        <v/>
      </c>
      <c r="I925" s="11" t="str">
        <f>IF(B925="Recreation",IFERROR(INDEX(RecPricing!$E$5:$E$10,MATCH(IF(C925="Mixed","External",IF(C925="Unknown","UoB",C925))&amp;"|"&amp;IF(F925&lt;=24,"&lt;=24",IF(F925&lt;=32,"&lt;=32","Above32")),RecPricing!$F$5:$F$10,0)),""),IFERROR(INDEX(Reference!$E$5:$E$12,MATCH(B925&amp;"|"&amp;IF(C925="Mixed","External",IF(C925="Unknown","UoB",C925))&amp;"|"&amp;IF(F925&lt;=32,"32","40"),Reference!$D$5:$D$12,0)),""))</f>
        <v/>
      </c>
      <c r="J925" s="11" t="str">
        <f t="shared" si="86"/>
        <v/>
      </c>
      <c r="K925" s="12"/>
      <c r="L925" s="11" t="str">
        <f t="shared" si="87"/>
        <v/>
      </c>
      <c r="M925" s="12"/>
      <c r="N925" s="12"/>
      <c r="O925" s="11" t="str">
        <f t="shared" si="88"/>
        <v/>
      </c>
      <c r="P925" s="10" t="str">
        <f t="shared" si="89"/>
        <v/>
      </c>
    </row>
    <row r="926" spans="1:16" ht="15" customHeight="1" x14ac:dyDescent="0.2">
      <c r="A926" s="8"/>
      <c r="B926" s="8"/>
      <c r="C926" s="8"/>
      <c r="D926" s="9"/>
      <c r="E926" s="9"/>
      <c r="F926" s="8"/>
      <c r="G926" s="10" t="str">
        <f t="shared" si="84"/>
        <v/>
      </c>
      <c r="H926" s="10" t="str">
        <f t="shared" si="85"/>
        <v/>
      </c>
      <c r="I926" s="11" t="str">
        <f>IF(B926="Recreation",IFERROR(INDEX(RecPricing!$E$5:$E$10,MATCH(IF(C926="Mixed","External",IF(C926="Unknown","UoB",C926))&amp;"|"&amp;IF(F926&lt;=24,"&lt;=24",IF(F926&lt;=32,"&lt;=32","Above32")),RecPricing!$F$5:$F$10,0)),""),IFERROR(INDEX(Reference!$E$5:$E$12,MATCH(B926&amp;"|"&amp;IF(C926="Mixed","External",IF(C926="Unknown","UoB",C926))&amp;"|"&amp;IF(F926&lt;=32,"32","40"),Reference!$D$5:$D$12,0)),""))</f>
        <v/>
      </c>
      <c r="J926" s="11" t="str">
        <f t="shared" si="86"/>
        <v/>
      </c>
      <c r="K926" s="12"/>
      <c r="L926" s="11" t="str">
        <f t="shared" si="87"/>
        <v/>
      </c>
      <c r="M926" s="12"/>
      <c r="N926" s="12"/>
      <c r="O926" s="11" t="str">
        <f t="shared" si="88"/>
        <v/>
      </c>
      <c r="P926" s="10" t="str">
        <f t="shared" si="89"/>
        <v/>
      </c>
    </row>
    <row r="927" spans="1:16" ht="15" customHeight="1" x14ac:dyDescent="0.2">
      <c r="A927" s="8"/>
      <c r="B927" s="8"/>
      <c r="C927" s="8"/>
      <c r="D927" s="9"/>
      <c r="E927" s="9"/>
      <c r="F927" s="8"/>
      <c r="G927" s="10" t="str">
        <f t="shared" si="84"/>
        <v/>
      </c>
      <c r="H927" s="10" t="str">
        <f t="shared" si="85"/>
        <v/>
      </c>
      <c r="I927" s="11" t="str">
        <f>IF(B927="Recreation",IFERROR(INDEX(RecPricing!$E$5:$E$10,MATCH(IF(C927="Mixed","External",IF(C927="Unknown","UoB",C927))&amp;"|"&amp;IF(F927&lt;=24,"&lt;=24",IF(F927&lt;=32,"&lt;=32","Above32")),RecPricing!$F$5:$F$10,0)),""),IFERROR(INDEX(Reference!$E$5:$E$12,MATCH(B927&amp;"|"&amp;IF(C927="Mixed","External",IF(C927="Unknown","UoB",C927))&amp;"|"&amp;IF(F927&lt;=32,"32","40"),Reference!$D$5:$D$12,0)),""))</f>
        <v/>
      </c>
      <c r="J927" s="11" t="str">
        <f t="shared" si="86"/>
        <v/>
      </c>
      <c r="K927" s="12"/>
      <c r="L927" s="11" t="str">
        <f t="shared" si="87"/>
        <v/>
      </c>
      <c r="M927" s="12"/>
      <c r="N927" s="12"/>
      <c r="O927" s="11" t="str">
        <f t="shared" si="88"/>
        <v/>
      </c>
      <c r="P927" s="10" t="str">
        <f t="shared" si="89"/>
        <v/>
      </c>
    </row>
    <row r="928" spans="1:16" ht="15" customHeight="1" x14ac:dyDescent="0.2">
      <c r="A928" s="8"/>
      <c r="B928" s="8"/>
      <c r="C928" s="8"/>
      <c r="D928" s="9"/>
      <c r="E928" s="9"/>
      <c r="F928" s="8"/>
      <c r="G928" s="10" t="str">
        <f t="shared" si="84"/>
        <v/>
      </c>
      <c r="H928" s="10" t="str">
        <f t="shared" si="85"/>
        <v/>
      </c>
      <c r="I928" s="11" t="str">
        <f>IF(B928="Recreation",IFERROR(INDEX(RecPricing!$E$5:$E$10,MATCH(IF(C928="Mixed","External",IF(C928="Unknown","UoB",C928))&amp;"|"&amp;IF(F928&lt;=24,"&lt;=24",IF(F928&lt;=32,"&lt;=32","Above32")),RecPricing!$F$5:$F$10,0)),""),IFERROR(INDEX(Reference!$E$5:$E$12,MATCH(B928&amp;"|"&amp;IF(C928="Mixed","External",IF(C928="Unknown","UoB",C928))&amp;"|"&amp;IF(F928&lt;=32,"32","40"),Reference!$D$5:$D$12,0)),""))</f>
        <v/>
      </c>
      <c r="J928" s="11" t="str">
        <f t="shared" si="86"/>
        <v/>
      </c>
      <c r="K928" s="12"/>
      <c r="L928" s="11" t="str">
        <f t="shared" si="87"/>
        <v/>
      </c>
      <c r="M928" s="12"/>
      <c r="N928" s="12"/>
      <c r="O928" s="11" t="str">
        <f t="shared" si="88"/>
        <v/>
      </c>
      <c r="P928" s="10" t="str">
        <f t="shared" si="89"/>
        <v/>
      </c>
    </row>
    <row r="929" spans="1:16" ht="15" customHeight="1" x14ac:dyDescent="0.2">
      <c r="A929" s="8"/>
      <c r="B929" s="8"/>
      <c r="C929" s="8"/>
      <c r="D929" s="9"/>
      <c r="E929" s="9"/>
      <c r="F929" s="8"/>
      <c r="G929" s="10" t="str">
        <f t="shared" si="84"/>
        <v/>
      </c>
      <c r="H929" s="10" t="str">
        <f t="shared" si="85"/>
        <v/>
      </c>
      <c r="I929" s="11" t="str">
        <f>IF(B929="Recreation",IFERROR(INDEX(RecPricing!$E$5:$E$10,MATCH(IF(C929="Mixed","External",IF(C929="Unknown","UoB",C929))&amp;"|"&amp;IF(F929&lt;=24,"&lt;=24",IF(F929&lt;=32,"&lt;=32","Above32")),RecPricing!$F$5:$F$10,0)),""),IFERROR(INDEX(Reference!$E$5:$E$12,MATCH(B929&amp;"|"&amp;IF(C929="Mixed","External",IF(C929="Unknown","UoB",C929))&amp;"|"&amp;IF(F929&lt;=32,"32","40"),Reference!$D$5:$D$12,0)),""))</f>
        <v/>
      </c>
      <c r="J929" s="11" t="str">
        <f t="shared" si="86"/>
        <v/>
      </c>
      <c r="K929" s="12"/>
      <c r="L929" s="11" t="str">
        <f t="shared" si="87"/>
        <v/>
      </c>
      <c r="M929" s="12"/>
      <c r="N929" s="12"/>
      <c r="O929" s="11" t="str">
        <f t="shared" si="88"/>
        <v/>
      </c>
      <c r="P929" s="10" t="str">
        <f t="shared" si="89"/>
        <v/>
      </c>
    </row>
    <row r="930" spans="1:16" ht="15" customHeight="1" x14ac:dyDescent="0.2">
      <c r="A930" s="8"/>
      <c r="B930" s="8"/>
      <c r="C930" s="8"/>
      <c r="D930" s="9"/>
      <c r="E930" s="9"/>
      <c r="F930" s="8"/>
      <c r="G930" s="10" t="str">
        <f t="shared" si="84"/>
        <v/>
      </c>
      <c r="H930" s="10" t="str">
        <f t="shared" si="85"/>
        <v/>
      </c>
      <c r="I930" s="11" t="str">
        <f>IF(B930="Recreation",IFERROR(INDEX(RecPricing!$E$5:$E$10,MATCH(IF(C930="Mixed","External",IF(C930="Unknown","UoB",C930))&amp;"|"&amp;IF(F930&lt;=24,"&lt;=24",IF(F930&lt;=32,"&lt;=32","Above32")),RecPricing!$F$5:$F$10,0)),""),IFERROR(INDEX(Reference!$E$5:$E$12,MATCH(B930&amp;"|"&amp;IF(C930="Mixed","External",IF(C930="Unknown","UoB",C930))&amp;"|"&amp;IF(F930&lt;=32,"32","40"),Reference!$D$5:$D$12,0)),""))</f>
        <v/>
      </c>
      <c r="J930" s="11" t="str">
        <f t="shared" si="86"/>
        <v/>
      </c>
      <c r="K930" s="12"/>
      <c r="L930" s="11" t="str">
        <f t="shared" si="87"/>
        <v/>
      </c>
      <c r="M930" s="12"/>
      <c r="N930" s="12"/>
      <c r="O930" s="11" t="str">
        <f t="shared" si="88"/>
        <v/>
      </c>
      <c r="P930" s="10" t="str">
        <f t="shared" si="89"/>
        <v/>
      </c>
    </row>
    <row r="931" spans="1:16" ht="15" customHeight="1" x14ac:dyDescent="0.2">
      <c r="A931" s="8"/>
      <c r="B931" s="8"/>
      <c r="C931" s="8"/>
      <c r="D931" s="9"/>
      <c r="E931" s="9"/>
      <c r="F931" s="8"/>
      <c r="G931" s="10" t="str">
        <f t="shared" si="84"/>
        <v/>
      </c>
      <c r="H931" s="10" t="str">
        <f t="shared" si="85"/>
        <v/>
      </c>
      <c r="I931" s="11" t="str">
        <f>IF(B931="Recreation",IFERROR(INDEX(RecPricing!$E$5:$E$10,MATCH(IF(C931="Mixed","External",IF(C931="Unknown","UoB",C931))&amp;"|"&amp;IF(F931&lt;=24,"&lt;=24",IF(F931&lt;=32,"&lt;=32","Above32")),RecPricing!$F$5:$F$10,0)),""),IFERROR(INDEX(Reference!$E$5:$E$12,MATCH(B931&amp;"|"&amp;IF(C931="Mixed","External",IF(C931="Unknown","UoB",C931))&amp;"|"&amp;IF(F931&lt;=32,"32","40"),Reference!$D$5:$D$12,0)),""))</f>
        <v/>
      </c>
      <c r="J931" s="11" t="str">
        <f t="shared" si="86"/>
        <v/>
      </c>
      <c r="K931" s="12"/>
      <c r="L931" s="11" t="str">
        <f t="shared" si="87"/>
        <v/>
      </c>
      <c r="M931" s="12"/>
      <c r="N931" s="12"/>
      <c r="O931" s="11" t="str">
        <f t="shared" si="88"/>
        <v/>
      </c>
      <c r="P931" s="10" t="str">
        <f t="shared" si="89"/>
        <v/>
      </c>
    </row>
    <row r="932" spans="1:16" ht="15" customHeight="1" x14ac:dyDescent="0.2">
      <c r="A932" s="8"/>
      <c r="B932" s="8"/>
      <c r="C932" s="8"/>
      <c r="D932" s="9"/>
      <c r="E932" s="9"/>
      <c r="F932" s="8"/>
      <c r="G932" s="10" t="str">
        <f t="shared" si="84"/>
        <v/>
      </c>
      <c r="H932" s="10" t="str">
        <f t="shared" si="85"/>
        <v/>
      </c>
      <c r="I932" s="11" t="str">
        <f>IF(B932="Recreation",IFERROR(INDEX(RecPricing!$E$5:$E$10,MATCH(IF(C932="Mixed","External",IF(C932="Unknown","UoB",C932))&amp;"|"&amp;IF(F932&lt;=24,"&lt;=24",IF(F932&lt;=32,"&lt;=32","Above32")),RecPricing!$F$5:$F$10,0)),""),IFERROR(INDEX(Reference!$E$5:$E$12,MATCH(B932&amp;"|"&amp;IF(C932="Mixed","External",IF(C932="Unknown","UoB",C932))&amp;"|"&amp;IF(F932&lt;=32,"32","40"),Reference!$D$5:$D$12,0)),""))</f>
        <v/>
      </c>
      <c r="J932" s="11" t="str">
        <f t="shared" si="86"/>
        <v/>
      </c>
      <c r="K932" s="12"/>
      <c r="L932" s="11" t="str">
        <f t="shared" si="87"/>
        <v/>
      </c>
      <c r="M932" s="12"/>
      <c r="N932" s="12"/>
      <c r="O932" s="11" t="str">
        <f t="shared" si="88"/>
        <v/>
      </c>
      <c r="P932" s="10" t="str">
        <f t="shared" si="89"/>
        <v/>
      </c>
    </row>
    <row r="933" spans="1:16" ht="15" customHeight="1" x14ac:dyDescent="0.2">
      <c r="A933" s="8"/>
      <c r="B933" s="8"/>
      <c r="C933" s="8"/>
      <c r="D933" s="9"/>
      <c r="E933" s="9"/>
      <c r="F933" s="8"/>
      <c r="G933" s="10" t="str">
        <f t="shared" si="84"/>
        <v/>
      </c>
      <c r="H933" s="10" t="str">
        <f t="shared" si="85"/>
        <v/>
      </c>
      <c r="I933" s="11" t="str">
        <f>IF(B933="Recreation",IFERROR(INDEX(RecPricing!$E$5:$E$10,MATCH(IF(C933="Mixed","External",IF(C933="Unknown","UoB",C933))&amp;"|"&amp;IF(F933&lt;=24,"&lt;=24",IF(F933&lt;=32,"&lt;=32","Above32")),RecPricing!$F$5:$F$10,0)),""),IFERROR(INDEX(Reference!$E$5:$E$12,MATCH(B933&amp;"|"&amp;IF(C933="Mixed","External",IF(C933="Unknown","UoB",C933))&amp;"|"&amp;IF(F933&lt;=32,"32","40"),Reference!$D$5:$D$12,0)),""))</f>
        <v/>
      </c>
      <c r="J933" s="11" t="str">
        <f t="shared" si="86"/>
        <v/>
      </c>
      <c r="K933" s="12"/>
      <c r="L933" s="11" t="str">
        <f t="shared" si="87"/>
        <v/>
      </c>
      <c r="M933" s="12"/>
      <c r="N933" s="12"/>
      <c r="O933" s="11" t="str">
        <f t="shared" si="88"/>
        <v/>
      </c>
      <c r="P933" s="10" t="str">
        <f t="shared" si="89"/>
        <v/>
      </c>
    </row>
    <row r="934" spans="1:16" ht="15" customHeight="1" x14ac:dyDescent="0.2">
      <c r="A934" s="8"/>
      <c r="B934" s="8"/>
      <c r="C934" s="8"/>
      <c r="D934" s="9"/>
      <c r="E934" s="9"/>
      <c r="F934" s="8"/>
      <c r="G934" s="10" t="str">
        <f t="shared" si="84"/>
        <v/>
      </c>
      <c r="H934" s="10" t="str">
        <f t="shared" si="85"/>
        <v/>
      </c>
      <c r="I934" s="11" t="str">
        <f>IF(B934="Recreation",IFERROR(INDEX(RecPricing!$E$5:$E$10,MATCH(IF(C934="Mixed","External",IF(C934="Unknown","UoB",C934))&amp;"|"&amp;IF(F934&lt;=24,"&lt;=24",IF(F934&lt;=32,"&lt;=32","Above32")),RecPricing!$F$5:$F$10,0)),""),IFERROR(INDEX(Reference!$E$5:$E$12,MATCH(B934&amp;"|"&amp;IF(C934="Mixed","External",IF(C934="Unknown","UoB",C934))&amp;"|"&amp;IF(F934&lt;=32,"32","40"),Reference!$D$5:$D$12,0)),""))</f>
        <v/>
      </c>
      <c r="J934" s="11" t="str">
        <f t="shared" si="86"/>
        <v/>
      </c>
      <c r="K934" s="12"/>
      <c r="L934" s="11" t="str">
        <f t="shared" si="87"/>
        <v/>
      </c>
      <c r="M934" s="12"/>
      <c r="N934" s="12"/>
      <c r="O934" s="11" t="str">
        <f t="shared" si="88"/>
        <v/>
      </c>
      <c r="P934" s="10" t="str">
        <f t="shared" si="89"/>
        <v/>
      </c>
    </row>
    <row r="935" spans="1:16" ht="15" customHeight="1" x14ac:dyDescent="0.2">
      <c r="A935" s="8"/>
      <c r="B935" s="8"/>
      <c r="C935" s="8"/>
      <c r="D935" s="9"/>
      <c r="E935" s="9"/>
      <c r="F935" s="8"/>
      <c r="G935" s="10" t="str">
        <f t="shared" si="84"/>
        <v/>
      </c>
      <c r="H935" s="10" t="str">
        <f t="shared" si="85"/>
        <v/>
      </c>
      <c r="I935" s="11" t="str">
        <f>IF(B935="Recreation",IFERROR(INDEX(RecPricing!$E$5:$E$10,MATCH(IF(C935="Mixed","External",IF(C935="Unknown","UoB",C935))&amp;"|"&amp;IF(F935&lt;=24,"&lt;=24",IF(F935&lt;=32,"&lt;=32","Above32")),RecPricing!$F$5:$F$10,0)),""),IFERROR(INDEX(Reference!$E$5:$E$12,MATCH(B935&amp;"|"&amp;IF(C935="Mixed","External",IF(C935="Unknown","UoB",C935))&amp;"|"&amp;IF(F935&lt;=32,"32","40"),Reference!$D$5:$D$12,0)),""))</f>
        <v/>
      </c>
      <c r="J935" s="11" t="str">
        <f t="shared" si="86"/>
        <v/>
      </c>
      <c r="K935" s="12"/>
      <c r="L935" s="11" t="str">
        <f t="shared" si="87"/>
        <v/>
      </c>
      <c r="M935" s="12"/>
      <c r="N935" s="12"/>
      <c r="O935" s="11" t="str">
        <f t="shared" si="88"/>
        <v/>
      </c>
      <c r="P935" s="10" t="str">
        <f t="shared" si="89"/>
        <v/>
      </c>
    </row>
    <row r="936" spans="1:16" ht="15" customHeight="1" x14ac:dyDescent="0.2">
      <c r="A936" s="8"/>
      <c r="B936" s="8"/>
      <c r="C936" s="8"/>
      <c r="D936" s="9"/>
      <c r="E936" s="9"/>
      <c r="F936" s="8"/>
      <c r="G936" s="10" t="str">
        <f t="shared" si="84"/>
        <v/>
      </c>
      <c r="H936" s="10" t="str">
        <f t="shared" si="85"/>
        <v/>
      </c>
      <c r="I936" s="11" t="str">
        <f>IF(B936="Recreation",IFERROR(INDEX(RecPricing!$E$5:$E$10,MATCH(IF(C936="Mixed","External",IF(C936="Unknown","UoB",C936))&amp;"|"&amp;IF(F936&lt;=24,"&lt;=24",IF(F936&lt;=32,"&lt;=32","Above32")),RecPricing!$F$5:$F$10,0)),""),IFERROR(INDEX(Reference!$E$5:$E$12,MATCH(B936&amp;"|"&amp;IF(C936="Mixed","External",IF(C936="Unknown","UoB",C936))&amp;"|"&amp;IF(F936&lt;=32,"32","40"),Reference!$D$5:$D$12,0)),""))</f>
        <v/>
      </c>
      <c r="J936" s="11" t="str">
        <f t="shared" si="86"/>
        <v/>
      </c>
      <c r="K936" s="12"/>
      <c r="L936" s="11" t="str">
        <f t="shared" si="87"/>
        <v/>
      </c>
      <c r="M936" s="12"/>
      <c r="N936" s="12"/>
      <c r="O936" s="11" t="str">
        <f t="shared" si="88"/>
        <v/>
      </c>
      <c r="P936" s="10" t="str">
        <f t="shared" si="89"/>
        <v/>
      </c>
    </row>
    <row r="937" spans="1:16" ht="15" customHeight="1" x14ac:dyDescent="0.2">
      <c r="A937" s="8"/>
      <c r="B937" s="8"/>
      <c r="C937" s="8"/>
      <c r="D937" s="9"/>
      <c r="E937" s="9"/>
      <c r="F937" s="8"/>
      <c r="G937" s="10" t="str">
        <f t="shared" si="84"/>
        <v/>
      </c>
      <c r="H937" s="10" t="str">
        <f t="shared" si="85"/>
        <v/>
      </c>
      <c r="I937" s="11" t="str">
        <f>IF(B937="Recreation",IFERROR(INDEX(RecPricing!$E$5:$E$10,MATCH(IF(C937="Mixed","External",IF(C937="Unknown","UoB",C937))&amp;"|"&amp;IF(F937&lt;=24,"&lt;=24",IF(F937&lt;=32,"&lt;=32","Above32")),RecPricing!$F$5:$F$10,0)),""),IFERROR(INDEX(Reference!$E$5:$E$12,MATCH(B937&amp;"|"&amp;IF(C937="Mixed","External",IF(C937="Unknown","UoB",C937))&amp;"|"&amp;IF(F937&lt;=32,"32","40"),Reference!$D$5:$D$12,0)),""))</f>
        <v/>
      </c>
      <c r="J937" s="11" t="str">
        <f t="shared" si="86"/>
        <v/>
      </c>
      <c r="K937" s="12"/>
      <c r="L937" s="11" t="str">
        <f t="shared" si="87"/>
        <v/>
      </c>
      <c r="M937" s="12"/>
      <c r="N937" s="12"/>
      <c r="O937" s="11" t="str">
        <f t="shared" si="88"/>
        <v/>
      </c>
      <c r="P937" s="10" t="str">
        <f t="shared" si="89"/>
        <v/>
      </c>
    </row>
    <row r="938" spans="1:16" ht="15" customHeight="1" x14ac:dyDescent="0.2">
      <c r="A938" s="8"/>
      <c r="B938" s="8"/>
      <c r="C938" s="8"/>
      <c r="D938" s="9"/>
      <c r="E938" s="9"/>
      <c r="F938" s="8"/>
      <c r="G938" s="10" t="str">
        <f t="shared" si="84"/>
        <v/>
      </c>
      <c r="H938" s="10" t="str">
        <f t="shared" si="85"/>
        <v/>
      </c>
      <c r="I938" s="11" t="str">
        <f>IF(B938="Recreation",IFERROR(INDEX(RecPricing!$E$5:$E$10,MATCH(IF(C938="Mixed","External",IF(C938="Unknown","UoB",C938))&amp;"|"&amp;IF(F938&lt;=24,"&lt;=24",IF(F938&lt;=32,"&lt;=32","Above32")),RecPricing!$F$5:$F$10,0)),""),IFERROR(INDEX(Reference!$E$5:$E$12,MATCH(B938&amp;"|"&amp;IF(C938="Mixed","External",IF(C938="Unknown","UoB",C938))&amp;"|"&amp;IF(F938&lt;=32,"32","40"),Reference!$D$5:$D$12,0)),""))</f>
        <v/>
      </c>
      <c r="J938" s="11" t="str">
        <f t="shared" si="86"/>
        <v/>
      </c>
      <c r="K938" s="12"/>
      <c r="L938" s="11" t="str">
        <f t="shared" si="87"/>
        <v/>
      </c>
      <c r="M938" s="12"/>
      <c r="N938" s="12"/>
      <c r="O938" s="11" t="str">
        <f t="shared" si="88"/>
        <v/>
      </c>
      <c r="P938" s="10" t="str">
        <f t="shared" si="89"/>
        <v/>
      </c>
    </row>
    <row r="939" spans="1:16" ht="15" customHeight="1" x14ac:dyDescent="0.2">
      <c r="A939" s="8"/>
      <c r="B939" s="8"/>
      <c r="C939" s="8"/>
      <c r="D939" s="9"/>
      <c r="E939" s="9"/>
      <c r="F939" s="8"/>
      <c r="G939" s="10" t="str">
        <f t="shared" si="84"/>
        <v/>
      </c>
      <c r="H939" s="10" t="str">
        <f t="shared" si="85"/>
        <v/>
      </c>
      <c r="I939" s="11" t="str">
        <f>IF(B939="Recreation",IFERROR(INDEX(RecPricing!$E$5:$E$10,MATCH(IF(C939="Mixed","External",IF(C939="Unknown","UoB",C939))&amp;"|"&amp;IF(F939&lt;=24,"&lt;=24",IF(F939&lt;=32,"&lt;=32","Above32")),RecPricing!$F$5:$F$10,0)),""),IFERROR(INDEX(Reference!$E$5:$E$12,MATCH(B939&amp;"|"&amp;IF(C939="Mixed","External",IF(C939="Unknown","UoB",C939))&amp;"|"&amp;IF(F939&lt;=32,"32","40"),Reference!$D$5:$D$12,0)),""))</f>
        <v/>
      </c>
      <c r="J939" s="11" t="str">
        <f t="shared" si="86"/>
        <v/>
      </c>
      <c r="K939" s="12"/>
      <c r="L939" s="11" t="str">
        <f t="shared" si="87"/>
        <v/>
      </c>
      <c r="M939" s="12"/>
      <c r="N939" s="12"/>
      <c r="O939" s="11" t="str">
        <f t="shared" si="88"/>
        <v/>
      </c>
      <c r="P939" s="10" t="str">
        <f t="shared" si="89"/>
        <v/>
      </c>
    </row>
    <row r="940" spans="1:16" ht="15" customHeight="1" x14ac:dyDescent="0.2">
      <c r="A940" s="8"/>
      <c r="B940" s="8"/>
      <c r="C940" s="8"/>
      <c r="D940" s="9"/>
      <c r="E940" s="9"/>
      <c r="F940" s="8"/>
      <c r="G940" s="10" t="str">
        <f t="shared" si="84"/>
        <v/>
      </c>
      <c r="H940" s="10" t="str">
        <f t="shared" si="85"/>
        <v/>
      </c>
      <c r="I940" s="11" t="str">
        <f>IF(B940="Recreation",IFERROR(INDEX(RecPricing!$E$5:$E$10,MATCH(IF(C940="Mixed","External",IF(C940="Unknown","UoB",C940))&amp;"|"&amp;IF(F940&lt;=24,"&lt;=24",IF(F940&lt;=32,"&lt;=32","Above32")),RecPricing!$F$5:$F$10,0)),""),IFERROR(INDEX(Reference!$E$5:$E$12,MATCH(B940&amp;"|"&amp;IF(C940="Mixed","External",IF(C940="Unknown","UoB",C940))&amp;"|"&amp;IF(F940&lt;=32,"32","40"),Reference!$D$5:$D$12,0)),""))</f>
        <v/>
      </c>
      <c r="J940" s="11" t="str">
        <f t="shared" si="86"/>
        <v/>
      </c>
      <c r="K940" s="12"/>
      <c r="L940" s="11" t="str">
        <f t="shared" si="87"/>
        <v/>
      </c>
      <c r="M940" s="12"/>
      <c r="N940" s="12"/>
      <c r="O940" s="11" t="str">
        <f t="shared" si="88"/>
        <v/>
      </c>
      <c r="P940" s="10" t="str">
        <f t="shared" si="89"/>
        <v/>
      </c>
    </row>
    <row r="941" spans="1:16" ht="15" customHeight="1" x14ac:dyDescent="0.2">
      <c r="A941" s="8"/>
      <c r="B941" s="8"/>
      <c r="C941" s="8"/>
      <c r="D941" s="9"/>
      <c r="E941" s="9"/>
      <c r="F941" s="8"/>
      <c r="G941" s="10" t="str">
        <f t="shared" si="84"/>
        <v/>
      </c>
      <c r="H941" s="10" t="str">
        <f t="shared" si="85"/>
        <v/>
      </c>
      <c r="I941" s="11" t="str">
        <f>IF(B941="Recreation",IFERROR(INDEX(RecPricing!$E$5:$E$10,MATCH(IF(C941="Mixed","External",IF(C941="Unknown","UoB",C941))&amp;"|"&amp;IF(F941&lt;=24,"&lt;=24",IF(F941&lt;=32,"&lt;=32","Above32")),RecPricing!$F$5:$F$10,0)),""),IFERROR(INDEX(Reference!$E$5:$E$12,MATCH(B941&amp;"|"&amp;IF(C941="Mixed","External",IF(C941="Unknown","UoB",C941))&amp;"|"&amp;IF(F941&lt;=32,"32","40"),Reference!$D$5:$D$12,0)),""))</f>
        <v/>
      </c>
      <c r="J941" s="11" t="str">
        <f t="shared" si="86"/>
        <v/>
      </c>
      <c r="K941" s="12"/>
      <c r="L941" s="11" t="str">
        <f t="shared" si="87"/>
        <v/>
      </c>
      <c r="M941" s="12"/>
      <c r="N941" s="12"/>
      <c r="O941" s="11" t="str">
        <f t="shared" si="88"/>
        <v/>
      </c>
      <c r="P941" s="10" t="str">
        <f t="shared" si="89"/>
        <v/>
      </c>
    </row>
    <row r="942" spans="1:16" ht="15" customHeight="1" x14ac:dyDescent="0.2">
      <c r="A942" s="8"/>
      <c r="B942" s="8"/>
      <c r="C942" s="8"/>
      <c r="D942" s="9"/>
      <c r="E942" s="9"/>
      <c r="F942" s="8"/>
      <c r="G942" s="10" t="str">
        <f t="shared" si="84"/>
        <v/>
      </c>
      <c r="H942" s="10" t="str">
        <f t="shared" si="85"/>
        <v/>
      </c>
      <c r="I942" s="11" t="str">
        <f>IF(B942="Recreation",IFERROR(INDEX(RecPricing!$E$5:$E$10,MATCH(IF(C942="Mixed","External",IF(C942="Unknown","UoB",C942))&amp;"|"&amp;IF(F942&lt;=24,"&lt;=24",IF(F942&lt;=32,"&lt;=32","Above32")),RecPricing!$F$5:$F$10,0)),""),IFERROR(INDEX(Reference!$E$5:$E$12,MATCH(B942&amp;"|"&amp;IF(C942="Mixed","External",IF(C942="Unknown","UoB",C942))&amp;"|"&amp;IF(F942&lt;=32,"32","40"),Reference!$D$5:$D$12,0)),""))</f>
        <v/>
      </c>
      <c r="J942" s="11" t="str">
        <f t="shared" si="86"/>
        <v/>
      </c>
      <c r="K942" s="12"/>
      <c r="L942" s="11" t="str">
        <f t="shared" si="87"/>
        <v/>
      </c>
      <c r="M942" s="12"/>
      <c r="N942" s="12"/>
      <c r="O942" s="11" t="str">
        <f t="shared" si="88"/>
        <v/>
      </c>
      <c r="P942" s="10" t="str">
        <f t="shared" si="89"/>
        <v/>
      </c>
    </row>
    <row r="943" spans="1:16" ht="15" customHeight="1" x14ac:dyDescent="0.2">
      <c r="A943" s="8"/>
      <c r="B943" s="8"/>
      <c r="C943" s="8"/>
      <c r="D943" s="9"/>
      <c r="E943" s="9"/>
      <c r="F943" s="8"/>
      <c r="G943" s="10" t="str">
        <f t="shared" si="84"/>
        <v/>
      </c>
      <c r="H943" s="10" t="str">
        <f t="shared" si="85"/>
        <v/>
      </c>
      <c r="I943" s="11" t="str">
        <f>IF(B943="Recreation",IFERROR(INDEX(RecPricing!$E$5:$E$10,MATCH(IF(C943="Mixed","External",IF(C943="Unknown","UoB",C943))&amp;"|"&amp;IF(F943&lt;=24,"&lt;=24",IF(F943&lt;=32,"&lt;=32","Above32")),RecPricing!$F$5:$F$10,0)),""),IFERROR(INDEX(Reference!$E$5:$E$12,MATCH(B943&amp;"|"&amp;IF(C943="Mixed","External",IF(C943="Unknown","UoB",C943))&amp;"|"&amp;IF(F943&lt;=32,"32","40"),Reference!$D$5:$D$12,0)),""))</f>
        <v/>
      </c>
      <c r="J943" s="11" t="str">
        <f t="shared" si="86"/>
        <v/>
      </c>
      <c r="K943" s="12"/>
      <c r="L943" s="11" t="str">
        <f t="shared" si="87"/>
        <v/>
      </c>
      <c r="M943" s="12"/>
      <c r="N943" s="12"/>
      <c r="O943" s="11" t="str">
        <f t="shared" si="88"/>
        <v/>
      </c>
      <c r="P943" s="10" t="str">
        <f t="shared" si="89"/>
        <v/>
      </c>
    </row>
    <row r="944" spans="1:16" ht="15" customHeight="1" x14ac:dyDescent="0.2">
      <c r="A944" s="8"/>
      <c r="B944" s="8"/>
      <c r="C944" s="8"/>
      <c r="D944" s="9"/>
      <c r="E944" s="9"/>
      <c r="F944" s="8"/>
      <c r="G944" s="10" t="str">
        <f t="shared" si="84"/>
        <v/>
      </c>
      <c r="H944" s="10" t="str">
        <f t="shared" si="85"/>
        <v/>
      </c>
      <c r="I944" s="11" t="str">
        <f>IF(B944="Recreation",IFERROR(INDEX(RecPricing!$E$5:$E$10,MATCH(IF(C944="Mixed","External",IF(C944="Unknown","UoB",C944))&amp;"|"&amp;IF(F944&lt;=24,"&lt;=24",IF(F944&lt;=32,"&lt;=32","Above32")),RecPricing!$F$5:$F$10,0)),""),IFERROR(INDEX(Reference!$E$5:$E$12,MATCH(B944&amp;"|"&amp;IF(C944="Mixed","External",IF(C944="Unknown","UoB",C944))&amp;"|"&amp;IF(F944&lt;=32,"32","40"),Reference!$D$5:$D$12,0)),""))</f>
        <v/>
      </c>
      <c r="J944" s="11" t="str">
        <f t="shared" si="86"/>
        <v/>
      </c>
      <c r="K944" s="12"/>
      <c r="L944" s="11" t="str">
        <f t="shared" si="87"/>
        <v/>
      </c>
      <c r="M944" s="12"/>
      <c r="N944" s="12"/>
      <c r="O944" s="11" t="str">
        <f t="shared" si="88"/>
        <v/>
      </c>
      <c r="P944" s="10" t="str">
        <f t="shared" si="89"/>
        <v/>
      </c>
    </row>
    <row r="945" spans="1:16" ht="15" customHeight="1" x14ac:dyDescent="0.2">
      <c r="A945" s="8"/>
      <c r="B945" s="8"/>
      <c r="C945" s="8"/>
      <c r="D945" s="9"/>
      <c r="E945" s="9"/>
      <c r="F945" s="8"/>
      <c r="G945" s="10" t="str">
        <f t="shared" si="84"/>
        <v/>
      </c>
      <c r="H945" s="10" t="str">
        <f t="shared" si="85"/>
        <v/>
      </c>
      <c r="I945" s="11" t="str">
        <f>IF(B945="Recreation",IFERROR(INDEX(RecPricing!$E$5:$E$10,MATCH(IF(C945="Mixed","External",IF(C945="Unknown","UoB",C945))&amp;"|"&amp;IF(F945&lt;=24,"&lt;=24",IF(F945&lt;=32,"&lt;=32","Above32")),RecPricing!$F$5:$F$10,0)),""),IFERROR(INDEX(Reference!$E$5:$E$12,MATCH(B945&amp;"|"&amp;IF(C945="Mixed","External",IF(C945="Unknown","UoB",C945))&amp;"|"&amp;IF(F945&lt;=32,"32","40"),Reference!$D$5:$D$12,0)),""))</f>
        <v/>
      </c>
      <c r="J945" s="11" t="str">
        <f t="shared" si="86"/>
        <v/>
      </c>
      <c r="K945" s="12"/>
      <c r="L945" s="11" t="str">
        <f t="shared" si="87"/>
        <v/>
      </c>
      <c r="M945" s="12"/>
      <c r="N945" s="12"/>
      <c r="O945" s="11" t="str">
        <f t="shared" si="88"/>
        <v/>
      </c>
      <c r="P945" s="10" t="str">
        <f t="shared" si="89"/>
        <v/>
      </c>
    </row>
    <row r="946" spans="1:16" ht="15" customHeight="1" x14ac:dyDescent="0.2">
      <c r="A946" s="8"/>
      <c r="B946" s="8"/>
      <c r="C946" s="8"/>
      <c r="D946" s="9"/>
      <c r="E946" s="9"/>
      <c r="F946" s="8"/>
      <c r="G946" s="10" t="str">
        <f t="shared" si="84"/>
        <v/>
      </c>
      <c r="H946" s="10" t="str">
        <f t="shared" si="85"/>
        <v/>
      </c>
      <c r="I946" s="11" t="str">
        <f>IF(B946="Recreation",IFERROR(INDEX(RecPricing!$E$5:$E$10,MATCH(IF(C946="Mixed","External",IF(C946="Unknown","UoB",C946))&amp;"|"&amp;IF(F946&lt;=24,"&lt;=24",IF(F946&lt;=32,"&lt;=32","Above32")),RecPricing!$F$5:$F$10,0)),""),IFERROR(INDEX(Reference!$E$5:$E$12,MATCH(B946&amp;"|"&amp;IF(C946="Mixed","External",IF(C946="Unknown","UoB",C946))&amp;"|"&amp;IF(F946&lt;=32,"32","40"),Reference!$D$5:$D$12,0)),""))</f>
        <v/>
      </c>
      <c r="J946" s="11" t="str">
        <f t="shared" si="86"/>
        <v/>
      </c>
      <c r="K946" s="12"/>
      <c r="L946" s="11" t="str">
        <f t="shared" si="87"/>
        <v/>
      </c>
      <c r="M946" s="12"/>
      <c r="N946" s="12"/>
      <c r="O946" s="11" t="str">
        <f t="shared" si="88"/>
        <v/>
      </c>
      <c r="P946" s="10" t="str">
        <f t="shared" si="89"/>
        <v/>
      </c>
    </row>
    <row r="947" spans="1:16" ht="15" customHeight="1" x14ac:dyDescent="0.2">
      <c r="A947" s="8"/>
      <c r="B947" s="8"/>
      <c r="C947" s="8"/>
      <c r="D947" s="9"/>
      <c r="E947" s="9"/>
      <c r="F947" s="8"/>
      <c r="G947" s="10" t="str">
        <f t="shared" si="84"/>
        <v/>
      </c>
      <c r="H947" s="10" t="str">
        <f t="shared" si="85"/>
        <v/>
      </c>
      <c r="I947" s="11" t="str">
        <f>IF(B947="Recreation",IFERROR(INDEX(RecPricing!$E$5:$E$10,MATCH(IF(C947="Mixed","External",IF(C947="Unknown","UoB",C947))&amp;"|"&amp;IF(F947&lt;=24,"&lt;=24",IF(F947&lt;=32,"&lt;=32","Above32")),RecPricing!$F$5:$F$10,0)),""),IFERROR(INDEX(Reference!$E$5:$E$12,MATCH(B947&amp;"|"&amp;IF(C947="Mixed","External",IF(C947="Unknown","UoB",C947))&amp;"|"&amp;IF(F947&lt;=32,"32","40"),Reference!$D$5:$D$12,0)),""))</f>
        <v/>
      </c>
      <c r="J947" s="11" t="str">
        <f t="shared" si="86"/>
        <v/>
      </c>
      <c r="K947" s="12"/>
      <c r="L947" s="11" t="str">
        <f t="shared" si="87"/>
        <v/>
      </c>
      <c r="M947" s="12"/>
      <c r="N947" s="12"/>
      <c r="O947" s="11" t="str">
        <f t="shared" si="88"/>
        <v/>
      </c>
      <c r="P947" s="10" t="str">
        <f t="shared" si="89"/>
        <v/>
      </c>
    </row>
    <row r="948" spans="1:16" ht="15" customHeight="1" x14ac:dyDescent="0.2">
      <c r="A948" s="8"/>
      <c r="B948" s="8"/>
      <c r="C948" s="8"/>
      <c r="D948" s="9"/>
      <c r="E948" s="9"/>
      <c r="F948" s="8"/>
      <c r="G948" s="10" t="str">
        <f t="shared" si="84"/>
        <v/>
      </c>
      <c r="H948" s="10" t="str">
        <f t="shared" si="85"/>
        <v/>
      </c>
      <c r="I948" s="11" t="str">
        <f>IF(B948="Recreation",IFERROR(INDEX(RecPricing!$E$5:$E$10,MATCH(IF(C948="Mixed","External",IF(C948="Unknown","UoB",C948))&amp;"|"&amp;IF(F948&lt;=24,"&lt;=24",IF(F948&lt;=32,"&lt;=32","Above32")),RecPricing!$F$5:$F$10,0)),""),IFERROR(INDEX(Reference!$E$5:$E$12,MATCH(B948&amp;"|"&amp;IF(C948="Mixed","External",IF(C948="Unknown","UoB",C948))&amp;"|"&amp;IF(F948&lt;=32,"32","40"),Reference!$D$5:$D$12,0)),""))</f>
        <v/>
      </c>
      <c r="J948" s="11" t="str">
        <f t="shared" si="86"/>
        <v/>
      </c>
      <c r="K948" s="12"/>
      <c r="L948" s="11" t="str">
        <f t="shared" si="87"/>
        <v/>
      </c>
      <c r="M948" s="12"/>
      <c r="N948" s="12"/>
      <c r="O948" s="11" t="str">
        <f t="shared" si="88"/>
        <v/>
      </c>
      <c r="P948" s="10" t="str">
        <f t="shared" si="89"/>
        <v/>
      </c>
    </row>
    <row r="949" spans="1:16" ht="15" customHeight="1" x14ac:dyDescent="0.2">
      <c r="A949" s="8"/>
      <c r="B949" s="8"/>
      <c r="C949" s="8"/>
      <c r="D949" s="9"/>
      <c r="E949" s="9"/>
      <c r="F949" s="8"/>
      <c r="G949" s="10" t="str">
        <f t="shared" si="84"/>
        <v/>
      </c>
      <c r="H949" s="10" t="str">
        <f t="shared" si="85"/>
        <v/>
      </c>
      <c r="I949" s="11" t="str">
        <f>IF(B949="Recreation",IFERROR(INDEX(RecPricing!$E$5:$E$10,MATCH(IF(C949="Mixed","External",IF(C949="Unknown","UoB",C949))&amp;"|"&amp;IF(F949&lt;=24,"&lt;=24",IF(F949&lt;=32,"&lt;=32","Above32")),RecPricing!$F$5:$F$10,0)),""),IFERROR(INDEX(Reference!$E$5:$E$12,MATCH(B949&amp;"|"&amp;IF(C949="Mixed","External",IF(C949="Unknown","UoB",C949))&amp;"|"&amp;IF(F949&lt;=32,"32","40"),Reference!$D$5:$D$12,0)),""))</f>
        <v/>
      </c>
      <c r="J949" s="11" t="str">
        <f t="shared" si="86"/>
        <v/>
      </c>
      <c r="K949" s="12"/>
      <c r="L949" s="11" t="str">
        <f t="shared" si="87"/>
        <v/>
      </c>
      <c r="M949" s="12"/>
      <c r="N949" s="12"/>
      <c r="O949" s="11" t="str">
        <f t="shared" si="88"/>
        <v/>
      </c>
      <c r="P949" s="10" t="str">
        <f t="shared" si="89"/>
        <v/>
      </c>
    </row>
    <row r="950" spans="1:16" ht="15" customHeight="1" x14ac:dyDescent="0.2">
      <c r="A950" s="8"/>
      <c r="B950" s="8"/>
      <c r="C950" s="8"/>
      <c r="D950" s="9"/>
      <c r="E950" s="9"/>
      <c r="F950" s="8"/>
      <c r="G950" s="10" t="str">
        <f t="shared" si="84"/>
        <v/>
      </c>
      <c r="H950" s="10" t="str">
        <f t="shared" si="85"/>
        <v/>
      </c>
      <c r="I950" s="11" t="str">
        <f>IF(B950="Recreation",IFERROR(INDEX(RecPricing!$E$5:$E$10,MATCH(IF(C950="Mixed","External",IF(C950="Unknown","UoB",C950))&amp;"|"&amp;IF(F950&lt;=24,"&lt;=24",IF(F950&lt;=32,"&lt;=32","Above32")),RecPricing!$F$5:$F$10,0)),""),IFERROR(INDEX(Reference!$E$5:$E$12,MATCH(B950&amp;"|"&amp;IF(C950="Mixed","External",IF(C950="Unknown","UoB",C950))&amp;"|"&amp;IF(F950&lt;=32,"32","40"),Reference!$D$5:$D$12,0)),""))</f>
        <v/>
      </c>
      <c r="J950" s="11" t="str">
        <f t="shared" si="86"/>
        <v/>
      </c>
      <c r="K950" s="12"/>
      <c r="L950" s="11" t="str">
        <f t="shared" si="87"/>
        <v/>
      </c>
      <c r="M950" s="12"/>
      <c r="N950" s="12"/>
      <c r="O950" s="11" t="str">
        <f t="shared" si="88"/>
        <v/>
      </c>
      <c r="P950" s="10" t="str">
        <f t="shared" si="89"/>
        <v/>
      </c>
    </row>
    <row r="951" spans="1:16" ht="15" customHeight="1" x14ac:dyDescent="0.2">
      <c r="A951" s="8"/>
      <c r="B951" s="8"/>
      <c r="C951" s="8"/>
      <c r="D951" s="9"/>
      <c r="E951" s="9"/>
      <c r="F951" s="8"/>
      <c r="G951" s="10" t="str">
        <f t="shared" si="84"/>
        <v/>
      </c>
      <c r="H951" s="10" t="str">
        <f t="shared" si="85"/>
        <v/>
      </c>
      <c r="I951" s="11" t="str">
        <f>IF(B951="Recreation",IFERROR(INDEX(RecPricing!$E$5:$E$10,MATCH(IF(C951="Mixed","External",IF(C951="Unknown","UoB",C951))&amp;"|"&amp;IF(F951&lt;=24,"&lt;=24",IF(F951&lt;=32,"&lt;=32","Above32")),RecPricing!$F$5:$F$10,0)),""),IFERROR(INDEX(Reference!$E$5:$E$12,MATCH(B951&amp;"|"&amp;IF(C951="Mixed","External",IF(C951="Unknown","UoB",C951))&amp;"|"&amp;IF(F951&lt;=32,"32","40"),Reference!$D$5:$D$12,0)),""))</f>
        <v/>
      </c>
      <c r="J951" s="11" t="str">
        <f t="shared" si="86"/>
        <v/>
      </c>
      <c r="K951" s="12"/>
      <c r="L951" s="11" t="str">
        <f t="shared" si="87"/>
        <v/>
      </c>
      <c r="M951" s="12"/>
      <c r="N951" s="12"/>
      <c r="O951" s="11" t="str">
        <f t="shared" si="88"/>
        <v/>
      </c>
      <c r="P951" s="10" t="str">
        <f t="shared" si="89"/>
        <v/>
      </c>
    </row>
    <row r="952" spans="1:16" ht="15" customHeight="1" x14ac:dyDescent="0.2">
      <c r="A952" s="8"/>
      <c r="B952" s="8"/>
      <c r="C952" s="8"/>
      <c r="D952" s="9"/>
      <c r="E952" s="9"/>
      <c r="F952" s="8"/>
      <c r="G952" s="10" t="str">
        <f t="shared" si="84"/>
        <v/>
      </c>
      <c r="H952" s="10" t="str">
        <f t="shared" si="85"/>
        <v/>
      </c>
      <c r="I952" s="11" t="str">
        <f>IF(B952="Recreation",IFERROR(INDEX(RecPricing!$E$5:$E$10,MATCH(IF(C952="Mixed","External",IF(C952="Unknown","UoB",C952))&amp;"|"&amp;IF(F952&lt;=24,"&lt;=24",IF(F952&lt;=32,"&lt;=32","Above32")),RecPricing!$F$5:$F$10,0)),""),IFERROR(INDEX(Reference!$E$5:$E$12,MATCH(B952&amp;"|"&amp;IF(C952="Mixed","External",IF(C952="Unknown","UoB",C952))&amp;"|"&amp;IF(F952&lt;=32,"32","40"),Reference!$D$5:$D$12,0)),""))</f>
        <v/>
      </c>
      <c r="J952" s="11" t="str">
        <f t="shared" si="86"/>
        <v/>
      </c>
      <c r="K952" s="12"/>
      <c r="L952" s="11" t="str">
        <f t="shared" si="87"/>
        <v/>
      </c>
      <c r="M952" s="12"/>
      <c r="N952" s="12"/>
      <c r="O952" s="11" t="str">
        <f t="shared" si="88"/>
        <v/>
      </c>
      <c r="P952" s="10" t="str">
        <f t="shared" si="89"/>
        <v/>
      </c>
    </row>
    <row r="953" spans="1:16" ht="15" customHeight="1" x14ac:dyDescent="0.2">
      <c r="A953" s="8"/>
      <c r="B953" s="8"/>
      <c r="C953" s="8"/>
      <c r="D953" s="9"/>
      <c r="E953" s="9"/>
      <c r="F953" s="8"/>
      <c r="G953" s="10" t="str">
        <f t="shared" si="84"/>
        <v/>
      </c>
      <c r="H953" s="10" t="str">
        <f t="shared" si="85"/>
        <v/>
      </c>
      <c r="I953" s="11" t="str">
        <f>IF(B953="Recreation",IFERROR(INDEX(RecPricing!$E$5:$E$10,MATCH(IF(C953="Mixed","External",IF(C953="Unknown","UoB",C953))&amp;"|"&amp;IF(F953&lt;=24,"&lt;=24",IF(F953&lt;=32,"&lt;=32","Above32")),RecPricing!$F$5:$F$10,0)),""),IFERROR(INDEX(Reference!$E$5:$E$12,MATCH(B953&amp;"|"&amp;IF(C953="Mixed","External",IF(C953="Unknown","UoB",C953))&amp;"|"&amp;IF(F953&lt;=32,"32","40"),Reference!$D$5:$D$12,0)),""))</f>
        <v/>
      </c>
      <c r="J953" s="11" t="str">
        <f t="shared" si="86"/>
        <v/>
      </c>
      <c r="K953" s="12"/>
      <c r="L953" s="11" t="str">
        <f t="shared" si="87"/>
        <v/>
      </c>
      <c r="M953" s="12"/>
      <c r="N953" s="12"/>
      <c r="O953" s="11" t="str">
        <f t="shared" si="88"/>
        <v/>
      </c>
      <c r="P953" s="10" t="str">
        <f t="shared" si="89"/>
        <v/>
      </c>
    </row>
    <row r="954" spans="1:16" ht="15" customHeight="1" x14ac:dyDescent="0.2">
      <c r="A954" s="8"/>
      <c r="B954" s="8"/>
      <c r="C954" s="8"/>
      <c r="D954" s="9"/>
      <c r="E954" s="9"/>
      <c r="F954" s="8"/>
      <c r="G954" s="10" t="str">
        <f t="shared" si="84"/>
        <v/>
      </c>
      <c r="H954" s="10" t="str">
        <f t="shared" si="85"/>
        <v/>
      </c>
      <c r="I954" s="11" t="str">
        <f>IF(B954="Recreation",IFERROR(INDEX(RecPricing!$E$5:$E$10,MATCH(IF(C954="Mixed","External",IF(C954="Unknown","UoB",C954))&amp;"|"&amp;IF(F954&lt;=24,"&lt;=24",IF(F954&lt;=32,"&lt;=32","Above32")),RecPricing!$F$5:$F$10,0)),""),IFERROR(INDEX(Reference!$E$5:$E$12,MATCH(B954&amp;"|"&amp;IF(C954="Mixed","External",IF(C954="Unknown","UoB",C954))&amp;"|"&amp;IF(F954&lt;=32,"32","40"),Reference!$D$5:$D$12,0)),""))</f>
        <v/>
      </c>
      <c r="J954" s="11" t="str">
        <f t="shared" si="86"/>
        <v/>
      </c>
      <c r="K954" s="12"/>
      <c r="L954" s="11" t="str">
        <f t="shared" si="87"/>
        <v/>
      </c>
      <c r="M954" s="12"/>
      <c r="N954" s="12"/>
      <c r="O954" s="11" t="str">
        <f t="shared" si="88"/>
        <v/>
      </c>
      <c r="P954" s="10" t="str">
        <f t="shared" si="89"/>
        <v/>
      </c>
    </row>
    <row r="955" spans="1:16" ht="15" customHeight="1" x14ac:dyDescent="0.2">
      <c r="A955" s="8"/>
      <c r="B955" s="8"/>
      <c r="C955" s="8"/>
      <c r="D955" s="9"/>
      <c r="E955" s="9"/>
      <c r="F955" s="8"/>
      <c r="G955" s="10" t="str">
        <f t="shared" si="84"/>
        <v/>
      </c>
      <c r="H955" s="10" t="str">
        <f t="shared" si="85"/>
        <v/>
      </c>
      <c r="I955" s="11" t="str">
        <f>IF(B955="Recreation",IFERROR(INDEX(RecPricing!$E$5:$E$10,MATCH(IF(C955="Mixed","External",IF(C955="Unknown","UoB",C955))&amp;"|"&amp;IF(F955&lt;=24,"&lt;=24",IF(F955&lt;=32,"&lt;=32","Above32")),RecPricing!$F$5:$F$10,0)),""),IFERROR(INDEX(Reference!$E$5:$E$12,MATCH(B955&amp;"|"&amp;IF(C955="Mixed","External",IF(C955="Unknown","UoB",C955))&amp;"|"&amp;IF(F955&lt;=32,"32","40"),Reference!$D$5:$D$12,0)),""))</f>
        <v/>
      </c>
      <c r="J955" s="11" t="str">
        <f t="shared" si="86"/>
        <v/>
      </c>
      <c r="K955" s="12"/>
      <c r="L955" s="11" t="str">
        <f t="shared" si="87"/>
        <v/>
      </c>
      <c r="M955" s="12"/>
      <c r="N955" s="12"/>
      <c r="O955" s="11" t="str">
        <f t="shared" si="88"/>
        <v/>
      </c>
      <c r="P955" s="10" t="str">
        <f t="shared" si="89"/>
        <v/>
      </c>
    </row>
    <row r="956" spans="1:16" ht="15" customHeight="1" x14ac:dyDescent="0.2">
      <c r="A956" s="8"/>
      <c r="B956" s="8"/>
      <c r="C956" s="8"/>
      <c r="D956" s="9"/>
      <c r="E956" s="9"/>
      <c r="F956" s="8"/>
      <c r="G956" s="10" t="str">
        <f t="shared" si="84"/>
        <v/>
      </c>
      <c r="H956" s="10" t="str">
        <f t="shared" si="85"/>
        <v/>
      </c>
      <c r="I956" s="11" t="str">
        <f>IF(B956="Recreation",IFERROR(INDEX(RecPricing!$E$5:$E$10,MATCH(IF(C956="Mixed","External",IF(C956="Unknown","UoB",C956))&amp;"|"&amp;IF(F956&lt;=24,"&lt;=24",IF(F956&lt;=32,"&lt;=32","Above32")),RecPricing!$F$5:$F$10,0)),""),IFERROR(INDEX(Reference!$E$5:$E$12,MATCH(B956&amp;"|"&amp;IF(C956="Mixed","External",IF(C956="Unknown","UoB",C956))&amp;"|"&amp;IF(F956&lt;=32,"32","40"),Reference!$D$5:$D$12,0)),""))</f>
        <v/>
      </c>
      <c r="J956" s="11" t="str">
        <f t="shared" si="86"/>
        <v/>
      </c>
      <c r="K956" s="12"/>
      <c r="L956" s="11" t="str">
        <f t="shared" si="87"/>
        <v/>
      </c>
      <c r="M956" s="12"/>
      <c r="N956" s="12"/>
      <c r="O956" s="11" t="str">
        <f t="shared" si="88"/>
        <v/>
      </c>
      <c r="P956" s="10" t="str">
        <f t="shared" si="89"/>
        <v/>
      </c>
    </row>
    <row r="957" spans="1:16" ht="15" customHeight="1" x14ac:dyDescent="0.2">
      <c r="A957" s="8"/>
      <c r="B957" s="8"/>
      <c r="C957" s="8"/>
      <c r="D957" s="9"/>
      <c r="E957" s="9"/>
      <c r="F957" s="8"/>
      <c r="G957" s="10" t="str">
        <f t="shared" si="84"/>
        <v/>
      </c>
      <c r="H957" s="10" t="str">
        <f t="shared" si="85"/>
        <v/>
      </c>
      <c r="I957" s="11" t="str">
        <f>IF(B957="Recreation",IFERROR(INDEX(RecPricing!$E$5:$E$10,MATCH(IF(C957="Mixed","External",IF(C957="Unknown","UoB",C957))&amp;"|"&amp;IF(F957&lt;=24,"&lt;=24",IF(F957&lt;=32,"&lt;=32","Above32")),RecPricing!$F$5:$F$10,0)),""),IFERROR(INDEX(Reference!$E$5:$E$12,MATCH(B957&amp;"|"&amp;IF(C957="Mixed","External",IF(C957="Unknown","UoB",C957))&amp;"|"&amp;IF(F957&lt;=32,"32","40"),Reference!$D$5:$D$12,0)),""))</f>
        <v/>
      </c>
      <c r="J957" s="11" t="str">
        <f t="shared" si="86"/>
        <v/>
      </c>
      <c r="K957" s="12"/>
      <c r="L957" s="11" t="str">
        <f t="shared" si="87"/>
        <v/>
      </c>
      <c r="M957" s="12"/>
      <c r="N957" s="12"/>
      <c r="O957" s="11" t="str">
        <f t="shared" si="88"/>
        <v/>
      </c>
      <c r="P957" s="10" t="str">
        <f t="shared" si="89"/>
        <v/>
      </c>
    </row>
    <row r="958" spans="1:16" ht="15" customHeight="1" x14ac:dyDescent="0.2">
      <c r="A958" s="8"/>
      <c r="B958" s="8"/>
      <c r="C958" s="8"/>
      <c r="D958" s="9"/>
      <c r="E958" s="9"/>
      <c r="F958" s="8"/>
      <c r="G958" s="10" t="str">
        <f t="shared" si="84"/>
        <v/>
      </c>
      <c r="H958" s="10" t="str">
        <f t="shared" si="85"/>
        <v/>
      </c>
      <c r="I958" s="11" t="str">
        <f>IF(B958="Recreation",IFERROR(INDEX(RecPricing!$E$5:$E$10,MATCH(IF(C958="Mixed","External",IF(C958="Unknown","UoB",C958))&amp;"|"&amp;IF(F958&lt;=24,"&lt;=24",IF(F958&lt;=32,"&lt;=32","Above32")),RecPricing!$F$5:$F$10,0)),""),IFERROR(INDEX(Reference!$E$5:$E$12,MATCH(B958&amp;"|"&amp;IF(C958="Mixed","External",IF(C958="Unknown","UoB",C958))&amp;"|"&amp;IF(F958&lt;=32,"32","40"),Reference!$D$5:$D$12,0)),""))</f>
        <v/>
      </c>
      <c r="J958" s="11" t="str">
        <f t="shared" si="86"/>
        <v/>
      </c>
      <c r="K958" s="12"/>
      <c r="L958" s="11" t="str">
        <f t="shared" si="87"/>
        <v/>
      </c>
      <c r="M958" s="12"/>
      <c r="N958" s="12"/>
      <c r="O958" s="11" t="str">
        <f t="shared" si="88"/>
        <v/>
      </c>
      <c r="P958" s="10" t="str">
        <f t="shared" si="89"/>
        <v/>
      </c>
    </row>
    <row r="959" spans="1:16" ht="15" customHeight="1" x14ac:dyDescent="0.2">
      <c r="A959" s="8"/>
      <c r="B959" s="8"/>
      <c r="C959" s="8"/>
      <c r="D959" s="9"/>
      <c r="E959" s="9"/>
      <c r="F959" s="8"/>
      <c r="G959" s="10" t="str">
        <f t="shared" ref="G959:G1022" si="90">IF(OR(D959="",E959=""),"",E959-D959)</f>
        <v/>
      </c>
      <c r="H959" s="10" t="str">
        <f t="shared" ref="H959:H1022" si="91">IF(OR(F959="",G959=""),"",F959*G959)</f>
        <v/>
      </c>
      <c r="I959" s="11" t="str">
        <f>IF(B959="Recreation",IFERROR(INDEX(RecPricing!$E$5:$E$10,MATCH(IF(C959="Mixed","External",IF(C959="Unknown","UoB",C959))&amp;"|"&amp;IF(F959&lt;=24,"&lt;=24",IF(F959&lt;=32,"&lt;=32","Above32")),RecPricing!$F$5:$F$10,0)),""),IFERROR(INDEX(Reference!$E$5:$E$12,MATCH(B959&amp;"|"&amp;IF(C959="Mixed","External",IF(C959="Unknown","UoB",C959))&amp;"|"&amp;IF(F959&lt;=32,"32","40"),Reference!$D$5:$D$12,0)),""))</f>
        <v/>
      </c>
      <c r="J959" s="11" t="str">
        <f t="shared" ref="J959:J1022" si="92">IF(I959="","",IF(B959="Recreation",IF(F959&lt;=32,I959,I959*IF(F959="",0,F959)),IF(AND(I959&lt;&gt;"",G959&lt;&gt;""),I959*G959,"")))</f>
        <v/>
      </c>
      <c r="K959" s="12"/>
      <c r="L959" s="11" t="str">
        <f t="shared" ref="L959:L1022" si="93">IF(J959="","",J959-IF(K959="",0,K959))</f>
        <v/>
      </c>
      <c r="M959" s="12"/>
      <c r="N959" s="12"/>
      <c r="O959" s="11" t="str">
        <f t="shared" ref="O959:O1022" si="94">IF(L959="","",L959-IF(M959="",0,M959)-IF(N959="",0,N959))</f>
        <v/>
      </c>
      <c r="P959" s="10" t="str">
        <f t="shared" ref="P959:P1022" si="95">IF(D959="","",IF(MONTH(D959)&gt;=8,YEAR(D959)&amp;"-"&amp;RIGHT(YEAR(D959)+1,2),YEAR(D959)-1&amp;"-"&amp;RIGHT(YEAR(D959),2)))</f>
        <v/>
      </c>
    </row>
    <row r="960" spans="1:16" ht="15" customHeight="1" x14ac:dyDescent="0.2">
      <c r="A960" s="8"/>
      <c r="B960" s="8"/>
      <c r="C960" s="8"/>
      <c r="D960" s="9"/>
      <c r="E960" s="9"/>
      <c r="F960" s="8"/>
      <c r="G960" s="10" t="str">
        <f t="shared" si="90"/>
        <v/>
      </c>
      <c r="H960" s="10" t="str">
        <f t="shared" si="91"/>
        <v/>
      </c>
      <c r="I960" s="11" t="str">
        <f>IF(B960="Recreation",IFERROR(INDEX(RecPricing!$E$5:$E$10,MATCH(IF(C960="Mixed","External",IF(C960="Unknown","UoB",C960))&amp;"|"&amp;IF(F960&lt;=24,"&lt;=24",IF(F960&lt;=32,"&lt;=32","Above32")),RecPricing!$F$5:$F$10,0)),""),IFERROR(INDEX(Reference!$E$5:$E$12,MATCH(B960&amp;"|"&amp;IF(C960="Mixed","External",IF(C960="Unknown","UoB",C960))&amp;"|"&amp;IF(F960&lt;=32,"32","40"),Reference!$D$5:$D$12,0)),""))</f>
        <v/>
      </c>
      <c r="J960" s="11" t="str">
        <f t="shared" si="92"/>
        <v/>
      </c>
      <c r="K960" s="12"/>
      <c r="L960" s="11" t="str">
        <f t="shared" si="93"/>
        <v/>
      </c>
      <c r="M960" s="12"/>
      <c r="N960" s="12"/>
      <c r="O960" s="11" t="str">
        <f t="shared" si="94"/>
        <v/>
      </c>
      <c r="P960" s="10" t="str">
        <f t="shared" si="95"/>
        <v/>
      </c>
    </row>
    <row r="961" spans="1:16" ht="15" customHeight="1" x14ac:dyDescent="0.2">
      <c r="A961" s="8"/>
      <c r="B961" s="8"/>
      <c r="C961" s="8"/>
      <c r="D961" s="9"/>
      <c r="E961" s="9"/>
      <c r="F961" s="8"/>
      <c r="G961" s="10" t="str">
        <f t="shared" si="90"/>
        <v/>
      </c>
      <c r="H961" s="10" t="str">
        <f t="shared" si="91"/>
        <v/>
      </c>
      <c r="I961" s="11" t="str">
        <f>IF(B961="Recreation",IFERROR(INDEX(RecPricing!$E$5:$E$10,MATCH(IF(C961="Mixed","External",IF(C961="Unknown","UoB",C961))&amp;"|"&amp;IF(F961&lt;=24,"&lt;=24",IF(F961&lt;=32,"&lt;=32","Above32")),RecPricing!$F$5:$F$10,0)),""),IFERROR(INDEX(Reference!$E$5:$E$12,MATCH(B961&amp;"|"&amp;IF(C961="Mixed","External",IF(C961="Unknown","UoB",C961))&amp;"|"&amp;IF(F961&lt;=32,"32","40"),Reference!$D$5:$D$12,0)),""))</f>
        <v/>
      </c>
      <c r="J961" s="11" t="str">
        <f t="shared" si="92"/>
        <v/>
      </c>
      <c r="K961" s="12"/>
      <c r="L961" s="11" t="str">
        <f t="shared" si="93"/>
        <v/>
      </c>
      <c r="M961" s="12"/>
      <c r="N961" s="12"/>
      <c r="O961" s="11" t="str">
        <f t="shared" si="94"/>
        <v/>
      </c>
      <c r="P961" s="10" t="str">
        <f t="shared" si="95"/>
        <v/>
      </c>
    </row>
    <row r="962" spans="1:16" ht="15" customHeight="1" x14ac:dyDescent="0.2">
      <c r="A962" s="8"/>
      <c r="B962" s="8"/>
      <c r="C962" s="8"/>
      <c r="D962" s="9"/>
      <c r="E962" s="9"/>
      <c r="F962" s="8"/>
      <c r="G962" s="10" t="str">
        <f t="shared" si="90"/>
        <v/>
      </c>
      <c r="H962" s="10" t="str">
        <f t="shared" si="91"/>
        <v/>
      </c>
      <c r="I962" s="11" t="str">
        <f>IF(B962="Recreation",IFERROR(INDEX(RecPricing!$E$5:$E$10,MATCH(IF(C962="Mixed","External",IF(C962="Unknown","UoB",C962))&amp;"|"&amp;IF(F962&lt;=24,"&lt;=24",IF(F962&lt;=32,"&lt;=32","Above32")),RecPricing!$F$5:$F$10,0)),""),IFERROR(INDEX(Reference!$E$5:$E$12,MATCH(B962&amp;"|"&amp;IF(C962="Mixed","External",IF(C962="Unknown","UoB",C962))&amp;"|"&amp;IF(F962&lt;=32,"32","40"),Reference!$D$5:$D$12,0)),""))</f>
        <v/>
      </c>
      <c r="J962" s="11" t="str">
        <f t="shared" si="92"/>
        <v/>
      </c>
      <c r="K962" s="12"/>
      <c r="L962" s="11" t="str">
        <f t="shared" si="93"/>
        <v/>
      </c>
      <c r="M962" s="12"/>
      <c r="N962" s="12"/>
      <c r="O962" s="11" t="str">
        <f t="shared" si="94"/>
        <v/>
      </c>
      <c r="P962" s="10" t="str">
        <f t="shared" si="95"/>
        <v/>
      </c>
    </row>
    <row r="963" spans="1:16" ht="15" customHeight="1" x14ac:dyDescent="0.2">
      <c r="A963" s="8"/>
      <c r="B963" s="8"/>
      <c r="C963" s="8"/>
      <c r="D963" s="9"/>
      <c r="E963" s="9"/>
      <c r="F963" s="8"/>
      <c r="G963" s="10" t="str">
        <f t="shared" si="90"/>
        <v/>
      </c>
      <c r="H963" s="10" t="str">
        <f t="shared" si="91"/>
        <v/>
      </c>
      <c r="I963" s="11" t="str">
        <f>IF(B963="Recreation",IFERROR(INDEX(RecPricing!$E$5:$E$10,MATCH(IF(C963="Mixed","External",IF(C963="Unknown","UoB",C963))&amp;"|"&amp;IF(F963&lt;=24,"&lt;=24",IF(F963&lt;=32,"&lt;=32","Above32")),RecPricing!$F$5:$F$10,0)),""),IFERROR(INDEX(Reference!$E$5:$E$12,MATCH(B963&amp;"|"&amp;IF(C963="Mixed","External",IF(C963="Unknown","UoB",C963))&amp;"|"&amp;IF(F963&lt;=32,"32","40"),Reference!$D$5:$D$12,0)),""))</f>
        <v/>
      </c>
      <c r="J963" s="11" t="str">
        <f t="shared" si="92"/>
        <v/>
      </c>
      <c r="K963" s="12"/>
      <c r="L963" s="11" t="str">
        <f t="shared" si="93"/>
        <v/>
      </c>
      <c r="M963" s="12"/>
      <c r="N963" s="12"/>
      <c r="O963" s="11" t="str">
        <f t="shared" si="94"/>
        <v/>
      </c>
      <c r="P963" s="10" t="str">
        <f t="shared" si="95"/>
        <v/>
      </c>
    </row>
    <row r="964" spans="1:16" ht="15" customHeight="1" x14ac:dyDescent="0.2">
      <c r="A964" s="8"/>
      <c r="B964" s="8"/>
      <c r="C964" s="8"/>
      <c r="D964" s="9"/>
      <c r="E964" s="9"/>
      <c r="F964" s="8"/>
      <c r="G964" s="10" t="str">
        <f t="shared" si="90"/>
        <v/>
      </c>
      <c r="H964" s="10" t="str">
        <f t="shared" si="91"/>
        <v/>
      </c>
      <c r="I964" s="11" t="str">
        <f>IF(B964="Recreation",IFERROR(INDEX(RecPricing!$E$5:$E$10,MATCH(IF(C964="Mixed","External",IF(C964="Unknown","UoB",C964))&amp;"|"&amp;IF(F964&lt;=24,"&lt;=24",IF(F964&lt;=32,"&lt;=32","Above32")),RecPricing!$F$5:$F$10,0)),""),IFERROR(INDEX(Reference!$E$5:$E$12,MATCH(B964&amp;"|"&amp;IF(C964="Mixed","External",IF(C964="Unknown","UoB",C964))&amp;"|"&amp;IF(F964&lt;=32,"32","40"),Reference!$D$5:$D$12,0)),""))</f>
        <v/>
      </c>
      <c r="J964" s="11" t="str">
        <f t="shared" si="92"/>
        <v/>
      </c>
      <c r="K964" s="12"/>
      <c r="L964" s="11" t="str">
        <f t="shared" si="93"/>
        <v/>
      </c>
      <c r="M964" s="12"/>
      <c r="N964" s="12"/>
      <c r="O964" s="11" t="str">
        <f t="shared" si="94"/>
        <v/>
      </c>
      <c r="P964" s="10" t="str">
        <f t="shared" si="95"/>
        <v/>
      </c>
    </row>
    <row r="965" spans="1:16" ht="15" customHeight="1" x14ac:dyDescent="0.2">
      <c r="A965" s="8"/>
      <c r="B965" s="8"/>
      <c r="C965" s="8"/>
      <c r="D965" s="9"/>
      <c r="E965" s="9"/>
      <c r="F965" s="8"/>
      <c r="G965" s="10" t="str">
        <f t="shared" si="90"/>
        <v/>
      </c>
      <c r="H965" s="10" t="str">
        <f t="shared" si="91"/>
        <v/>
      </c>
      <c r="I965" s="11" t="str">
        <f>IF(B965="Recreation",IFERROR(INDEX(RecPricing!$E$5:$E$10,MATCH(IF(C965="Mixed","External",IF(C965="Unknown","UoB",C965))&amp;"|"&amp;IF(F965&lt;=24,"&lt;=24",IF(F965&lt;=32,"&lt;=32","Above32")),RecPricing!$F$5:$F$10,0)),""),IFERROR(INDEX(Reference!$E$5:$E$12,MATCH(B965&amp;"|"&amp;IF(C965="Mixed","External",IF(C965="Unknown","UoB",C965))&amp;"|"&amp;IF(F965&lt;=32,"32","40"),Reference!$D$5:$D$12,0)),""))</f>
        <v/>
      </c>
      <c r="J965" s="11" t="str">
        <f t="shared" si="92"/>
        <v/>
      </c>
      <c r="K965" s="12"/>
      <c r="L965" s="11" t="str">
        <f t="shared" si="93"/>
        <v/>
      </c>
      <c r="M965" s="12"/>
      <c r="N965" s="12"/>
      <c r="O965" s="11" t="str">
        <f t="shared" si="94"/>
        <v/>
      </c>
      <c r="P965" s="10" t="str">
        <f t="shared" si="95"/>
        <v/>
      </c>
    </row>
    <row r="966" spans="1:16" ht="15" customHeight="1" x14ac:dyDescent="0.2">
      <c r="A966" s="8"/>
      <c r="B966" s="8"/>
      <c r="C966" s="8"/>
      <c r="D966" s="9"/>
      <c r="E966" s="9"/>
      <c r="F966" s="8"/>
      <c r="G966" s="10" t="str">
        <f t="shared" si="90"/>
        <v/>
      </c>
      <c r="H966" s="10" t="str">
        <f t="shared" si="91"/>
        <v/>
      </c>
      <c r="I966" s="11" t="str">
        <f>IF(B966="Recreation",IFERROR(INDEX(RecPricing!$E$5:$E$10,MATCH(IF(C966="Mixed","External",IF(C966="Unknown","UoB",C966))&amp;"|"&amp;IF(F966&lt;=24,"&lt;=24",IF(F966&lt;=32,"&lt;=32","Above32")),RecPricing!$F$5:$F$10,0)),""),IFERROR(INDEX(Reference!$E$5:$E$12,MATCH(B966&amp;"|"&amp;IF(C966="Mixed","External",IF(C966="Unknown","UoB",C966))&amp;"|"&amp;IF(F966&lt;=32,"32","40"),Reference!$D$5:$D$12,0)),""))</f>
        <v/>
      </c>
      <c r="J966" s="11" t="str">
        <f t="shared" si="92"/>
        <v/>
      </c>
      <c r="K966" s="12"/>
      <c r="L966" s="11" t="str">
        <f t="shared" si="93"/>
        <v/>
      </c>
      <c r="M966" s="12"/>
      <c r="N966" s="12"/>
      <c r="O966" s="11" t="str">
        <f t="shared" si="94"/>
        <v/>
      </c>
      <c r="P966" s="10" t="str">
        <f t="shared" si="95"/>
        <v/>
      </c>
    </row>
    <row r="967" spans="1:16" ht="15" customHeight="1" x14ac:dyDescent="0.2">
      <c r="A967" s="8"/>
      <c r="B967" s="8"/>
      <c r="C967" s="8"/>
      <c r="D967" s="9"/>
      <c r="E967" s="9"/>
      <c r="F967" s="8"/>
      <c r="G967" s="10" t="str">
        <f t="shared" si="90"/>
        <v/>
      </c>
      <c r="H967" s="10" t="str">
        <f t="shared" si="91"/>
        <v/>
      </c>
      <c r="I967" s="11" t="str">
        <f>IF(B967="Recreation",IFERROR(INDEX(RecPricing!$E$5:$E$10,MATCH(IF(C967="Mixed","External",IF(C967="Unknown","UoB",C967))&amp;"|"&amp;IF(F967&lt;=24,"&lt;=24",IF(F967&lt;=32,"&lt;=32","Above32")),RecPricing!$F$5:$F$10,0)),""),IFERROR(INDEX(Reference!$E$5:$E$12,MATCH(B967&amp;"|"&amp;IF(C967="Mixed","External",IF(C967="Unknown","UoB",C967))&amp;"|"&amp;IF(F967&lt;=32,"32","40"),Reference!$D$5:$D$12,0)),""))</f>
        <v/>
      </c>
      <c r="J967" s="11" t="str">
        <f t="shared" si="92"/>
        <v/>
      </c>
      <c r="K967" s="12"/>
      <c r="L967" s="11" t="str">
        <f t="shared" si="93"/>
        <v/>
      </c>
      <c r="M967" s="12"/>
      <c r="N967" s="12"/>
      <c r="O967" s="11" t="str">
        <f t="shared" si="94"/>
        <v/>
      </c>
      <c r="P967" s="10" t="str">
        <f t="shared" si="95"/>
        <v/>
      </c>
    </row>
    <row r="968" spans="1:16" ht="15" customHeight="1" x14ac:dyDescent="0.2">
      <c r="A968" s="8"/>
      <c r="B968" s="8"/>
      <c r="C968" s="8"/>
      <c r="D968" s="9"/>
      <c r="E968" s="9"/>
      <c r="F968" s="8"/>
      <c r="G968" s="10" t="str">
        <f t="shared" si="90"/>
        <v/>
      </c>
      <c r="H968" s="10" t="str">
        <f t="shared" si="91"/>
        <v/>
      </c>
      <c r="I968" s="11" t="str">
        <f>IF(B968="Recreation",IFERROR(INDEX(RecPricing!$E$5:$E$10,MATCH(IF(C968="Mixed","External",IF(C968="Unknown","UoB",C968))&amp;"|"&amp;IF(F968&lt;=24,"&lt;=24",IF(F968&lt;=32,"&lt;=32","Above32")),RecPricing!$F$5:$F$10,0)),""),IFERROR(INDEX(Reference!$E$5:$E$12,MATCH(B968&amp;"|"&amp;IF(C968="Mixed","External",IF(C968="Unknown","UoB",C968))&amp;"|"&amp;IF(F968&lt;=32,"32","40"),Reference!$D$5:$D$12,0)),""))</f>
        <v/>
      </c>
      <c r="J968" s="11" t="str">
        <f t="shared" si="92"/>
        <v/>
      </c>
      <c r="K968" s="12"/>
      <c r="L968" s="11" t="str">
        <f t="shared" si="93"/>
        <v/>
      </c>
      <c r="M968" s="12"/>
      <c r="N968" s="12"/>
      <c r="O968" s="11" t="str">
        <f t="shared" si="94"/>
        <v/>
      </c>
      <c r="P968" s="10" t="str">
        <f t="shared" si="95"/>
        <v/>
      </c>
    </row>
    <row r="969" spans="1:16" ht="15" customHeight="1" x14ac:dyDescent="0.2">
      <c r="A969" s="8"/>
      <c r="B969" s="8"/>
      <c r="C969" s="8"/>
      <c r="D969" s="9"/>
      <c r="E969" s="9"/>
      <c r="F969" s="8"/>
      <c r="G969" s="10" t="str">
        <f t="shared" si="90"/>
        <v/>
      </c>
      <c r="H969" s="10" t="str">
        <f t="shared" si="91"/>
        <v/>
      </c>
      <c r="I969" s="11" t="str">
        <f>IF(B969="Recreation",IFERROR(INDEX(RecPricing!$E$5:$E$10,MATCH(IF(C969="Mixed","External",IF(C969="Unknown","UoB",C969))&amp;"|"&amp;IF(F969&lt;=24,"&lt;=24",IF(F969&lt;=32,"&lt;=32","Above32")),RecPricing!$F$5:$F$10,0)),""),IFERROR(INDEX(Reference!$E$5:$E$12,MATCH(B969&amp;"|"&amp;IF(C969="Mixed","External",IF(C969="Unknown","UoB",C969))&amp;"|"&amp;IF(F969&lt;=32,"32","40"),Reference!$D$5:$D$12,0)),""))</f>
        <v/>
      </c>
      <c r="J969" s="11" t="str">
        <f t="shared" si="92"/>
        <v/>
      </c>
      <c r="K969" s="12"/>
      <c r="L969" s="11" t="str">
        <f t="shared" si="93"/>
        <v/>
      </c>
      <c r="M969" s="12"/>
      <c r="N969" s="12"/>
      <c r="O969" s="11" t="str">
        <f t="shared" si="94"/>
        <v/>
      </c>
      <c r="P969" s="10" t="str">
        <f t="shared" si="95"/>
        <v/>
      </c>
    </row>
    <row r="970" spans="1:16" ht="15" customHeight="1" x14ac:dyDescent="0.2">
      <c r="A970" s="8"/>
      <c r="B970" s="8"/>
      <c r="C970" s="8"/>
      <c r="D970" s="9"/>
      <c r="E970" s="9"/>
      <c r="F970" s="8"/>
      <c r="G970" s="10" t="str">
        <f t="shared" si="90"/>
        <v/>
      </c>
      <c r="H970" s="10" t="str">
        <f t="shared" si="91"/>
        <v/>
      </c>
      <c r="I970" s="11" t="str">
        <f>IF(B970="Recreation",IFERROR(INDEX(RecPricing!$E$5:$E$10,MATCH(IF(C970="Mixed","External",IF(C970="Unknown","UoB",C970))&amp;"|"&amp;IF(F970&lt;=24,"&lt;=24",IF(F970&lt;=32,"&lt;=32","Above32")),RecPricing!$F$5:$F$10,0)),""),IFERROR(INDEX(Reference!$E$5:$E$12,MATCH(B970&amp;"|"&amp;IF(C970="Mixed","External",IF(C970="Unknown","UoB",C970))&amp;"|"&amp;IF(F970&lt;=32,"32","40"),Reference!$D$5:$D$12,0)),""))</f>
        <v/>
      </c>
      <c r="J970" s="11" t="str">
        <f t="shared" si="92"/>
        <v/>
      </c>
      <c r="K970" s="12"/>
      <c r="L970" s="11" t="str">
        <f t="shared" si="93"/>
        <v/>
      </c>
      <c r="M970" s="12"/>
      <c r="N970" s="12"/>
      <c r="O970" s="11" t="str">
        <f t="shared" si="94"/>
        <v/>
      </c>
      <c r="P970" s="10" t="str">
        <f t="shared" si="95"/>
        <v/>
      </c>
    </row>
    <row r="971" spans="1:16" ht="15" customHeight="1" x14ac:dyDescent="0.2">
      <c r="A971" s="8"/>
      <c r="B971" s="8"/>
      <c r="C971" s="8"/>
      <c r="D971" s="9"/>
      <c r="E971" s="9"/>
      <c r="F971" s="8"/>
      <c r="G971" s="10" t="str">
        <f t="shared" si="90"/>
        <v/>
      </c>
      <c r="H971" s="10" t="str">
        <f t="shared" si="91"/>
        <v/>
      </c>
      <c r="I971" s="11" t="str">
        <f>IF(B971="Recreation",IFERROR(INDEX(RecPricing!$E$5:$E$10,MATCH(IF(C971="Mixed","External",IF(C971="Unknown","UoB",C971))&amp;"|"&amp;IF(F971&lt;=24,"&lt;=24",IF(F971&lt;=32,"&lt;=32","Above32")),RecPricing!$F$5:$F$10,0)),""),IFERROR(INDEX(Reference!$E$5:$E$12,MATCH(B971&amp;"|"&amp;IF(C971="Mixed","External",IF(C971="Unknown","UoB",C971))&amp;"|"&amp;IF(F971&lt;=32,"32","40"),Reference!$D$5:$D$12,0)),""))</f>
        <v/>
      </c>
      <c r="J971" s="11" t="str">
        <f t="shared" si="92"/>
        <v/>
      </c>
      <c r="K971" s="12"/>
      <c r="L971" s="11" t="str">
        <f t="shared" si="93"/>
        <v/>
      </c>
      <c r="M971" s="12"/>
      <c r="N971" s="12"/>
      <c r="O971" s="11" t="str">
        <f t="shared" si="94"/>
        <v/>
      </c>
      <c r="P971" s="10" t="str">
        <f t="shared" si="95"/>
        <v/>
      </c>
    </row>
    <row r="972" spans="1:16" ht="15" customHeight="1" x14ac:dyDescent="0.2">
      <c r="A972" s="8"/>
      <c r="B972" s="8"/>
      <c r="C972" s="8"/>
      <c r="D972" s="9"/>
      <c r="E972" s="9"/>
      <c r="F972" s="8"/>
      <c r="G972" s="10" t="str">
        <f t="shared" si="90"/>
        <v/>
      </c>
      <c r="H972" s="10" t="str">
        <f t="shared" si="91"/>
        <v/>
      </c>
      <c r="I972" s="11" t="str">
        <f>IF(B972="Recreation",IFERROR(INDEX(RecPricing!$E$5:$E$10,MATCH(IF(C972="Mixed","External",IF(C972="Unknown","UoB",C972))&amp;"|"&amp;IF(F972&lt;=24,"&lt;=24",IF(F972&lt;=32,"&lt;=32","Above32")),RecPricing!$F$5:$F$10,0)),""),IFERROR(INDEX(Reference!$E$5:$E$12,MATCH(B972&amp;"|"&amp;IF(C972="Mixed","External",IF(C972="Unknown","UoB",C972))&amp;"|"&amp;IF(F972&lt;=32,"32","40"),Reference!$D$5:$D$12,0)),""))</f>
        <v/>
      </c>
      <c r="J972" s="11" t="str">
        <f t="shared" si="92"/>
        <v/>
      </c>
      <c r="K972" s="12"/>
      <c r="L972" s="11" t="str">
        <f t="shared" si="93"/>
        <v/>
      </c>
      <c r="M972" s="12"/>
      <c r="N972" s="12"/>
      <c r="O972" s="11" t="str">
        <f t="shared" si="94"/>
        <v/>
      </c>
      <c r="P972" s="10" t="str">
        <f t="shared" si="95"/>
        <v/>
      </c>
    </row>
    <row r="973" spans="1:16" ht="15" customHeight="1" x14ac:dyDescent="0.2">
      <c r="A973" s="8"/>
      <c r="B973" s="8"/>
      <c r="C973" s="8"/>
      <c r="D973" s="9"/>
      <c r="E973" s="9"/>
      <c r="F973" s="8"/>
      <c r="G973" s="10" t="str">
        <f t="shared" si="90"/>
        <v/>
      </c>
      <c r="H973" s="10" t="str">
        <f t="shared" si="91"/>
        <v/>
      </c>
      <c r="I973" s="11" t="str">
        <f>IF(B973="Recreation",IFERROR(INDEX(RecPricing!$E$5:$E$10,MATCH(IF(C973="Mixed","External",IF(C973="Unknown","UoB",C973))&amp;"|"&amp;IF(F973&lt;=24,"&lt;=24",IF(F973&lt;=32,"&lt;=32","Above32")),RecPricing!$F$5:$F$10,0)),""),IFERROR(INDEX(Reference!$E$5:$E$12,MATCH(B973&amp;"|"&amp;IF(C973="Mixed","External",IF(C973="Unknown","UoB",C973))&amp;"|"&amp;IF(F973&lt;=32,"32","40"),Reference!$D$5:$D$12,0)),""))</f>
        <v/>
      </c>
      <c r="J973" s="11" t="str">
        <f t="shared" si="92"/>
        <v/>
      </c>
      <c r="K973" s="12"/>
      <c r="L973" s="11" t="str">
        <f t="shared" si="93"/>
        <v/>
      </c>
      <c r="M973" s="12"/>
      <c r="N973" s="12"/>
      <c r="O973" s="11" t="str">
        <f t="shared" si="94"/>
        <v/>
      </c>
      <c r="P973" s="10" t="str">
        <f t="shared" si="95"/>
        <v/>
      </c>
    </row>
    <row r="974" spans="1:16" ht="15" customHeight="1" x14ac:dyDescent="0.2">
      <c r="A974" s="8"/>
      <c r="B974" s="8"/>
      <c r="C974" s="8"/>
      <c r="D974" s="9"/>
      <c r="E974" s="9"/>
      <c r="F974" s="8"/>
      <c r="G974" s="10" t="str">
        <f t="shared" si="90"/>
        <v/>
      </c>
      <c r="H974" s="10" t="str">
        <f t="shared" si="91"/>
        <v/>
      </c>
      <c r="I974" s="11" t="str">
        <f>IF(B974="Recreation",IFERROR(INDEX(RecPricing!$E$5:$E$10,MATCH(IF(C974="Mixed","External",IF(C974="Unknown","UoB",C974))&amp;"|"&amp;IF(F974&lt;=24,"&lt;=24",IF(F974&lt;=32,"&lt;=32","Above32")),RecPricing!$F$5:$F$10,0)),""),IFERROR(INDEX(Reference!$E$5:$E$12,MATCH(B974&amp;"|"&amp;IF(C974="Mixed","External",IF(C974="Unknown","UoB",C974))&amp;"|"&amp;IF(F974&lt;=32,"32","40"),Reference!$D$5:$D$12,0)),""))</f>
        <v/>
      </c>
      <c r="J974" s="11" t="str">
        <f t="shared" si="92"/>
        <v/>
      </c>
      <c r="K974" s="12"/>
      <c r="L974" s="11" t="str">
        <f t="shared" si="93"/>
        <v/>
      </c>
      <c r="M974" s="12"/>
      <c r="N974" s="12"/>
      <c r="O974" s="11" t="str">
        <f t="shared" si="94"/>
        <v/>
      </c>
      <c r="P974" s="10" t="str">
        <f t="shared" si="95"/>
        <v/>
      </c>
    </row>
    <row r="975" spans="1:16" ht="15" customHeight="1" x14ac:dyDescent="0.2">
      <c r="A975" s="8"/>
      <c r="B975" s="8"/>
      <c r="C975" s="8"/>
      <c r="D975" s="9"/>
      <c r="E975" s="9"/>
      <c r="F975" s="8"/>
      <c r="G975" s="10" t="str">
        <f t="shared" si="90"/>
        <v/>
      </c>
      <c r="H975" s="10" t="str">
        <f t="shared" si="91"/>
        <v/>
      </c>
      <c r="I975" s="11" t="str">
        <f>IF(B975="Recreation",IFERROR(INDEX(RecPricing!$E$5:$E$10,MATCH(IF(C975="Mixed","External",IF(C975="Unknown","UoB",C975))&amp;"|"&amp;IF(F975&lt;=24,"&lt;=24",IF(F975&lt;=32,"&lt;=32","Above32")),RecPricing!$F$5:$F$10,0)),""),IFERROR(INDEX(Reference!$E$5:$E$12,MATCH(B975&amp;"|"&amp;IF(C975="Mixed","External",IF(C975="Unknown","UoB",C975))&amp;"|"&amp;IF(F975&lt;=32,"32","40"),Reference!$D$5:$D$12,0)),""))</f>
        <v/>
      </c>
      <c r="J975" s="11" t="str">
        <f t="shared" si="92"/>
        <v/>
      </c>
      <c r="K975" s="12"/>
      <c r="L975" s="11" t="str">
        <f t="shared" si="93"/>
        <v/>
      </c>
      <c r="M975" s="12"/>
      <c r="N975" s="12"/>
      <c r="O975" s="11" t="str">
        <f t="shared" si="94"/>
        <v/>
      </c>
      <c r="P975" s="10" t="str">
        <f t="shared" si="95"/>
        <v/>
      </c>
    </row>
    <row r="976" spans="1:16" ht="15" customHeight="1" x14ac:dyDescent="0.2">
      <c r="A976" s="8"/>
      <c r="B976" s="8"/>
      <c r="C976" s="8"/>
      <c r="D976" s="9"/>
      <c r="E976" s="9"/>
      <c r="F976" s="8"/>
      <c r="G976" s="10" t="str">
        <f t="shared" si="90"/>
        <v/>
      </c>
      <c r="H976" s="10" t="str">
        <f t="shared" si="91"/>
        <v/>
      </c>
      <c r="I976" s="11" t="str">
        <f>IF(B976="Recreation",IFERROR(INDEX(RecPricing!$E$5:$E$10,MATCH(IF(C976="Mixed","External",IF(C976="Unknown","UoB",C976))&amp;"|"&amp;IF(F976&lt;=24,"&lt;=24",IF(F976&lt;=32,"&lt;=32","Above32")),RecPricing!$F$5:$F$10,0)),""),IFERROR(INDEX(Reference!$E$5:$E$12,MATCH(B976&amp;"|"&amp;IF(C976="Mixed","External",IF(C976="Unknown","UoB",C976))&amp;"|"&amp;IF(F976&lt;=32,"32","40"),Reference!$D$5:$D$12,0)),""))</f>
        <v/>
      </c>
      <c r="J976" s="11" t="str">
        <f t="shared" si="92"/>
        <v/>
      </c>
      <c r="K976" s="12"/>
      <c r="L976" s="11" t="str">
        <f t="shared" si="93"/>
        <v/>
      </c>
      <c r="M976" s="12"/>
      <c r="N976" s="12"/>
      <c r="O976" s="11" t="str">
        <f t="shared" si="94"/>
        <v/>
      </c>
      <c r="P976" s="10" t="str">
        <f t="shared" si="95"/>
        <v/>
      </c>
    </row>
    <row r="977" spans="1:16" ht="15" customHeight="1" x14ac:dyDescent="0.2">
      <c r="A977" s="8"/>
      <c r="B977" s="8"/>
      <c r="C977" s="8"/>
      <c r="D977" s="9"/>
      <c r="E977" s="9"/>
      <c r="F977" s="8"/>
      <c r="G977" s="10" t="str">
        <f t="shared" si="90"/>
        <v/>
      </c>
      <c r="H977" s="10" t="str">
        <f t="shared" si="91"/>
        <v/>
      </c>
      <c r="I977" s="11" t="str">
        <f>IF(B977="Recreation",IFERROR(INDEX(RecPricing!$E$5:$E$10,MATCH(IF(C977="Mixed","External",IF(C977="Unknown","UoB",C977))&amp;"|"&amp;IF(F977&lt;=24,"&lt;=24",IF(F977&lt;=32,"&lt;=32","Above32")),RecPricing!$F$5:$F$10,0)),""),IFERROR(INDEX(Reference!$E$5:$E$12,MATCH(B977&amp;"|"&amp;IF(C977="Mixed","External",IF(C977="Unknown","UoB",C977))&amp;"|"&amp;IF(F977&lt;=32,"32","40"),Reference!$D$5:$D$12,0)),""))</f>
        <v/>
      </c>
      <c r="J977" s="11" t="str">
        <f t="shared" si="92"/>
        <v/>
      </c>
      <c r="K977" s="12"/>
      <c r="L977" s="11" t="str">
        <f t="shared" si="93"/>
        <v/>
      </c>
      <c r="M977" s="12"/>
      <c r="N977" s="12"/>
      <c r="O977" s="11" t="str">
        <f t="shared" si="94"/>
        <v/>
      </c>
      <c r="P977" s="10" t="str">
        <f t="shared" si="95"/>
        <v/>
      </c>
    </row>
    <row r="978" spans="1:16" ht="15" customHeight="1" x14ac:dyDescent="0.2">
      <c r="A978" s="8"/>
      <c r="B978" s="8"/>
      <c r="C978" s="8"/>
      <c r="D978" s="9"/>
      <c r="E978" s="9"/>
      <c r="F978" s="8"/>
      <c r="G978" s="10" t="str">
        <f t="shared" si="90"/>
        <v/>
      </c>
      <c r="H978" s="10" t="str">
        <f t="shared" si="91"/>
        <v/>
      </c>
      <c r="I978" s="11" t="str">
        <f>IF(B978="Recreation",IFERROR(INDEX(RecPricing!$E$5:$E$10,MATCH(IF(C978="Mixed","External",IF(C978="Unknown","UoB",C978))&amp;"|"&amp;IF(F978&lt;=24,"&lt;=24",IF(F978&lt;=32,"&lt;=32","Above32")),RecPricing!$F$5:$F$10,0)),""),IFERROR(INDEX(Reference!$E$5:$E$12,MATCH(B978&amp;"|"&amp;IF(C978="Mixed","External",IF(C978="Unknown","UoB",C978))&amp;"|"&amp;IF(F978&lt;=32,"32","40"),Reference!$D$5:$D$12,0)),""))</f>
        <v/>
      </c>
      <c r="J978" s="11" t="str">
        <f t="shared" si="92"/>
        <v/>
      </c>
      <c r="K978" s="12"/>
      <c r="L978" s="11" t="str">
        <f t="shared" si="93"/>
        <v/>
      </c>
      <c r="M978" s="12"/>
      <c r="N978" s="12"/>
      <c r="O978" s="11" t="str">
        <f t="shared" si="94"/>
        <v/>
      </c>
      <c r="P978" s="10" t="str">
        <f t="shared" si="95"/>
        <v/>
      </c>
    </row>
    <row r="979" spans="1:16" ht="15" customHeight="1" x14ac:dyDescent="0.2">
      <c r="A979" s="8"/>
      <c r="B979" s="8"/>
      <c r="C979" s="8"/>
      <c r="D979" s="9"/>
      <c r="E979" s="9"/>
      <c r="F979" s="8"/>
      <c r="G979" s="10" t="str">
        <f t="shared" si="90"/>
        <v/>
      </c>
      <c r="H979" s="10" t="str">
        <f t="shared" si="91"/>
        <v/>
      </c>
      <c r="I979" s="11" t="str">
        <f>IF(B979="Recreation",IFERROR(INDEX(RecPricing!$E$5:$E$10,MATCH(IF(C979="Mixed","External",IF(C979="Unknown","UoB",C979))&amp;"|"&amp;IF(F979&lt;=24,"&lt;=24",IF(F979&lt;=32,"&lt;=32","Above32")),RecPricing!$F$5:$F$10,0)),""),IFERROR(INDEX(Reference!$E$5:$E$12,MATCH(B979&amp;"|"&amp;IF(C979="Mixed","External",IF(C979="Unknown","UoB",C979))&amp;"|"&amp;IF(F979&lt;=32,"32","40"),Reference!$D$5:$D$12,0)),""))</f>
        <v/>
      </c>
      <c r="J979" s="11" t="str">
        <f t="shared" si="92"/>
        <v/>
      </c>
      <c r="K979" s="12"/>
      <c r="L979" s="11" t="str">
        <f t="shared" si="93"/>
        <v/>
      </c>
      <c r="M979" s="12"/>
      <c r="N979" s="12"/>
      <c r="O979" s="11" t="str">
        <f t="shared" si="94"/>
        <v/>
      </c>
      <c r="P979" s="10" t="str">
        <f t="shared" si="95"/>
        <v/>
      </c>
    </row>
    <row r="980" spans="1:16" ht="15" customHeight="1" x14ac:dyDescent="0.2">
      <c r="A980" s="8"/>
      <c r="B980" s="8"/>
      <c r="C980" s="8"/>
      <c r="D980" s="9"/>
      <c r="E980" s="9"/>
      <c r="F980" s="8"/>
      <c r="G980" s="10" t="str">
        <f t="shared" si="90"/>
        <v/>
      </c>
      <c r="H980" s="10" t="str">
        <f t="shared" si="91"/>
        <v/>
      </c>
      <c r="I980" s="11" t="str">
        <f>IF(B980="Recreation",IFERROR(INDEX(RecPricing!$E$5:$E$10,MATCH(IF(C980="Mixed","External",IF(C980="Unknown","UoB",C980))&amp;"|"&amp;IF(F980&lt;=24,"&lt;=24",IF(F980&lt;=32,"&lt;=32","Above32")),RecPricing!$F$5:$F$10,0)),""),IFERROR(INDEX(Reference!$E$5:$E$12,MATCH(B980&amp;"|"&amp;IF(C980="Mixed","External",IF(C980="Unknown","UoB",C980))&amp;"|"&amp;IF(F980&lt;=32,"32","40"),Reference!$D$5:$D$12,0)),""))</f>
        <v/>
      </c>
      <c r="J980" s="11" t="str">
        <f t="shared" si="92"/>
        <v/>
      </c>
      <c r="K980" s="12"/>
      <c r="L980" s="11" t="str">
        <f t="shared" si="93"/>
        <v/>
      </c>
      <c r="M980" s="12"/>
      <c r="N980" s="12"/>
      <c r="O980" s="11" t="str">
        <f t="shared" si="94"/>
        <v/>
      </c>
      <c r="P980" s="10" t="str">
        <f t="shared" si="95"/>
        <v/>
      </c>
    </row>
    <row r="981" spans="1:16" ht="15" customHeight="1" x14ac:dyDescent="0.2">
      <c r="A981" s="8"/>
      <c r="B981" s="8"/>
      <c r="C981" s="8"/>
      <c r="D981" s="9"/>
      <c r="E981" s="9"/>
      <c r="F981" s="8"/>
      <c r="G981" s="10" t="str">
        <f t="shared" si="90"/>
        <v/>
      </c>
      <c r="H981" s="10" t="str">
        <f t="shared" si="91"/>
        <v/>
      </c>
      <c r="I981" s="11" t="str">
        <f>IF(B981="Recreation",IFERROR(INDEX(RecPricing!$E$5:$E$10,MATCH(IF(C981="Mixed","External",IF(C981="Unknown","UoB",C981))&amp;"|"&amp;IF(F981&lt;=24,"&lt;=24",IF(F981&lt;=32,"&lt;=32","Above32")),RecPricing!$F$5:$F$10,0)),""),IFERROR(INDEX(Reference!$E$5:$E$12,MATCH(B981&amp;"|"&amp;IF(C981="Mixed","External",IF(C981="Unknown","UoB",C981))&amp;"|"&amp;IF(F981&lt;=32,"32","40"),Reference!$D$5:$D$12,0)),""))</f>
        <v/>
      </c>
      <c r="J981" s="11" t="str">
        <f t="shared" si="92"/>
        <v/>
      </c>
      <c r="K981" s="12"/>
      <c r="L981" s="11" t="str">
        <f t="shared" si="93"/>
        <v/>
      </c>
      <c r="M981" s="12"/>
      <c r="N981" s="12"/>
      <c r="O981" s="11" t="str">
        <f t="shared" si="94"/>
        <v/>
      </c>
      <c r="P981" s="10" t="str">
        <f t="shared" si="95"/>
        <v/>
      </c>
    </row>
    <row r="982" spans="1:16" ht="15" customHeight="1" x14ac:dyDescent="0.2">
      <c r="A982" s="8"/>
      <c r="B982" s="8"/>
      <c r="C982" s="8"/>
      <c r="D982" s="9"/>
      <c r="E982" s="9"/>
      <c r="F982" s="8"/>
      <c r="G982" s="10" t="str">
        <f t="shared" si="90"/>
        <v/>
      </c>
      <c r="H982" s="10" t="str">
        <f t="shared" si="91"/>
        <v/>
      </c>
      <c r="I982" s="11" t="str">
        <f>IF(B982="Recreation",IFERROR(INDEX(RecPricing!$E$5:$E$10,MATCH(IF(C982="Mixed","External",IF(C982="Unknown","UoB",C982))&amp;"|"&amp;IF(F982&lt;=24,"&lt;=24",IF(F982&lt;=32,"&lt;=32","Above32")),RecPricing!$F$5:$F$10,0)),""),IFERROR(INDEX(Reference!$E$5:$E$12,MATCH(B982&amp;"|"&amp;IF(C982="Mixed","External",IF(C982="Unknown","UoB",C982))&amp;"|"&amp;IF(F982&lt;=32,"32","40"),Reference!$D$5:$D$12,0)),""))</f>
        <v/>
      </c>
      <c r="J982" s="11" t="str">
        <f t="shared" si="92"/>
        <v/>
      </c>
      <c r="K982" s="12"/>
      <c r="L982" s="11" t="str">
        <f t="shared" si="93"/>
        <v/>
      </c>
      <c r="M982" s="12"/>
      <c r="N982" s="12"/>
      <c r="O982" s="11" t="str">
        <f t="shared" si="94"/>
        <v/>
      </c>
      <c r="P982" s="10" t="str">
        <f t="shared" si="95"/>
        <v/>
      </c>
    </row>
    <row r="983" spans="1:16" ht="15" customHeight="1" x14ac:dyDescent="0.2">
      <c r="A983" s="8"/>
      <c r="B983" s="8"/>
      <c r="C983" s="8"/>
      <c r="D983" s="9"/>
      <c r="E983" s="9"/>
      <c r="F983" s="8"/>
      <c r="G983" s="10" t="str">
        <f t="shared" si="90"/>
        <v/>
      </c>
      <c r="H983" s="10" t="str">
        <f t="shared" si="91"/>
        <v/>
      </c>
      <c r="I983" s="11" t="str">
        <f>IF(B983="Recreation",IFERROR(INDEX(RecPricing!$E$5:$E$10,MATCH(IF(C983="Mixed","External",IF(C983="Unknown","UoB",C983))&amp;"|"&amp;IF(F983&lt;=24,"&lt;=24",IF(F983&lt;=32,"&lt;=32","Above32")),RecPricing!$F$5:$F$10,0)),""),IFERROR(INDEX(Reference!$E$5:$E$12,MATCH(B983&amp;"|"&amp;IF(C983="Mixed","External",IF(C983="Unknown","UoB",C983))&amp;"|"&amp;IF(F983&lt;=32,"32","40"),Reference!$D$5:$D$12,0)),""))</f>
        <v/>
      </c>
      <c r="J983" s="11" t="str">
        <f t="shared" si="92"/>
        <v/>
      </c>
      <c r="K983" s="12"/>
      <c r="L983" s="11" t="str">
        <f t="shared" si="93"/>
        <v/>
      </c>
      <c r="M983" s="12"/>
      <c r="N983" s="12"/>
      <c r="O983" s="11" t="str">
        <f t="shared" si="94"/>
        <v/>
      </c>
      <c r="P983" s="10" t="str">
        <f t="shared" si="95"/>
        <v/>
      </c>
    </row>
    <row r="984" spans="1:16" ht="15" customHeight="1" x14ac:dyDescent="0.2">
      <c r="A984" s="8"/>
      <c r="B984" s="8"/>
      <c r="C984" s="8"/>
      <c r="D984" s="9"/>
      <c r="E984" s="9"/>
      <c r="F984" s="8"/>
      <c r="G984" s="10" t="str">
        <f t="shared" si="90"/>
        <v/>
      </c>
      <c r="H984" s="10" t="str">
        <f t="shared" si="91"/>
        <v/>
      </c>
      <c r="I984" s="11" t="str">
        <f>IF(B984="Recreation",IFERROR(INDEX(RecPricing!$E$5:$E$10,MATCH(IF(C984="Mixed","External",IF(C984="Unknown","UoB",C984))&amp;"|"&amp;IF(F984&lt;=24,"&lt;=24",IF(F984&lt;=32,"&lt;=32","Above32")),RecPricing!$F$5:$F$10,0)),""),IFERROR(INDEX(Reference!$E$5:$E$12,MATCH(B984&amp;"|"&amp;IF(C984="Mixed","External",IF(C984="Unknown","UoB",C984))&amp;"|"&amp;IF(F984&lt;=32,"32","40"),Reference!$D$5:$D$12,0)),""))</f>
        <v/>
      </c>
      <c r="J984" s="11" t="str">
        <f t="shared" si="92"/>
        <v/>
      </c>
      <c r="K984" s="12"/>
      <c r="L984" s="11" t="str">
        <f t="shared" si="93"/>
        <v/>
      </c>
      <c r="M984" s="12"/>
      <c r="N984" s="12"/>
      <c r="O984" s="11" t="str">
        <f t="shared" si="94"/>
        <v/>
      </c>
      <c r="P984" s="10" t="str">
        <f t="shared" si="95"/>
        <v/>
      </c>
    </row>
    <row r="985" spans="1:16" ht="15" customHeight="1" x14ac:dyDescent="0.2">
      <c r="A985" s="8"/>
      <c r="B985" s="8"/>
      <c r="C985" s="8"/>
      <c r="D985" s="9"/>
      <c r="E985" s="9"/>
      <c r="F985" s="8"/>
      <c r="G985" s="10" t="str">
        <f t="shared" si="90"/>
        <v/>
      </c>
      <c r="H985" s="10" t="str">
        <f t="shared" si="91"/>
        <v/>
      </c>
      <c r="I985" s="11" t="str">
        <f>IF(B985="Recreation",IFERROR(INDEX(RecPricing!$E$5:$E$10,MATCH(IF(C985="Mixed","External",IF(C985="Unknown","UoB",C985))&amp;"|"&amp;IF(F985&lt;=24,"&lt;=24",IF(F985&lt;=32,"&lt;=32","Above32")),RecPricing!$F$5:$F$10,0)),""),IFERROR(INDEX(Reference!$E$5:$E$12,MATCH(B985&amp;"|"&amp;IF(C985="Mixed","External",IF(C985="Unknown","UoB",C985))&amp;"|"&amp;IF(F985&lt;=32,"32","40"),Reference!$D$5:$D$12,0)),""))</f>
        <v/>
      </c>
      <c r="J985" s="11" t="str">
        <f t="shared" si="92"/>
        <v/>
      </c>
      <c r="K985" s="12"/>
      <c r="L985" s="11" t="str">
        <f t="shared" si="93"/>
        <v/>
      </c>
      <c r="M985" s="12"/>
      <c r="N985" s="12"/>
      <c r="O985" s="11" t="str">
        <f t="shared" si="94"/>
        <v/>
      </c>
      <c r="P985" s="10" t="str">
        <f t="shared" si="95"/>
        <v/>
      </c>
    </row>
    <row r="986" spans="1:16" ht="15" customHeight="1" x14ac:dyDescent="0.2">
      <c r="A986" s="8"/>
      <c r="B986" s="8"/>
      <c r="C986" s="8"/>
      <c r="D986" s="9"/>
      <c r="E986" s="9"/>
      <c r="F986" s="8"/>
      <c r="G986" s="10" t="str">
        <f t="shared" si="90"/>
        <v/>
      </c>
      <c r="H986" s="10" t="str">
        <f t="shared" si="91"/>
        <v/>
      </c>
      <c r="I986" s="11" t="str">
        <f>IF(B986="Recreation",IFERROR(INDEX(RecPricing!$E$5:$E$10,MATCH(IF(C986="Mixed","External",IF(C986="Unknown","UoB",C986))&amp;"|"&amp;IF(F986&lt;=24,"&lt;=24",IF(F986&lt;=32,"&lt;=32","Above32")),RecPricing!$F$5:$F$10,0)),""),IFERROR(INDEX(Reference!$E$5:$E$12,MATCH(B986&amp;"|"&amp;IF(C986="Mixed","External",IF(C986="Unknown","UoB",C986))&amp;"|"&amp;IF(F986&lt;=32,"32","40"),Reference!$D$5:$D$12,0)),""))</f>
        <v/>
      </c>
      <c r="J986" s="11" t="str">
        <f t="shared" si="92"/>
        <v/>
      </c>
      <c r="K986" s="12"/>
      <c r="L986" s="11" t="str">
        <f t="shared" si="93"/>
        <v/>
      </c>
      <c r="M986" s="12"/>
      <c r="N986" s="12"/>
      <c r="O986" s="11" t="str">
        <f t="shared" si="94"/>
        <v/>
      </c>
      <c r="P986" s="10" t="str">
        <f t="shared" si="95"/>
        <v/>
      </c>
    </row>
    <row r="987" spans="1:16" ht="15" customHeight="1" x14ac:dyDescent="0.2">
      <c r="A987" s="8"/>
      <c r="B987" s="8"/>
      <c r="C987" s="8"/>
      <c r="D987" s="9"/>
      <c r="E987" s="9"/>
      <c r="F987" s="8"/>
      <c r="G987" s="10" t="str">
        <f t="shared" si="90"/>
        <v/>
      </c>
      <c r="H987" s="10" t="str">
        <f t="shared" si="91"/>
        <v/>
      </c>
      <c r="I987" s="11" t="str">
        <f>IF(B987="Recreation",IFERROR(INDEX(RecPricing!$E$5:$E$10,MATCH(IF(C987="Mixed","External",IF(C987="Unknown","UoB",C987))&amp;"|"&amp;IF(F987&lt;=24,"&lt;=24",IF(F987&lt;=32,"&lt;=32","Above32")),RecPricing!$F$5:$F$10,0)),""),IFERROR(INDEX(Reference!$E$5:$E$12,MATCH(B987&amp;"|"&amp;IF(C987="Mixed","External",IF(C987="Unknown","UoB",C987))&amp;"|"&amp;IF(F987&lt;=32,"32","40"),Reference!$D$5:$D$12,0)),""))</f>
        <v/>
      </c>
      <c r="J987" s="11" t="str">
        <f t="shared" si="92"/>
        <v/>
      </c>
      <c r="K987" s="12"/>
      <c r="L987" s="11" t="str">
        <f t="shared" si="93"/>
        <v/>
      </c>
      <c r="M987" s="12"/>
      <c r="N987" s="12"/>
      <c r="O987" s="11" t="str">
        <f t="shared" si="94"/>
        <v/>
      </c>
      <c r="P987" s="10" t="str">
        <f t="shared" si="95"/>
        <v/>
      </c>
    </row>
    <row r="988" spans="1:16" ht="15" customHeight="1" x14ac:dyDescent="0.2">
      <c r="A988" s="8"/>
      <c r="B988" s="8"/>
      <c r="C988" s="8"/>
      <c r="D988" s="9"/>
      <c r="E988" s="9"/>
      <c r="F988" s="8"/>
      <c r="G988" s="10" t="str">
        <f t="shared" si="90"/>
        <v/>
      </c>
      <c r="H988" s="10" t="str">
        <f t="shared" si="91"/>
        <v/>
      </c>
      <c r="I988" s="11" t="str">
        <f>IF(B988="Recreation",IFERROR(INDEX(RecPricing!$E$5:$E$10,MATCH(IF(C988="Mixed","External",IF(C988="Unknown","UoB",C988))&amp;"|"&amp;IF(F988&lt;=24,"&lt;=24",IF(F988&lt;=32,"&lt;=32","Above32")),RecPricing!$F$5:$F$10,0)),""),IFERROR(INDEX(Reference!$E$5:$E$12,MATCH(B988&amp;"|"&amp;IF(C988="Mixed","External",IF(C988="Unknown","UoB",C988))&amp;"|"&amp;IF(F988&lt;=32,"32","40"),Reference!$D$5:$D$12,0)),""))</f>
        <v/>
      </c>
      <c r="J988" s="11" t="str">
        <f t="shared" si="92"/>
        <v/>
      </c>
      <c r="K988" s="12"/>
      <c r="L988" s="11" t="str">
        <f t="shared" si="93"/>
        <v/>
      </c>
      <c r="M988" s="12"/>
      <c r="N988" s="12"/>
      <c r="O988" s="11" t="str">
        <f t="shared" si="94"/>
        <v/>
      </c>
      <c r="P988" s="10" t="str">
        <f t="shared" si="95"/>
        <v/>
      </c>
    </row>
    <row r="989" spans="1:16" ht="15" customHeight="1" x14ac:dyDescent="0.2">
      <c r="A989" s="8"/>
      <c r="B989" s="8"/>
      <c r="C989" s="8"/>
      <c r="D989" s="9"/>
      <c r="E989" s="9"/>
      <c r="F989" s="8"/>
      <c r="G989" s="10" t="str">
        <f t="shared" si="90"/>
        <v/>
      </c>
      <c r="H989" s="10" t="str">
        <f t="shared" si="91"/>
        <v/>
      </c>
      <c r="I989" s="11" t="str">
        <f>IF(B989="Recreation",IFERROR(INDEX(RecPricing!$E$5:$E$10,MATCH(IF(C989="Mixed","External",IF(C989="Unknown","UoB",C989))&amp;"|"&amp;IF(F989&lt;=24,"&lt;=24",IF(F989&lt;=32,"&lt;=32","Above32")),RecPricing!$F$5:$F$10,0)),""),IFERROR(INDEX(Reference!$E$5:$E$12,MATCH(B989&amp;"|"&amp;IF(C989="Mixed","External",IF(C989="Unknown","UoB",C989))&amp;"|"&amp;IF(F989&lt;=32,"32","40"),Reference!$D$5:$D$12,0)),""))</f>
        <v/>
      </c>
      <c r="J989" s="11" t="str">
        <f t="shared" si="92"/>
        <v/>
      </c>
      <c r="K989" s="12"/>
      <c r="L989" s="11" t="str">
        <f t="shared" si="93"/>
        <v/>
      </c>
      <c r="M989" s="12"/>
      <c r="N989" s="12"/>
      <c r="O989" s="11" t="str">
        <f t="shared" si="94"/>
        <v/>
      </c>
      <c r="P989" s="10" t="str">
        <f t="shared" si="95"/>
        <v/>
      </c>
    </row>
    <row r="990" spans="1:16" ht="15" customHeight="1" x14ac:dyDescent="0.2">
      <c r="A990" s="8"/>
      <c r="B990" s="8"/>
      <c r="C990" s="8"/>
      <c r="D990" s="9"/>
      <c r="E990" s="9"/>
      <c r="F990" s="8"/>
      <c r="G990" s="10" t="str">
        <f t="shared" si="90"/>
        <v/>
      </c>
      <c r="H990" s="10" t="str">
        <f t="shared" si="91"/>
        <v/>
      </c>
      <c r="I990" s="11" t="str">
        <f>IF(B990="Recreation",IFERROR(INDEX(RecPricing!$E$5:$E$10,MATCH(IF(C990="Mixed","External",IF(C990="Unknown","UoB",C990))&amp;"|"&amp;IF(F990&lt;=24,"&lt;=24",IF(F990&lt;=32,"&lt;=32","Above32")),RecPricing!$F$5:$F$10,0)),""),IFERROR(INDEX(Reference!$E$5:$E$12,MATCH(B990&amp;"|"&amp;IF(C990="Mixed","External",IF(C990="Unknown","UoB",C990))&amp;"|"&amp;IF(F990&lt;=32,"32","40"),Reference!$D$5:$D$12,0)),""))</f>
        <v/>
      </c>
      <c r="J990" s="11" t="str">
        <f t="shared" si="92"/>
        <v/>
      </c>
      <c r="K990" s="12"/>
      <c r="L990" s="11" t="str">
        <f t="shared" si="93"/>
        <v/>
      </c>
      <c r="M990" s="12"/>
      <c r="N990" s="12"/>
      <c r="O990" s="11" t="str">
        <f t="shared" si="94"/>
        <v/>
      </c>
      <c r="P990" s="10" t="str">
        <f t="shared" si="95"/>
        <v/>
      </c>
    </row>
    <row r="991" spans="1:16" ht="15" customHeight="1" x14ac:dyDescent="0.2">
      <c r="A991" s="8"/>
      <c r="B991" s="8"/>
      <c r="C991" s="8"/>
      <c r="D991" s="9"/>
      <c r="E991" s="9"/>
      <c r="F991" s="8"/>
      <c r="G991" s="10" t="str">
        <f t="shared" si="90"/>
        <v/>
      </c>
      <c r="H991" s="10" t="str">
        <f t="shared" si="91"/>
        <v/>
      </c>
      <c r="I991" s="11" t="str">
        <f>IF(B991="Recreation",IFERROR(INDEX(RecPricing!$E$5:$E$10,MATCH(IF(C991="Mixed","External",IF(C991="Unknown","UoB",C991))&amp;"|"&amp;IF(F991&lt;=24,"&lt;=24",IF(F991&lt;=32,"&lt;=32","Above32")),RecPricing!$F$5:$F$10,0)),""),IFERROR(INDEX(Reference!$E$5:$E$12,MATCH(B991&amp;"|"&amp;IF(C991="Mixed","External",IF(C991="Unknown","UoB",C991))&amp;"|"&amp;IF(F991&lt;=32,"32","40"),Reference!$D$5:$D$12,0)),""))</f>
        <v/>
      </c>
      <c r="J991" s="11" t="str">
        <f t="shared" si="92"/>
        <v/>
      </c>
      <c r="K991" s="12"/>
      <c r="L991" s="11" t="str">
        <f t="shared" si="93"/>
        <v/>
      </c>
      <c r="M991" s="12"/>
      <c r="N991" s="12"/>
      <c r="O991" s="11" t="str">
        <f t="shared" si="94"/>
        <v/>
      </c>
      <c r="P991" s="10" t="str">
        <f t="shared" si="95"/>
        <v/>
      </c>
    </row>
    <row r="992" spans="1:16" ht="15" customHeight="1" x14ac:dyDescent="0.2">
      <c r="A992" s="8"/>
      <c r="B992" s="8"/>
      <c r="C992" s="8"/>
      <c r="D992" s="9"/>
      <c r="E992" s="9"/>
      <c r="F992" s="8"/>
      <c r="G992" s="10" t="str">
        <f t="shared" si="90"/>
        <v/>
      </c>
      <c r="H992" s="10" t="str">
        <f t="shared" si="91"/>
        <v/>
      </c>
      <c r="I992" s="11" t="str">
        <f>IF(B992="Recreation",IFERROR(INDEX(RecPricing!$E$5:$E$10,MATCH(IF(C992="Mixed","External",IF(C992="Unknown","UoB",C992))&amp;"|"&amp;IF(F992&lt;=24,"&lt;=24",IF(F992&lt;=32,"&lt;=32","Above32")),RecPricing!$F$5:$F$10,0)),""),IFERROR(INDEX(Reference!$E$5:$E$12,MATCH(B992&amp;"|"&amp;IF(C992="Mixed","External",IF(C992="Unknown","UoB",C992))&amp;"|"&amp;IF(F992&lt;=32,"32","40"),Reference!$D$5:$D$12,0)),""))</f>
        <v/>
      </c>
      <c r="J992" s="11" t="str">
        <f t="shared" si="92"/>
        <v/>
      </c>
      <c r="K992" s="12"/>
      <c r="L992" s="11" t="str">
        <f t="shared" si="93"/>
        <v/>
      </c>
      <c r="M992" s="12"/>
      <c r="N992" s="12"/>
      <c r="O992" s="11" t="str">
        <f t="shared" si="94"/>
        <v/>
      </c>
      <c r="P992" s="10" t="str">
        <f t="shared" si="95"/>
        <v/>
      </c>
    </row>
    <row r="993" spans="1:16" ht="15" customHeight="1" x14ac:dyDescent="0.2">
      <c r="A993" s="8"/>
      <c r="B993" s="8"/>
      <c r="C993" s="8"/>
      <c r="D993" s="9"/>
      <c r="E993" s="9"/>
      <c r="F993" s="8"/>
      <c r="G993" s="10" t="str">
        <f t="shared" si="90"/>
        <v/>
      </c>
      <c r="H993" s="10" t="str">
        <f t="shared" si="91"/>
        <v/>
      </c>
      <c r="I993" s="11" t="str">
        <f>IF(B993="Recreation",IFERROR(INDEX(RecPricing!$E$5:$E$10,MATCH(IF(C993="Mixed","External",IF(C993="Unknown","UoB",C993))&amp;"|"&amp;IF(F993&lt;=24,"&lt;=24",IF(F993&lt;=32,"&lt;=32","Above32")),RecPricing!$F$5:$F$10,0)),""),IFERROR(INDEX(Reference!$E$5:$E$12,MATCH(B993&amp;"|"&amp;IF(C993="Mixed","External",IF(C993="Unknown","UoB",C993))&amp;"|"&amp;IF(F993&lt;=32,"32","40"),Reference!$D$5:$D$12,0)),""))</f>
        <v/>
      </c>
      <c r="J993" s="11" t="str">
        <f t="shared" si="92"/>
        <v/>
      </c>
      <c r="K993" s="12"/>
      <c r="L993" s="11" t="str">
        <f t="shared" si="93"/>
        <v/>
      </c>
      <c r="M993" s="12"/>
      <c r="N993" s="12"/>
      <c r="O993" s="11" t="str">
        <f t="shared" si="94"/>
        <v/>
      </c>
      <c r="P993" s="10" t="str">
        <f t="shared" si="95"/>
        <v/>
      </c>
    </row>
    <row r="994" spans="1:16" ht="15" customHeight="1" x14ac:dyDescent="0.2">
      <c r="A994" s="8"/>
      <c r="B994" s="8"/>
      <c r="C994" s="8"/>
      <c r="D994" s="9"/>
      <c r="E994" s="9"/>
      <c r="F994" s="8"/>
      <c r="G994" s="10" t="str">
        <f t="shared" si="90"/>
        <v/>
      </c>
      <c r="H994" s="10" t="str">
        <f t="shared" si="91"/>
        <v/>
      </c>
      <c r="I994" s="11" t="str">
        <f>IF(B994="Recreation",IFERROR(INDEX(RecPricing!$E$5:$E$10,MATCH(IF(C994="Mixed","External",IF(C994="Unknown","UoB",C994))&amp;"|"&amp;IF(F994&lt;=24,"&lt;=24",IF(F994&lt;=32,"&lt;=32","Above32")),RecPricing!$F$5:$F$10,0)),""),IFERROR(INDEX(Reference!$E$5:$E$12,MATCH(B994&amp;"|"&amp;IF(C994="Mixed","External",IF(C994="Unknown","UoB",C994))&amp;"|"&amp;IF(F994&lt;=32,"32","40"),Reference!$D$5:$D$12,0)),""))</f>
        <v/>
      </c>
      <c r="J994" s="11" t="str">
        <f t="shared" si="92"/>
        <v/>
      </c>
      <c r="K994" s="12"/>
      <c r="L994" s="11" t="str">
        <f t="shared" si="93"/>
        <v/>
      </c>
      <c r="M994" s="12"/>
      <c r="N994" s="12"/>
      <c r="O994" s="11" t="str">
        <f t="shared" si="94"/>
        <v/>
      </c>
      <c r="P994" s="10" t="str">
        <f t="shared" si="95"/>
        <v/>
      </c>
    </row>
    <row r="995" spans="1:16" ht="15" customHeight="1" x14ac:dyDescent="0.2">
      <c r="A995" s="8"/>
      <c r="B995" s="8"/>
      <c r="C995" s="8"/>
      <c r="D995" s="9"/>
      <c r="E995" s="9"/>
      <c r="F995" s="8"/>
      <c r="G995" s="10" t="str">
        <f t="shared" si="90"/>
        <v/>
      </c>
      <c r="H995" s="10" t="str">
        <f t="shared" si="91"/>
        <v/>
      </c>
      <c r="I995" s="11" t="str">
        <f>IF(B995="Recreation",IFERROR(INDEX(RecPricing!$E$5:$E$10,MATCH(IF(C995="Mixed","External",IF(C995="Unknown","UoB",C995))&amp;"|"&amp;IF(F995&lt;=24,"&lt;=24",IF(F995&lt;=32,"&lt;=32","Above32")),RecPricing!$F$5:$F$10,0)),""),IFERROR(INDEX(Reference!$E$5:$E$12,MATCH(B995&amp;"|"&amp;IF(C995="Mixed","External",IF(C995="Unknown","UoB",C995))&amp;"|"&amp;IF(F995&lt;=32,"32","40"),Reference!$D$5:$D$12,0)),""))</f>
        <v/>
      </c>
      <c r="J995" s="11" t="str">
        <f t="shared" si="92"/>
        <v/>
      </c>
      <c r="K995" s="12"/>
      <c r="L995" s="11" t="str">
        <f t="shared" si="93"/>
        <v/>
      </c>
      <c r="M995" s="12"/>
      <c r="N995" s="12"/>
      <c r="O995" s="11" t="str">
        <f t="shared" si="94"/>
        <v/>
      </c>
      <c r="P995" s="10" t="str">
        <f t="shared" si="95"/>
        <v/>
      </c>
    </row>
    <row r="996" spans="1:16" ht="15" customHeight="1" x14ac:dyDescent="0.2">
      <c r="A996" s="8"/>
      <c r="B996" s="8"/>
      <c r="C996" s="8"/>
      <c r="D996" s="9"/>
      <c r="E996" s="9"/>
      <c r="F996" s="8"/>
      <c r="G996" s="10" t="str">
        <f t="shared" si="90"/>
        <v/>
      </c>
      <c r="H996" s="10" t="str">
        <f t="shared" si="91"/>
        <v/>
      </c>
      <c r="I996" s="11" t="str">
        <f>IF(B996="Recreation",IFERROR(INDEX(RecPricing!$E$5:$E$10,MATCH(IF(C996="Mixed","External",IF(C996="Unknown","UoB",C996))&amp;"|"&amp;IF(F996&lt;=24,"&lt;=24",IF(F996&lt;=32,"&lt;=32","Above32")),RecPricing!$F$5:$F$10,0)),""),IFERROR(INDEX(Reference!$E$5:$E$12,MATCH(B996&amp;"|"&amp;IF(C996="Mixed","External",IF(C996="Unknown","UoB",C996))&amp;"|"&amp;IF(F996&lt;=32,"32","40"),Reference!$D$5:$D$12,0)),""))</f>
        <v/>
      </c>
      <c r="J996" s="11" t="str">
        <f t="shared" si="92"/>
        <v/>
      </c>
      <c r="K996" s="12"/>
      <c r="L996" s="11" t="str">
        <f t="shared" si="93"/>
        <v/>
      </c>
      <c r="M996" s="12"/>
      <c r="N996" s="12"/>
      <c r="O996" s="11" t="str">
        <f t="shared" si="94"/>
        <v/>
      </c>
      <c r="P996" s="10" t="str">
        <f t="shared" si="95"/>
        <v/>
      </c>
    </row>
    <row r="997" spans="1:16" ht="15" customHeight="1" x14ac:dyDescent="0.2">
      <c r="A997" s="8"/>
      <c r="B997" s="8"/>
      <c r="C997" s="8"/>
      <c r="D997" s="9"/>
      <c r="E997" s="9"/>
      <c r="F997" s="8"/>
      <c r="G997" s="10" t="str">
        <f t="shared" si="90"/>
        <v/>
      </c>
      <c r="H997" s="10" t="str">
        <f t="shared" si="91"/>
        <v/>
      </c>
      <c r="I997" s="11" t="str">
        <f>IF(B997="Recreation",IFERROR(INDEX(RecPricing!$E$5:$E$10,MATCH(IF(C997="Mixed","External",IF(C997="Unknown","UoB",C997))&amp;"|"&amp;IF(F997&lt;=24,"&lt;=24",IF(F997&lt;=32,"&lt;=32","Above32")),RecPricing!$F$5:$F$10,0)),""),IFERROR(INDEX(Reference!$E$5:$E$12,MATCH(B997&amp;"|"&amp;IF(C997="Mixed","External",IF(C997="Unknown","UoB",C997))&amp;"|"&amp;IF(F997&lt;=32,"32","40"),Reference!$D$5:$D$12,0)),""))</f>
        <v/>
      </c>
      <c r="J997" s="11" t="str">
        <f t="shared" si="92"/>
        <v/>
      </c>
      <c r="K997" s="12"/>
      <c r="L997" s="11" t="str">
        <f t="shared" si="93"/>
        <v/>
      </c>
      <c r="M997" s="12"/>
      <c r="N997" s="12"/>
      <c r="O997" s="11" t="str">
        <f t="shared" si="94"/>
        <v/>
      </c>
      <c r="P997" s="10" t="str">
        <f t="shared" si="95"/>
        <v/>
      </c>
    </row>
    <row r="998" spans="1:16" ht="15" customHeight="1" x14ac:dyDescent="0.2">
      <c r="A998" s="8"/>
      <c r="B998" s="8"/>
      <c r="C998" s="8"/>
      <c r="D998" s="9"/>
      <c r="E998" s="9"/>
      <c r="F998" s="8"/>
      <c r="G998" s="10" t="str">
        <f t="shared" si="90"/>
        <v/>
      </c>
      <c r="H998" s="10" t="str">
        <f t="shared" si="91"/>
        <v/>
      </c>
      <c r="I998" s="11" t="str">
        <f>IF(B998="Recreation",IFERROR(INDEX(RecPricing!$E$5:$E$10,MATCH(IF(C998="Mixed","External",IF(C998="Unknown","UoB",C998))&amp;"|"&amp;IF(F998&lt;=24,"&lt;=24",IF(F998&lt;=32,"&lt;=32","Above32")),RecPricing!$F$5:$F$10,0)),""),IFERROR(INDEX(Reference!$E$5:$E$12,MATCH(B998&amp;"|"&amp;IF(C998="Mixed","External",IF(C998="Unknown","UoB",C998))&amp;"|"&amp;IF(F998&lt;=32,"32","40"),Reference!$D$5:$D$12,0)),""))</f>
        <v/>
      </c>
      <c r="J998" s="11" t="str">
        <f t="shared" si="92"/>
        <v/>
      </c>
      <c r="K998" s="12"/>
      <c r="L998" s="11" t="str">
        <f t="shared" si="93"/>
        <v/>
      </c>
      <c r="M998" s="12"/>
      <c r="N998" s="12"/>
      <c r="O998" s="11" t="str">
        <f t="shared" si="94"/>
        <v/>
      </c>
      <c r="P998" s="10" t="str">
        <f t="shared" si="95"/>
        <v/>
      </c>
    </row>
    <row r="999" spans="1:16" ht="15" customHeight="1" x14ac:dyDescent="0.2">
      <c r="A999" s="8"/>
      <c r="B999" s="8"/>
      <c r="C999" s="8"/>
      <c r="D999" s="9"/>
      <c r="E999" s="9"/>
      <c r="F999" s="8"/>
      <c r="G999" s="10" t="str">
        <f t="shared" si="90"/>
        <v/>
      </c>
      <c r="H999" s="10" t="str">
        <f t="shared" si="91"/>
        <v/>
      </c>
      <c r="I999" s="11" t="str">
        <f>IF(B999="Recreation",IFERROR(INDEX(RecPricing!$E$5:$E$10,MATCH(IF(C999="Mixed","External",IF(C999="Unknown","UoB",C999))&amp;"|"&amp;IF(F999&lt;=24,"&lt;=24",IF(F999&lt;=32,"&lt;=32","Above32")),RecPricing!$F$5:$F$10,0)),""),IFERROR(INDEX(Reference!$E$5:$E$12,MATCH(B999&amp;"|"&amp;IF(C999="Mixed","External",IF(C999="Unknown","UoB",C999))&amp;"|"&amp;IF(F999&lt;=32,"32","40"),Reference!$D$5:$D$12,0)),""))</f>
        <v/>
      </c>
      <c r="J999" s="11" t="str">
        <f t="shared" si="92"/>
        <v/>
      </c>
      <c r="K999" s="12"/>
      <c r="L999" s="11" t="str">
        <f t="shared" si="93"/>
        <v/>
      </c>
      <c r="M999" s="12"/>
      <c r="N999" s="12"/>
      <c r="O999" s="11" t="str">
        <f t="shared" si="94"/>
        <v/>
      </c>
      <c r="P999" s="10" t="str">
        <f t="shared" si="95"/>
        <v/>
      </c>
    </row>
    <row r="1000" spans="1:16" ht="15" customHeight="1" x14ac:dyDescent="0.2">
      <c r="A1000" s="8"/>
      <c r="B1000" s="8"/>
      <c r="C1000" s="8"/>
      <c r="D1000" s="9"/>
      <c r="E1000" s="9"/>
      <c r="F1000" s="8"/>
      <c r="G1000" s="10" t="str">
        <f t="shared" si="90"/>
        <v/>
      </c>
      <c r="H1000" s="10" t="str">
        <f t="shared" si="91"/>
        <v/>
      </c>
      <c r="I1000" s="11" t="str">
        <f>IF(B1000="Recreation",IFERROR(INDEX(RecPricing!$E$5:$E$10,MATCH(IF(C1000="Mixed","External",IF(C1000="Unknown","UoB",C1000))&amp;"|"&amp;IF(F1000&lt;=24,"&lt;=24",IF(F1000&lt;=32,"&lt;=32","Above32")),RecPricing!$F$5:$F$10,0)),""),IFERROR(INDEX(Reference!$E$5:$E$12,MATCH(B1000&amp;"|"&amp;IF(C1000="Mixed","External",IF(C1000="Unknown","UoB",C1000))&amp;"|"&amp;IF(F1000&lt;=32,"32","40"),Reference!$D$5:$D$12,0)),""))</f>
        <v/>
      </c>
      <c r="J1000" s="11" t="str">
        <f t="shared" si="92"/>
        <v/>
      </c>
      <c r="K1000" s="12"/>
      <c r="L1000" s="11" t="str">
        <f t="shared" si="93"/>
        <v/>
      </c>
      <c r="M1000" s="12"/>
      <c r="N1000" s="12"/>
      <c r="O1000" s="11" t="str">
        <f t="shared" si="94"/>
        <v/>
      </c>
      <c r="P1000" s="10" t="str">
        <f t="shared" si="95"/>
        <v/>
      </c>
    </row>
    <row r="1001" spans="1:16" ht="15" customHeight="1" x14ac:dyDescent="0.2">
      <c r="A1001" s="8"/>
      <c r="B1001" s="8"/>
      <c r="C1001" s="8"/>
      <c r="D1001" s="9"/>
      <c r="E1001" s="9"/>
      <c r="F1001" s="8"/>
      <c r="G1001" s="10" t="str">
        <f t="shared" si="90"/>
        <v/>
      </c>
      <c r="H1001" s="10" t="str">
        <f t="shared" si="91"/>
        <v/>
      </c>
      <c r="I1001" s="11" t="str">
        <f>IF(B1001="Recreation",IFERROR(INDEX(RecPricing!$E$5:$E$10,MATCH(IF(C1001="Mixed","External",IF(C1001="Unknown","UoB",C1001))&amp;"|"&amp;IF(F1001&lt;=24,"&lt;=24",IF(F1001&lt;=32,"&lt;=32","Above32")),RecPricing!$F$5:$F$10,0)),""),IFERROR(INDEX(Reference!$E$5:$E$12,MATCH(B1001&amp;"|"&amp;IF(C1001="Mixed","External",IF(C1001="Unknown","UoB",C1001))&amp;"|"&amp;IF(F1001&lt;=32,"32","40"),Reference!$D$5:$D$12,0)),""))</f>
        <v/>
      </c>
      <c r="J1001" s="11" t="str">
        <f t="shared" si="92"/>
        <v/>
      </c>
      <c r="K1001" s="12"/>
      <c r="L1001" s="11" t="str">
        <f t="shared" si="93"/>
        <v/>
      </c>
      <c r="M1001" s="12"/>
      <c r="N1001" s="12"/>
      <c r="O1001" s="11" t="str">
        <f t="shared" si="94"/>
        <v/>
      </c>
      <c r="P1001" s="10" t="str">
        <f t="shared" si="95"/>
        <v/>
      </c>
    </row>
    <row r="1002" spans="1:16" ht="15" customHeight="1" x14ac:dyDescent="0.2">
      <c r="A1002" s="8"/>
      <c r="B1002" s="8"/>
      <c r="C1002" s="8"/>
      <c r="D1002" s="9"/>
      <c r="E1002" s="9"/>
      <c r="F1002" s="8"/>
      <c r="G1002" s="10" t="str">
        <f t="shared" si="90"/>
        <v/>
      </c>
      <c r="H1002" s="10" t="str">
        <f t="shared" si="91"/>
        <v/>
      </c>
      <c r="I1002" s="11" t="str">
        <f>IF(B1002="Recreation",IFERROR(INDEX(RecPricing!$E$5:$E$10,MATCH(IF(C1002="Mixed","External",IF(C1002="Unknown","UoB",C1002))&amp;"|"&amp;IF(F1002&lt;=24,"&lt;=24",IF(F1002&lt;=32,"&lt;=32","Above32")),RecPricing!$F$5:$F$10,0)),""),IFERROR(INDEX(Reference!$E$5:$E$12,MATCH(B1002&amp;"|"&amp;IF(C1002="Mixed","External",IF(C1002="Unknown","UoB",C1002))&amp;"|"&amp;IF(F1002&lt;=32,"32","40"),Reference!$D$5:$D$12,0)),""))</f>
        <v/>
      </c>
      <c r="J1002" s="11" t="str">
        <f t="shared" si="92"/>
        <v/>
      </c>
      <c r="K1002" s="12"/>
      <c r="L1002" s="11" t="str">
        <f t="shared" si="93"/>
        <v/>
      </c>
      <c r="M1002" s="12"/>
      <c r="N1002" s="12"/>
      <c r="O1002" s="11" t="str">
        <f t="shared" si="94"/>
        <v/>
      </c>
      <c r="P1002" s="10" t="str">
        <f t="shared" si="95"/>
        <v/>
      </c>
    </row>
    <row r="1003" spans="1:16" ht="15" customHeight="1" x14ac:dyDescent="0.2">
      <c r="A1003" s="8"/>
      <c r="B1003" s="8"/>
      <c r="C1003" s="8"/>
      <c r="D1003" s="9"/>
      <c r="E1003" s="9"/>
      <c r="F1003" s="8"/>
      <c r="G1003" s="10" t="str">
        <f t="shared" si="90"/>
        <v/>
      </c>
      <c r="H1003" s="10" t="str">
        <f t="shared" si="91"/>
        <v/>
      </c>
      <c r="I1003" s="11" t="str">
        <f>IF(B1003="Recreation",IFERROR(INDEX(RecPricing!$E$5:$E$10,MATCH(IF(C1003="Mixed","External",IF(C1003="Unknown","UoB",C1003))&amp;"|"&amp;IF(F1003&lt;=24,"&lt;=24",IF(F1003&lt;=32,"&lt;=32","Above32")),RecPricing!$F$5:$F$10,0)),""),IFERROR(INDEX(Reference!$E$5:$E$12,MATCH(B1003&amp;"|"&amp;IF(C1003="Mixed","External",IF(C1003="Unknown","UoB",C1003))&amp;"|"&amp;IF(F1003&lt;=32,"32","40"),Reference!$D$5:$D$12,0)),""))</f>
        <v/>
      </c>
      <c r="J1003" s="11" t="str">
        <f t="shared" si="92"/>
        <v/>
      </c>
      <c r="K1003" s="12"/>
      <c r="L1003" s="11" t="str">
        <f t="shared" si="93"/>
        <v/>
      </c>
      <c r="M1003" s="12"/>
      <c r="N1003" s="12"/>
      <c r="O1003" s="11" t="str">
        <f t="shared" si="94"/>
        <v/>
      </c>
      <c r="P1003" s="10" t="str">
        <f t="shared" si="95"/>
        <v/>
      </c>
    </row>
    <row r="1004" spans="1:16" ht="15" customHeight="1" x14ac:dyDescent="0.2">
      <c r="A1004" s="8"/>
      <c r="B1004" s="8"/>
      <c r="C1004" s="8"/>
      <c r="D1004" s="9"/>
      <c r="E1004" s="9"/>
      <c r="F1004" s="8"/>
      <c r="G1004" s="10" t="str">
        <f t="shared" si="90"/>
        <v/>
      </c>
      <c r="H1004" s="10" t="str">
        <f t="shared" si="91"/>
        <v/>
      </c>
      <c r="I1004" s="11" t="str">
        <f>IF(B1004="Recreation",IFERROR(INDEX(RecPricing!$E$5:$E$10,MATCH(IF(C1004="Mixed","External",IF(C1004="Unknown","UoB",C1004))&amp;"|"&amp;IF(F1004&lt;=24,"&lt;=24",IF(F1004&lt;=32,"&lt;=32","Above32")),RecPricing!$F$5:$F$10,0)),""),IFERROR(INDEX(Reference!$E$5:$E$12,MATCH(B1004&amp;"|"&amp;IF(C1004="Mixed","External",IF(C1004="Unknown","UoB",C1004))&amp;"|"&amp;IF(F1004&lt;=32,"32","40"),Reference!$D$5:$D$12,0)),""))</f>
        <v/>
      </c>
      <c r="J1004" s="11" t="str">
        <f t="shared" si="92"/>
        <v/>
      </c>
      <c r="K1004" s="12"/>
      <c r="L1004" s="11" t="str">
        <f t="shared" si="93"/>
        <v/>
      </c>
      <c r="M1004" s="12"/>
      <c r="N1004" s="12"/>
      <c r="O1004" s="11" t="str">
        <f t="shared" si="94"/>
        <v/>
      </c>
      <c r="P1004" s="10" t="str">
        <f t="shared" si="95"/>
        <v/>
      </c>
    </row>
    <row r="1005" spans="1:16" ht="15" customHeight="1" x14ac:dyDescent="0.2">
      <c r="A1005" s="8"/>
      <c r="B1005" s="8"/>
      <c r="C1005" s="8"/>
      <c r="D1005" s="9"/>
      <c r="E1005" s="9"/>
      <c r="F1005" s="8"/>
      <c r="G1005" s="10" t="str">
        <f t="shared" si="90"/>
        <v/>
      </c>
      <c r="H1005" s="10" t="str">
        <f t="shared" si="91"/>
        <v/>
      </c>
      <c r="I1005" s="11" t="str">
        <f>IF(B1005="Recreation",IFERROR(INDEX(RecPricing!$E$5:$E$10,MATCH(IF(C1005="Mixed","External",IF(C1005="Unknown","UoB",C1005))&amp;"|"&amp;IF(F1005&lt;=24,"&lt;=24",IF(F1005&lt;=32,"&lt;=32","Above32")),RecPricing!$F$5:$F$10,0)),""),IFERROR(INDEX(Reference!$E$5:$E$12,MATCH(B1005&amp;"|"&amp;IF(C1005="Mixed","External",IF(C1005="Unknown","UoB",C1005))&amp;"|"&amp;IF(F1005&lt;=32,"32","40"),Reference!$D$5:$D$12,0)),""))</f>
        <v/>
      </c>
      <c r="J1005" s="11" t="str">
        <f t="shared" si="92"/>
        <v/>
      </c>
      <c r="K1005" s="12"/>
      <c r="L1005" s="11" t="str">
        <f t="shared" si="93"/>
        <v/>
      </c>
      <c r="M1005" s="12"/>
      <c r="N1005" s="12"/>
      <c r="O1005" s="11" t="str">
        <f t="shared" si="94"/>
        <v/>
      </c>
      <c r="P1005" s="10" t="str">
        <f t="shared" si="95"/>
        <v/>
      </c>
    </row>
    <row r="1006" spans="1:16" ht="15" customHeight="1" x14ac:dyDescent="0.2">
      <c r="A1006" s="8"/>
      <c r="B1006" s="8"/>
      <c r="C1006" s="8"/>
      <c r="D1006" s="9"/>
      <c r="E1006" s="9"/>
      <c r="F1006" s="8"/>
      <c r="G1006" s="10" t="str">
        <f t="shared" si="90"/>
        <v/>
      </c>
      <c r="H1006" s="10" t="str">
        <f t="shared" si="91"/>
        <v/>
      </c>
      <c r="I1006" s="11" t="str">
        <f>IF(B1006="Recreation",IFERROR(INDEX(RecPricing!$E$5:$E$10,MATCH(IF(C1006="Mixed","External",IF(C1006="Unknown","UoB",C1006))&amp;"|"&amp;IF(F1006&lt;=24,"&lt;=24",IF(F1006&lt;=32,"&lt;=32","Above32")),RecPricing!$F$5:$F$10,0)),""),IFERROR(INDEX(Reference!$E$5:$E$12,MATCH(B1006&amp;"|"&amp;IF(C1006="Mixed","External",IF(C1006="Unknown","UoB",C1006))&amp;"|"&amp;IF(F1006&lt;=32,"32","40"),Reference!$D$5:$D$12,0)),""))</f>
        <v/>
      </c>
      <c r="J1006" s="11" t="str">
        <f t="shared" si="92"/>
        <v/>
      </c>
      <c r="K1006" s="12"/>
      <c r="L1006" s="11" t="str">
        <f t="shared" si="93"/>
        <v/>
      </c>
      <c r="M1006" s="12"/>
      <c r="N1006" s="12"/>
      <c r="O1006" s="11" t="str">
        <f t="shared" si="94"/>
        <v/>
      </c>
      <c r="P1006" s="10" t="str">
        <f t="shared" si="95"/>
        <v/>
      </c>
    </row>
    <row r="1007" spans="1:16" ht="15" customHeight="1" x14ac:dyDescent="0.2">
      <c r="A1007" s="8"/>
      <c r="B1007" s="8"/>
      <c r="C1007" s="8"/>
      <c r="D1007" s="9"/>
      <c r="E1007" s="9"/>
      <c r="F1007" s="8"/>
      <c r="G1007" s="10" t="str">
        <f t="shared" si="90"/>
        <v/>
      </c>
      <c r="H1007" s="10" t="str">
        <f t="shared" si="91"/>
        <v/>
      </c>
      <c r="I1007" s="11" t="str">
        <f>IF(B1007="Recreation",IFERROR(INDEX(RecPricing!$E$5:$E$10,MATCH(IF(C1007="Mixed","External",IF(C1007="Unknown","UoB",C1007))&amp;"|"&amp;IF(F1007&lt;=24,"&lt;=24",IF(F1007&lt;=32,"&lt;=32","Above32")),RecPricing!$F$5:$F$10,0)),""),IFERROR(INDEX(Reference!$E$5:$E$12,MATCH(B1007&amp;"|"&amp;IF(C1007="Mixed","External",IF(C1007="Unknown","UoB",C1007))&amp;"|"&amp;IF(F1007&lt;=32,"32","40"),Reference!$D$5:$D$12,0)),""))</f>
        <v/>
      </c>
      <c r="J1007" s="11" t="str">
        <f t="shared" si="92"/>
        <v/>
      </c>
      <c r="K1007" s="12"/>
      <c r="L1007" s="11" t="str">
        <f t="shared" si="93"/>
        <v/>
      </c>
      <c r="M1007" s="12"/>
      <c r="N1007" s="12"/>
      <c r="O1007" s="11" t="str">
        <f t="shared" si="94"/>
        <v/>
      </c>
      <c r="P1007" s="10" t="str">
        <f t="shared" si="95"/>
        <v/>
      </c>
    </row>
    <row r="1008" spans="1:16" ht="15" customHeight="1" x14ac:dyDescent="0.2">
      <c r="A1008" s="8"/>
      <c r="B1008" s="8"/>
      <c r="C1008" s="8"/>
      <c r="D1008" s="9"/>
      <c r="E1008" s="9"/>
      <c r="F1008" s="8"/>
      <c r="G1008" s="10" t="str">
        <f t="shared" si="90"/>
        <v/>
      </c>
      <c r="H1008" s="10" t="str">
        <f t="shared" si="91"/>
        <v/>
      </c>
      <c r="I1008" s="11" t="str">
        <f>IF(B1008="Recreation",IFERROR(INDEX(RecPricing!$E$5:$E$10,MATCH(IF(C1008="Mixed","External",IF(C1008="Unknown","UoB",C1008))&amp;"|"&amp;IF(F1008&lt;=24,"&lt;=24",IF(F1008&lt;=32,"&lt;=32","Above32")),RecPricing!$F$5:$F$10,0)),""),IFERROR(INDEX(Reference!$E$5:$E$12,MATCH(B1008&amp;"|"&amp;IF(C1008="Mixed","External",IF(C1008="Unknown","UoB",C1008))&amp;"|"&amp;IF(F1008&lt;=32,"32","40"),Reference!$D$5:$D$12,0)),""))</f>
        <v/>
      </c>
      <c r="J1008" s="11" t="str">
        <f t="shared" si="92"/>
        <v/>
      </c>
      <c r="K1008" s="12"/>
      <c r="L1008" s="11" t="str">
        <f t="shared" si="93"/>
        <v/>
      </c>
      <c r="M1008" s="12"/>
      <c r="N1008" s="12"/>
      <c r="O1008" s="11" t="str">
        <f t="shared" si="94"/>
        <v/>
      </c>
      <c r="P1008" s="10" t="str">
        <f t="shared" si="95"/>
        <v/>
      </c>
    </row>
    <row r="1009" spans="1:16" ht="15" customHeight="1" x14ac:dyDescent="0.2">
      <c r="A1009" s="8"/>
      <c r="B1009" s="8"/>
      <c r="C1009" s="8"/>
      <c r="D1009" s="9"/>
      <c r="E1009" s="9"/>
      <c r="F1009" s="8"/>
      <c r="G1009" s="10" t="str">
        <f t="shared" si="90"/>
        <v/>
      </c>
      <c r="H1009" s="10" t="str">
        <f t="shared" si="91"/>
        <v/>
      </c>
      <c r="I1009" s="11" t="str">
        <f>IF(B1009="Recreation",IFERROR(INDEX(RecPricing!$E$5:$E$10,MATCH(IF(C1009="Mixed","External",IF(C1009="Unknown","UoB",C1009))&amp;"|"&amp;IF(F1009&lt;=24,"&lt;=24",IF(F1009&lt;=32,"&lt;=32","Above32")),RecPricing!$F$5:$F$10,0)),""),IFERROR(INDEX(Reference!$E$5:$E$12,MATCH(B1009&amp;"|"&amp;IF(C1009="Mixed","External",IF(C1009="Unknown","UoB",C1009))&amp;"|"&amp;IF(F1009&lt;=32,"32","40"),Reference!$D$5:$D$12,0)),""))</f>
        <v/>
      </c>
      <c r="J1009" s="11" t="str">
        <f t="shared" si="92"/>
        <v/>
      </c>
      <c r="K1009" s="12"/>
      <c r="L1009" s="11" t="str">
        <f t="shared" si="93"/>
        <v/>
      </c>
      <c r="M1009" s="12"/>
      <c r="N1009" s="12"/>
      <c r="O1009" s="11" t="str">
        <f t="shared" si="94"/>
        <v/>
      </c>
      <c r="P1009" s="10" t="str">
        <f t="shared" si="95"/>
        <v/>
      </c>
    </row>
    <row r="1010" spans="1:16" ht="15" customHeight="1" x14ac:dyDescent="0.2">
      <c r="A1010" s="8"/>
      <c r="B1010" s="8"/>
      <c r="C1010" s="8"/>
      <c r="D1010" s="9"/>
      <c r="E1010" s="9"/>
      <c r="F1010" s="8"/>
      <c r="G1010" s="10" t="str">
        <f t="shared" si="90"/>
        <v/>
      </c>
      <c r="H1010" s="10" t="str">
        <f t="shared" si="91"/>
        <v/>
      </c>
      <c r="I1010" s="11" t="str">
        <f>IF(B1010="Recreation",IFERROR(INDEX(RecPricing!$E$5:$E$10,MATCH(IF(C1010="Mixed","External",IF(C1010="Unknown","UoB",C1010))&amp;"|"&amp;IF(F1010&lt;=24,"&lt;=24",IF(F1010&lt;=32,"&lt;=32","Above32")),RecPricing!$F$5:$F$10,0)),""),IFERROR(INDEX(Reference!$E$5:$E$12,MATCH(B1010&amp;"|"&amp;IF(C1010="Mixed","External",IF(C1010="Unknown","UoB",C1010))&amp;"|"&amp;IF(F1010&lt;=32,"32","40"),Reference!$D$5:$D$12,0)),""))</f>
        <v/>
      </c>
      <c r="J1010" s="11" t="str">
        <f t="shared" si="92"/>
        <v/>
      </c>
      <c r="K1010" s="12"/>
      <c r="L1010" s="11" t="str">
        <f t="shared" si="93"/>
        <v/>
      </c>
      <c r="M1010" s="12"/>
      <c r="N1010" s="12"/>
      <c r="O1010" s="11" t="str">
        <f t="shared" si="94"/>
        <v/>
      </c>
      <c r="P1010" s="10" t="str">
        <f t="shared" si="95"/>
        <v/>
      </c>
    </row>
    <row r="1011" spans="1:16" ht="15" customHeight="1" x14ac:dyDescent="0.2">
      <c r="A1011" s="8"/>
      <c r="B1011" s="8"/>
      <c r="C1011" s="8"/>
      <c r="D1011" s="9"/>
      <c r="E1011" s="9"/>
      <c r="F1011" s="8"/>
      <c r="G1011" s="10" t="str">
        <f t="shared" si="90"/>
        <v/>
      </c>
      <c r="H1011" s="10" t="str">
        <f t="shared" si="91"/>
        <v/>
      </c>
      <c r="I1011" s="11" t="str">
        <f>IF(B1011="Recreation",IFERROR(INDEX(RecPricing!$E$5:$E$10,MATCH(IF(C1011="Mixed","External",IF(C1011="Unknown","UoB",C1011))&amp;"|"&amp;IF(F1011&lt;=24,"&lt;=24",IF(F1011&lt;=32,"&lt;=32","Above32")),RecPricing!$F$5:$F$10,0)),""),IFERROR(INDEX(Reference!$E$5:$E$12,MATCH(B1011&amp;"|"&amp;IF(C1011="Mixed","External",IF(C1011="Unknown","UoB",C1011))&amp;"|"&amp;IF(F1011&lt;=32,"32","40"),Reference!$D$5:$D$12,0)),""))</f>
        <v/>
      </c>
      <c r="J1011" s="11" t="str">
        <f t="shared" si="92"/>
        <v/>
      </c>
      <c r="K1011" s="12"/>
      <c r="L1011" s="11" t="str">
        <f t="shared" si="93"/>
        <v/>
      </c>
      <c r="M1011" s="12"/>
      <c r="N1011" s="12"/>
      <c r="O1011" s="11" t="str">
        <f t="shared" si="94"/>
        <v/>
      </c>
      <c r="P1011" s="10" t="str">
        <f t="shared" si="95"/>
        <v/>
      </c>
    </row>
    <row r="1012" spans="1:16" ht="15" customHeight="1" x14ac:dyDescent="0.2">
      <c r="A1012" s="8"/>
      <c r="B1012" s="8"/>
      <c r="C1012" s="8"/>
      <c r="D1012" s="9"/>
      <c r="E1012" s="9"/>
      <c r="F1012" s="8"/>
      <c r="G1012" s="10" t="str">
        <f t="shared" si="90"/>
        <v/>
      </c>
      <c r="H1012" s="10" t="str">
        <f t="shared" si="91"/>
        <v/>
      </c>
      <c r="I1012" s="11" t="str">
        <f>IF(B1012="Recreation",IFERROR(INDEX(RecPricing!$E$5:$E$10,MATCH(IF(C1012="Mixed","External",IF(C1012="Unknown","UoB",C1012))&amp;"|"&amp;IF(F1012&lt;=24,"&lt;=24",IF(F1012&lt;=32,"&lt;=32","Above32")),RecPricing!$F$5:$F$10,0)),""),IFERROR(INDEX(Reference!$E$5:$E$12,MATCH(B1012&amp;"|"&amp;IF(C1012="Mixed","External",IF(C1012="Unknown","UoB",C1012))&amp;"|"&amp;IF(F1012&lt;=32,"32","40"),Reference!$D$5:$D$12,0)),""))</f>
        <v/>
      </c>
      <c r="J1012" s="11" t="str">
        <f t="shared" si="92"/>
        <v/>
      </c>
      <c r="K1012" s="12"/>
      <c r="L1012" s="11" t="str">
        <f t="shared" si="93"/>
        <v/>
      </c>
      <c r="M1012" s="12"/>
      <c r="N1012" s="12"/>
      <c r="O1012" s="11" t="str">
        <f t="shared" si="94"/>
        <v/>
      </c>
      <c r="P1012" s="10" t="str">
        <f t="shared" si="95"/>
        <v/>
      </c>
    </row>
    <row r="1013" spans="1:16" ht="15" customHeight="1" x14ac:dyDescent="0.2">
      <c r="A1013" s="8"/>
      <c r="B1013" s="8"/>
      <c r="C1013" s="8"/>
      <c r="D1013" s="9"/>
      <c r="E1013" s="9"/>
      <c r="F1013" s="8"/>
      <c r="G1013" s="10" t="str">
        <f t="shared" si="90"/>
        <v/>
      </c>
      <c r="H1013" s="10" t="str">
        <f t="shared" si="91"/>
        <v/>
      </c>
      <c r="I1013" s="11" t="str">
        <f>IF(B1013="Recreation",IFERROR(INDEX(RecPricing!$E$5:$E$10,MATCH(IF(C1013="Mixed","External",IF(C1013="Unknown","UoB",C1013))&amp;"|"&amp;IF(F1013&lt;=24,"&lt;=24",IF(F1013&lt;=32,"&lt;=32","Above32")),RecPricing!$F$5:$F$10,0)),""),IFERROR(INDEX(Reference!$E$5:$E$12,MATCH(B1013&amp;"|"&amp;IF(C1013="Mixed","External",IF(C1013="Unknown","UoB",C1013))&amp;"|"&amp;IF(F1013&lt;=32,"32","40"),Reference!$D$5:$D$12,0)),""))</f>
        <v/>
      </c>
      <c r="J1013" s="11" t="str">
        <f t="shared" si="92"/>
        <v/>
      </c>
      <c r="K1013" s="12"/>
      <c r="L1013" s="11" t="str">
        <f t="shared" si="93"/>
        <v/>
      </c>
      <c r="M1013" s="12"/>
      <c r="N1013" s="12"/>
      <c r="O1013" s="11" t="str">
        <f t="shared" si="94"/>
        <v/>
      </c>
      <c r="P1013" s="10" t="str">
        <f t="shared" si="95"/>
        <v/>
      </c>
    </row>
    <row r="1014" spans="1:16" ht="15" customHeight="1" x14ac:dyDescent="0.2">
      <c r="A1014" s="8"/>
      <c r="B1014" s="8"/>
      <c r="C1014" s="8"/>
      <c r="D1014" s="9"/>
      <c r="E1014" s="9"/>
      <c r="F1014" s="8"/>
      <c r="G1014" s="10" t="str">
        <f t="shared" si="90"/>
        <v/>
      </c>
      <c r="H1014" s="10" t="str">
        <f t="shared" si="91"/>
        <v/>
      </c>
      <c r="I1014" s="11" t="str">
        <f>IF(B1014="Recreation",IFERROR(INDEX(RecPricing!$E$5:$E$10,MATCH(IF(C1014="Mixed","External",IF(C1014="Unknown","UoB",C1014))&amp;"|"&amp;IF(F1014&lt;=24,"&lt;=24",IF(F1014&lt;=32,"&lt;=32","Above32")),RecPricing!$F$5:$F$10,0)),""),IFERROR(INDEX(Reference!$E$5:$E$12,MATCH(B1014&amp;"|"&amp;IF(C1014="Mixed","External",IF(C1014="Unknown","UoB",C1014))&amp;"|"&amp;IF(F1014&lt;=32,"32","40"),Reference!$D$5:$D$12,0)),""))</f>
        <v/>
      </c>
      <c r="J1014" s="11" t="str">
        <f t="shared" si="92"/>
        <v/>
      </c>
      <c r="K1014" s="12"/>
      <c r="L1014" s="11" t="str">
        <f t="shared" si="93"/>
        <v/>
      </c>
      <c r="M1014" s="12"/>
      <c r="N1014" s="12"/>
      <c r="O1014" s="11" t="str">
        <f t="shared" si="94"/>
        <v/>
      </c>
      <c r="P1014" s="10" t="str">
        <f t="shared" si="95"/>
        <v/>
      </c>
    </row>
    <row r="1015" spans="1:16" ht="15" customHeight="1" x14ac:dyDescent="0.2">
      <c r="A1015" s="8"/>
      <c r="B1015" s="8"/>
      <c r="C1015" s="8"/>
      <c r="D1015" s="9"/>
      <c r="E1015" s="9"/>
      <c r="F1015" s="8"/>
      <c r="G1015" s="10" t="str">
        <f t="shared" si="90"/>
        <v/>
      </c>
      <c r="H1015" s="10" t="str">
        <f t="shared" si="91"/>
        <v/>
      </c>
      <c r="I1015" s="11" t="str">
        <f>IF(B1015="Recreation",IFERROR(INDEX(RecPricing!$E$5:$E$10,MATCH(IF(C1015="Mixed","External",IF(C1015="Unknown","UoB",C1015))&amp;"|"&amp;IF(F1015&lt;=24,"&lt;=24",IF(F1015&lt;=32,"&lt;=32","Above32")),RecPricing!$F$5:$F$10,0)),""),IFERROR(INDEX(Reference!$E$5:$E$12,MATCH(B1015&amp;"|"&amp;IF(C1015="Mixed","External",IF(C1015="Unknown","UoB",C1015))&amp;"|"&amp;IF(F1015&lt;=32,"32","40"),Reference!$D$5:$D$12,0)),""))</f>
        <v/>
      </c>
      <c r="J1015" s="11" t="str">
        <f t="shared" si="92"/>
        <v/>
      </c>
      <c r="K1015" s="12"/>
      <c r="L1015" s="11" t="str">
        <f t="shared" si="93"/>
        <v/>
      </c>
      <c r="M1015" s="12"/>
      <c r="N1015" s="12"/>
      <c r="O1015" s="11" t="str">
        <f t="shared" si="94"/>
        <v/>
      </c>
      <c r="P1015" s="10" t="str">
        <f t="shared" si="95"/>
        <v/>
      </c>
    </row>
    <row r="1016" spans="1:16" ht="15" customHeight="1" x14ac:dyDescent="0.2">
      <c r="A1016" s="8"/>
      <c r="B1016" s="8"/>
      <c r="C1016" s="8"/>
      <c r="D1016" s="9"/>
      <c r="E1016" s="9"/>
      <c r="F1016" s="8"/>
      <c r="G1016" s="10" t="str">
        <f t="shared" si="90"/>
        <v/>
      </c>
      <c r="H1016" s="10" t="str">
        <f t="shared" si="91"/>
        <v/>
      </c>
      <c r="I1016" s="11" t="str">
        <f>IF(B1016="Recreation",IFERROR(INDEX(RecPricing!$E$5:$E$10,MATCH(IF(C1016="Mixed","External",IF(C1016="Unknown","UoB",C1016))&amp;"|"&amp;IF(F1016&lt;=24,"&lt;=24",IF(F1016&lt;=32,"&lt;=32","Above32")),RecPricing!$F$5:$F$10,0)),""),IFERROR(INDEX(Reference!$E$5:$E$12,MATCH(B1016&amp;"|"&amp;IF(C1016="Mixed","External",IF(C1016="Unknown","UoB",C1016))&amp;"|"&amp;IF(F1016&lt;=32,"32","40"),Reference!$D$5:$D$12,0)),""))</f>
        <v/>
      </c>
      <c r="J1016" s="11" t="str">
        <f t="shared" si="92"/>
        <v/>
      </c>
      <c r="K1016" s="12"/>
      <c r="L1016" s="11" t="str">
        <f t="shared" si="93"/>
        <v/>
      </c>
      <c r="M1016" s="12"/>
      <c r="N1016" s="12"/>
      <c r="O1016" s="11" t="str">
        <f t="shared" si="94"/>
        <v/>
      </c>
      <c r="P1016" s="10" t="str">
        <f t="shared" si="95"/>
        <v/>
      </c>
    </row>
    <row r="1017" spans="1:16" ht="15" customHeight="1" x14ac:dyDescent="0.2">
      <c r="A1017" s="8"/>
      <c r="B1017" s="8"/>
      <c r="C1017" s="8"/>
      <c r="D1017" s="9"/>
      <c r="E1017" s="9"/>
      <c r="F1017" s="8"/>
      <c r="G1017" s="10" t="str">
        <f t="shared" si="90"/>
        <v/>
      </c>
      <c r="H1017" s="10" t="str">
        <f t="shared" si="91"/>
        <v/>
      </c>
      <c r="I1017" s="11" t="str">
        <f>IF(B1017="Recreation",IFERROR(INDEX(RecPricing!$E$5:$E$10,MATCH(IF(C1017="Mixed","External",IF(C1017="Unknown","UoB",C1017))&amp;"|"&amp;IF(F1017&lt;=24,"&lt;=24",IF(F1017&lt;=32,"&lt;=32","Above32")),RecPricing!$F$5:$F$10,0)),""),IFERROR(INDEX(Reference!$E$5:$E$12,MATCH(B1017&amp;"|"&amp;IF(C1017="Mixed","External",IF(C1017="Unknown","UoB",C1017))&amp;"|"&amp;IF(F1017&lt;=32,"32","40"),Reference!$D$5:$D$12,0)),""))</f>
        <v/>
      </c>
      <c r="J1017" s="11" t="str">
        <f t="shared" si="92"/>
        <v/>
      </c>
      <c r="K1017" s="12"/>
      <c r="L1017" s="11" t="str">
        <f t="shared" si="93"/>
        <v/>
      </c>
      <c r="M1017" s="12"/>
      <c r="N1017" s="12"/>
      <c r="O1017" s="11" t="str">
        <f t="shared" si="94"/>
        <v/>
      </c>
      <c r="P1017" s="10" t="str">
        <f t="shared" si="95"/>
        <v/>
      </c>
    </row>
    <row r="1018" spans="1:16" ht="15" customHeight="1" x14ac:dyDescent="0.2">
      <c r="A1018" s="8"/>
      <c r="B1018" s="8"/>
      <c r="C1018" s="8"/>
      <c r="D1018" s="9"/>
      <c r="E1018" s="9"/>
      <c r="F1018" s="8"/>
      <c r="G1018" s="10" t="str">
        <f t="shared" si="90"/>
        <v/>
      </c>
      <c r="H1018" s="10" t="str">
        <f t="shared" si="91"/>
        <v/>
      </c>
      <c r="I1018" s="11" t="str">
        <f>IF(B1018="Recreation",IFERROR(INDEX(RecPricing!$E$5:$E$10,MATCH(IF(C1018="Mixed","External",IF(C1018="Unknown","UoB",C1018))&amp;"|"&amp;IF(F1018&lt;=24,"&lt;=24",IF(F1018&lt;=32,"&lt;=32","Above32")),RecPricing!$F$5:$F$10,0)),""),IFERROR(INDEX(Reference!$E$5:$E$12,MATCH(B1018&amp;"|"&amp;IF(C1018="Mixed","External",IF(C1018="Unknown","UoB",C1018))&amp;"|"&amp;IF(F1018&lt;=32,"32","40"),Reference!$D$5:$D$12,0)),""))</f>
        <v/>
      </c>
      <c r="J1018" s="11" t="str">
        <f t="shared" si="92"/>
        <v/>
      </c>
      <c r="K1018" s="12"/>
      <c r="L1018" s="11" t="str">
        <f t="shared" si="93"/>
        <v/>
      </c>
      <c r="M1018" s="12"/>
      <c r="N1018" s="12"/>
      <c r="O1018" s="11" t="str">
        <f t="shared" si="94"/>
        <v/>
      </c>
      <c r="P1018" s="10" t="str">
        <f t="shared" si="95"/>
        <v/>
      </c>
    </row>
    <row r="1019" spans="1:16" ht="15" customHeight="1" x14ac:dyDescent="0.2">
      <c r="A1019" s="8"/>
      <c r="B1019" s="8"/>
      <c r="C1019" s="8"/>
      <c r="D1019" s="9"/>
      <c r="E1019" s="9"/>
      <c r="F1019" s="8"/>
      <c r="G1019" s="10" t="str">
        <f t="shared" si="90"/>
        <v/>
      </c>
      <c r="H1019" s="10" t="str">
        <f t="shared" si="91"/>
        <v/>
      </c>
      <c r="I1019" s="11" t="str">
        <f>IF(B1019="Recreation",IFERROR(INDEX(RecPricing!$E$5:$E$10,MATCH(IF(C1019="Mixed","External",IF(C1019="Unknown","UoB",C1019))&amp;"|"&amp;IF(F1019&lt;=24,"&lt;=24",IF(F1019&lt;=32,"&lt;=32","Above32")),RecPricing!$F$5:$F$10,0)),""),IFERROR(INDEX(Reference!$E$5:$E$12,MATCH(B1019&amp;"|"&amp;IF(C1019="Mixed","External",IF(C1019="Unknown","UoB",C1019))&amp;"|"&amp;IF(F1019&lt;=32,"32","40"),Reference!$D$5:$D$12,0)),""))</f>
        <v/>
      </c>
      <c r="J1019" s="11" t="str">
        <f t="shared" si="92"/>
        <v/>
      </c>
      <c r="K1019" s="12"/>
      <c r="L1019" s="11" t="str">
        <f t="shared" si="93"/>
        <v/>
      </c>
      <c r="M1019" s="12"/>
      <c r="N1019" s="12"/>
      <c r="O1019" s="11" t="str">
        <f t="shared" si="94"/>
        <v/>
      </c>
      <c r="P1019" s="10" t="str">
        <f t="shared" si="95"/>
        <v/>
      </c>
    </row>
    <row r="1020" spans="1:16" ht="15" customHeight="1" x14ac:dyDescent="0.2">
      <c r="A1020" s="8"/>
      <c r="B1020" s="8"/>
      <c r="C1020" s="8"/>
      <c r="D1020" s="9"/>
      <c r="E1020" s="9"/>
      <c r="F1020" s="8"/>
      <c r="G1020" s="10" t="str">
        <f t="shared" si="90"/>
        <v/>
      </c>
      <c r="H1020" s="10" t="str">
        <f t="shared" si="91"/>
        <v/>
      </c>
      <c r="I1020" s="11" t="str">
        <f>IF(B1020="Recreation",IFERROR(INDEX(RecPricing!$E$5:$E$10,MATCH(IF(C1020="Mixed","External",IF(C1020="Unknown","UoB",C1020))&amp;"|"&amp;IF(F1020&lt;=24,"&lt;=24",IF(F1020&lt;=32,"&lt;=32","Above32")),RecPricing!$F$5:$F$10,0)),""),IFERROR(INDEX(Reference!$E$5:$E$12,MATCH(B1020&amp;"|"&amp;IF(C1020="Mixed","External",IF(C1020="Unknown","UoB",C1020))&amp;"|"&amp;IF(F1020&lt;=32,"32","40"),Reference!$D$5:$D$12,0)),""))</f>
        <v/>
      </c>
      <c r="J1020" s="11" t="str">
        <f t="shared" si="92"/>
        <v/>
      </c>
      <c r="K1020" s="12"/>
      <c r="L1020" s="11" t="str">
        <f t="shared" si="93"/>
        <v/>
      </c>
      <c r="M1020" s="12"/>
      <c r="N1020" s="12"/>
      <c r="O1020" s="11" t="str">
        <f t="shared" si="94"/>
        <v/>
      </c>
      <c r="P1020" s="10" t="str">
        <f t="shared" si="95"/>
        <v/>
      </c>
    </row>
    <row r="1021" spans="1:16" ht="15" customHeight="1" x14ac:dyDescent="0.2">
      <c r="A1021" s="8"/>
      <c r="B1021" s="8"/>
      <c r="C1021" s="8"/>
      <c r="D1021" s="9"/>
      <c r="E1021" s="9"/>
      <c r="F1021" s="8"/>
      <c r="G1021" s="10" t="str">
        <f t="shared" si="90"/>
        <v/>
      </c>
      <c r="H1021" s="10" t="str">
        <f t="shared" si="91"/>
        <v/>
      </c>
      <c r="I1021" s="11" t="str">
        <f>IF(B1021="Recreation",IFERROR(INDEX(RecPricing!$E$5:$E$10,MATCH(IF(C1021="Mixed","External",IF(C1021="Unknown","UoB",C1021))&amp;"|"&amp;IF(F1021&lt;=24,"&lt;=24",IF(F1021&lt;=32,"&lt;=32","Above32")),RecPricing!$F$5:$F$10,0)),""),IFERROR(INDEX(Reference!$E$5:$E$12,MATCH(B1021&amp;"|"&amp;IF(C1021="Mixed","External",IF(C1021="Unknown","UoB",C1021))&amp;"|"&amp;IF(F1021&lt;=32,"32","40"),Reference!$D$5:$D$12,0)),""))</f>
        <v/>
      </c>
      <c r="J1021" s="11" t="str">
        <f t="shared" si="92"/>
        <v/>
      </c>
      <c r="K1021" s="12"/>
      <c r="L1021" s="11" t="str">
        <f t="shared" si="93"/>
        <v/>
      </c>
      <c r="M1021" s="12"/>
      <c r="N1021" s="12"/>
      <c r="O1021" s="11" t="str">
        <f t="shared" si="94"/>
        <v/>
      </c>
      <c r="P1021" s="10" t="str">
        <f t="shared" si="95"/>
        <v/>
      </c>
    </row>
    <row r="1022" spans="1:16" ht="15" customHeight="1" x14ac:dyDescent="0.2">
      <c r="A1022" s="8"/>
      <c r="B1022" s="8"/>
      <c r="C1022" s="8"/>
      <c r="D1022" s="9"/>
      <c r="E1022" s="9"/>
      <c r="F1022" s="8"/>
      <c r="G1022" s="10" t="str">
        <f t="shared" si="90"/>
        <v/>
      </c>
      <c r="H1022" s="10" t="str">
        <f t="shared" si="91"/>
        <v/>
      </c>
      <c r="I1022" s="11" t="str">
        <f>IF(B1022="Recreation",IFERROR(INDEX(RecPricing!$E$5:$E$10,MATCH(IF(C1022="Mixed","External",IF(C1022="Unknown","UoB",C1022))&amp;"|"&amp;IF(F1022&lt;=24,"&lt;=24",IF(F1022&lt;=32,"&lt;=32","Above32")),RecPricing!$F$5:$F$10,0)),""),IFERROR(INDEX(Reference!$E$5:$E$12,MATCH(B1022&amp;"|"&amp;IF(C1022="Mixed","External",IF(C1022="Unknown","UoB",C1022))&amp;"|"&amp;IF(F1022&lt;=32,"32","40"),Reference!$D$5:$D$12,0)),""))</f>
        <v/>
      </c>
      <c r="J1022" s="11" t="str">
        <f t="shared" si="92"/>
        <v/>
      </c>
      <c r="K1022" s="12"/>
      <c r="L1022" s="11" t="str">
        <f t="shared" si="93"/>
        <v/>
      </c>
      <c r="M1022" s="12"/>
      <c r="N1022" s="12"/>
      <c r="O1022" s="11" t="str">
        <f t="shared" si="94"/>
        <v/>
      </c>
      <c r="P1022" s="10" t="str">
        <f t="shared" si="95"/>
        <v/>
      </c>
    </row>
    <row r="1023" spans="1:16" ht="15" customHeight="1" x14ac:dyDescent="0.2">
      <c r="A1023" s="8"/>
      <c r="B1023" s="8"/>
      <c r="C1023" s="8"/>
      <c r="D1023" s="9"/>
      <c r="E1023" s="9"/>
      <c r="F1023" s="8"/>
      <c r="G1023" s="10" t="str">
        <f t="shared" ref="G1023:G1056" si="96">IF(OR(D1023="",E1023=""),"",E1023-D1023)</f>
        <v/>
      </c>
      <c r="H1023" s="10" t="str">
        <f t="shared" ref="H1023:H1056" si="97">IF(OR(F1023="",G1023=""),"",F1023*G1023)</f>
        <v/>
      </c>
      <c r="I1023" s="11" t="str">
        <f>IF(B1023="Recreation",IFERROR(INDEX(RecPricing!$E$5:$E$10,MATCH(IF(C1023="Mixed","External",IF(C1023="Unknown","UoB",C1023))&amp;"|"&amp;IF(F1023&lt;=24,"&lt;=24",IF(F1023&lt;=32,"&lt;=32","Above32")),RecPricing!$F$5:$F$10,0)),""),IFERROR(INDEX(Reference!$E$5:$E$12,MATCH(B1023&amp;"|"&amp;IF(C1023="Mixed","External",IF(C1023="Unknown","UoB",C1023))&amp;"|"&amp;IF(F1023&lt;=32,"32","40"),Reference!$D$5:$D$12,0)),""))</f>
        <v/>
      </c>
      <c r="J1023" s="11" t="str">
        <f t="shared" ref="J1023:J1056" si="98">IF(I1023="","",IF(B1023="Recreation",IF(F1023&lt;=32,I1023,I1023*IF(F1023="",0,F1023)),IF(AND(I1023&lt;&gt;"",G1023&lt;&gt;""),I1023*G1023,"")))</f>
        <v/>
      </c>
      <c r="K1023" s="12"/>
      <c r="L1023" s="11" t="str">
        <f t="shared" ref="L1023:L1056" si="99">IF(J1023="","",J1023-IF(K1023="",0,K1023))</f>
        <v/>
      </c>
      <c r="M1023" s="12"/>
      <c r="N1023" s="12"/>
      <c r="O1023" s="11" t="str">
        <f t="shared" ref="O1023:O1056" si="100">IF(L1023="","",L1023-IF(M1023="",0,M1023)-IF(N1023="",0,N1023))</f>
        <v/>
      </c>
      <c r="P1023" s="10" t="str">
        <f t="shared" ref="P1023:P1056" si="101">IF(D1023="","",IF(MONTH(D1023)&gt;=8,YEAR(D1023)&amp;"-"&amp;RIGHT(YEAR(D1023)+1,2),YEAR(D1023)-1&amp;"-"&amp;RIGHT(YEAR(D1023),2)))</f>
        <v/>
      </c>
    </row>
    <row r="1024" spans="1:16" ht="15" customHeight="1" x14ac:dyDescent="0.2">
      <c r="A1024" s="8"/>
      <c r="B1024" s="8"/>
      <c r="C1024" s="8"/>
      <c r="D1024" s="9"/>
      <c r="E1024" s="9"/>
      <c r="F1024" s="8"/>
      <c r="G1024" s="10" t="str">
        <f t="shared" si="96"/>
        <v/>
      </c>
      <c r="H1024" s="10" t="str">
        <f t="shared" si="97"/>
        <v/>
      </c>
      <c r="I1024" s="11" t="str">
        <f>IF(B1024="Recreation",IFERROR(INDEX(RecPricing!$E$5:$E$10,MATCH(IF(C1024="Mixed","External",IF(C1024="Unknown","UoB",C1024))&amp;"|"&amp;IF(F1024&lt;=24,"&lt;=24",IF(F1024&lt;=32,"&lt;=32","Above32")),RecPricing!$F$5:$F$10,0)),""),IFERROR(INDEX(Reference!$E$5:$E$12,MATCH(B1024&amp;"|"&amp;IF(C1024="Mixed","External",IF(C1024="Unknown","UoB",C1024))&amp;"|"&amp;IF(F1024&lt;=32,"32","40"),Reference!$D$5:$D$12,0)),""))</f>
        <v/>
      </c>
      <c r="J1024" s="11" t="str">
        <f t="shared" si="98"/>
        <v/>
      </c>
      <c r="K1024" s="12"/>
      <c r="L1024" s="11" t="str">
        <f t="shared" si="99"/>
        <v/>
      </c>
      <c r="M1024" s="12"/>
      <c r="N1024" s="12"/>
      <c r="O1024" s="11" t="str">
        <f t="shared" si="100"/>
        <v/>
      </c>
      <c r="P1024" s="10" t="str">
        <f t="shared" si="101"/>
        <v/>
      </c>
    </row>
    <row r="1025" spans="1:16" ht="15" customHeight="1" x14ac:dyDescent="0.2">
      <c r="A1025" s="8"/>
      <c r="B1025" s="8"/>
      <c r="C1025" s="8"/>
      <c r="D1025" s="9"/>
      <c r="E1025" s="9"/>
      <c r="F1025" s="8"/>
      <c r="G1025" s="10" t="str">
        <f t="shared" si="96"/>
        <v/>
      </c>
      <c r="H1025" s="10" t="str">
        <f t="shared" si="97"/>
        <v/>
      </c>
      <c r="I1025" s="11" t="str">
        <f>IF(B1025="Recreation",IFERROR(INDEX(RecPricing!$E$5:$E$10,MATCH(IF(C1025="Mixed","External",IF(C1025="Unknown","UoB",C1025))&amp;"|"&amp;IF(F1025&lt;=24,"&lt;=24",IF(F1025&lt;=32,"&lt;=32","Above32")),RecPricing!$F$5:$F$10,0)),""),IFERROR(INDEX(Reference!$E$5:$E$12,MATCH(B1025&amp;"|"&amp;IF(C1025="Mixed","External",IF(C1025="Unknown","UoB",C1025))&amp;"|"&amp;IF(F1025&lt;=32,"32","40"),Reference!$D$5:$D$12,0)),""))</f>
        <v/>
      </c>
      <c r="J1025" s="11" t="str">
        <f t="shared" si="98"/>
        <v/>
      </c>
      <c r="K1025" s="12"/>
      <c r="L1025" s="11" t="str">
        <f t="shared" si="99"/>
        <v/>
      </c>
      <c r="M1025" s="12"/>
      <c r="N1025" s="12"/>
      <c r="O1025" s="11" t="str">
        <f t="shared" si="100"/>
        <v/>
      </c>
      <c r="P1025" s="10" t="str">
        <f t="shared" si="101"/>
        <v/>
      </c>
    </row>
    <row r="1026" spans="1:16" ht="15" customHeight="1" x14ac:dyDescent="0.2">
      <c r="A1026" s="8"/>
      <c r="B1026" s="8"/>
      <c r="C1026" s="8"/>
      <c r="D1026" s="9"/>
      <c r="E1026" s="9"/>
      <c r="F1026" s="8"/>
      <c r="G1026" s="10" t="str">
        <f t="shared" si="96"/>
        <v/>
      </c>
      <c r="H1026" s="10" t="str">
        <f t="shared" si="97"/>
        <v/>
      </c>
      <c r="I1026" s="11" t="str">
        <f>IF(B1026="Recreation",IFERROR(INDEX(RecPricing!$E$5:$E$10,MATCH(IF(C1026="Mixed","External",IF(C1026="Unknown","UoB",C1026))&amp;"|"&amp;IF(F1026&lt;=24,"&lt;=24",IF(F1026&lt;=32,"&lt;=32","Above32")),RecPricing!$F$5:$F$10,0)),""),IFERROR(INDEX(Reference!$E$5:$E$12,MATCH(B1026&amp;"|"&amp;IF(C1026="Mixed","External",IF(C1026="Unknown","UoB",C1026))&amp;"|"&amp;IF(F1026&lt;=32,"32","40"),Reference!$D$5:$D$12,0)),""))</f>
        <v/>
      </c>
      <c r="J1026" s="11" t="str">
        <f t="shared" si="98"/>
        <v/>
      </c>
      <c r="K1026" s="12"/>
      <c r="L1026" s="11" t="str">
        <f t="shared" si="99"/>
        <v/>
      </c>
      <c r="M1026" s="12"/>
      <c r="N1026" s="12"/>
      <c r="O1026" s="11" t="str">
        <f t="shared" si="100"/>
        <v/>
      </c>
      <c r="P1026" s="10" t="str">
        <f t="shared" si="101"/>
        <v/>
      </c>
    </row>
    <row r="1027" spans="1:16" ht="15" customHeight="1" x14ac:dyDescent="0.2">
      <c r="A1027" s="8"/>
      <c r="B1027" s="8"/>
      <c r="C1027" s="8"/>
      <c r="D1027" s="9"/>
      <c r="E1027" s="9"/>
      <c r="F1027" s="8"/>
      <c r="G1027" s="10" t="str">
        <f t="shared" si="96"/>
        <v/>
      </c>
      <c r="H1027" s="10" t="str">
        <f t="shared" si="97"/>
        <v/>
      </c>
      <c r="I1027" s="11" t="str">
        <f>IF(B1027="Recreation",IFERROR(INDEX(RecPricing!$E$5:$E$10,MATCH(IF(C1027="Mixed","External",IF(C1027="Unknown","UoB",C1027))&amp;"|"&amp;IF(F1027&lt;=24,"&lt;=24",IF(F1027&lt;=32,"&lt;=32","Above32")),RecPricing!$F$5:$F$10,0)),""),IFERROR(INDEX(Reference!$E$5:$E$12,MATCH(B1027&amp;"|"&amp;IF(C1027="Mixed","External",IF(C1027="Unknown","UoB",C1027))&amp;"|"&amp;IF(F1027&lt;=32,"32","40"),Reference!$D$5:$D$12,0)),""))</f>
        <v/>
      </c>
      <c r="J1027" s="11" t="str">
        <f t="shared" si="98"/>
        <v/>
      </c>
      <c r="K1027" s="12"/>
      <c r="L1027" s="11" t="str">
        <f t="shared" si="99"/>
        <v/>
      </c>
      <c r="M1027" s="12"/>
      <c r="N1027" s="12"/>
      <c r="O1027" s="11" t="str">
        <f t="shared" si="100"/>
        <v/>
      </c>
      <c r="P1027" s="10" t="str">
        <f t="shared" si="101"/>
        <v/>
      </c>
    </row>
    <row r="1028" spans="1:16" ht="15" customHeight="1" x14ac:dyDescent="0.2">
      <c r="A1028" s="8"/>
      <c r="B1028" s="8"/>
      <c r="C1028" s="8"/>
      <c r="D1028" s="9"/>
      <c r="E1028" s="9"/>
      <c r="F1028" s="8"/>
      <c r="G1028" s="10" t="str">
        <f t="shared" si="96"/>
        <v/>
      </c>
      <c r="H1028" s="10" t="str">
        <f t="shared" si="97"/>
        <v/>
      </c>
      <c r="I1028" s="11" t="str">
        <f>IF(B1028="Recreation",IFERROR(INDEX(RecPricing!$E$5:$E$10,MATCH(IF(C1028="Mixed","External",IF(C1028="Unknown","UoB",C1028))&amp;"|"&amp;IF(F1028&lt;=24,"&lt;=24",IF(F1028&lt;=32,"&lt;=32","Above32")),RecPricing!$F$5:$F$10,0)),""),IFERROR(INDEX(Reference!$E$5:$E$12,MATCH(B1028&amp;"|"&amp;IF(C1028="Mixed","External",IF(C1028="Unknown","UoB",C1028))&amp;"|"&amp;IF(F1028&lt;=32,"32","40"),Reference!$D$5:$D$12,0)),""))</f>
        <v/>
      </c>
      <c r="J1028" s="11" t="str">
        <f t="shared" si="98"/>
        <v/>
      </c>
      <c r="K1028" s="12"/>
      <c r="L1028" s="11" t="str">
        <f t="shared" si="99"/>
        <v/>
      </c>
      <c r="M1028" s="12"/>
      <c r="N1028" s="12"/>
      <c r="O1028" s="11" t="str">
        <f t="shared" si="100"/>
        <v/>
      </c>
      <c r="P1028" s="10" t="str">
        <f t="shared" si="101"/>
        <v/>
      </c>
    </row>
    <row r="1029" spans="1:16" ht="15" customHeight="1" x14ac:dyDescent="0.2">
      <c r="A1029" s="8"/>
      <c r="B1029" s="8"/>
      <c r="C1029" s="8"/>
      <c r="D1029" s="9"/>
      <c r="E1029" s="9"/>
      <c r="F1029" s="8"/>
      <c r="G1029" s="10" t="str">
        <f t="shared" si="96"/>
        <v/>
      </c>
      <c r="H1029" s="10" t="str">
        <f t="shared" si="97"/>
        <v/>
      </c>
      <c r="I1029" s="11" t="str">
        <f>IF(B1029="Recreation",IFERROR(INDEX(RecPricing!$E$5:$E$10,MATCH(IF(C1029="Mixed","External",IF(C1029="Unknown","UoB",C1029))&amp;"|"&amp;IF(F1029&lt;=24,"&lt;=24",IF(F1029&lt;=32,"&lt;=32","Above32")),RecPricing!$F$5:$F$10,0)),""),IFERROR(INDEX(Reference!$E$5:$E$12,MATCH(B1029&amp;"|"&amp;IF(C1029="Mixed","External",IF(C1029="Unknown","UoB",C1029))&amp;"|"&amp;IF(F1029&lt;=32,"32","40"),Reference!$D$5:$D$12,0)),""))</f>
        <v/>
      </c>
      <c r="J1029" s="11" t="str">
        <f t="shared" si="98"/>
        <v/>
      </c>
      <c r="K1029" s="12"/>
      <c r="L1029" s="11" t="str">
        <f t="shared" si="99"/>
        <v/>
      </c>
      <c r="M1029" s="12"/>
      <c r="N1029" s="12"/>
      <c r="O1029" s="11" t="str">
        <f t="shared" si="100"/>
        <v/>
      </c>
      <c r="P1029" s="10" t="str">
        <f t="shared" si="101"/>
        <v/>
      </c>
    </row>
    <row r="1030" spans="1:16" ht="15" customHeight="1" x14ac:dyDescent="0.2">
      <c r="A1030" s="8"/>
      <c r="B1030" s="8"/>
      <c r="C1030" s="8"/>
      <c r="D1030" s="9"/>
      <c r="E1030" s="9"/>
      <c r="F1030" s="8"/>
      <c r="G1030" s="10" t="str">
        <f t="shared" si="96"/>
        <v/>
      </c>
      <c r="H1030" s="10" t="str">
        <f t="shared" si="97"/>
        <v/>
      </c>
      <c r="I1030" s="11" t="str">
        <f>IF(B1030="Recreation",IFERROR(INDEX(RecPricing!$E$5:$E$10,MATCH(IF(C1030="Mixed","External",IF(C1030="Unknown","UoB",C1030))&amp;"|"&amp;IF(F1030&lt;=24,"&lt;=24",IF(F1030&lt;=32,"&lt;=32","Above32")),RecPricing!$F$5:$F$10,0)),""),IFERROR(INDEX(Reference!$E$5:$E$12,MATCH(B1030&amp;"|"&amp;IF(C1030="Mixed","External",IF(C1030="Unknown","UoB",C1030))&amp;"|"&amp;IF(F1030&lt;=32,"32","40"),Reference!$D$5:$D$12,0)),""))</f>
        <v/>
      </c>
      <c r="J1030" s="11" t="str">
        <f t="shared" si="98"/>
        <v/>
      </c>
      <c r="K1030" s="12"/>
      <c r="L1030" s="11" t="str">
        <f t="shared" si="99"/>
        <v/>
      </c>
      <c r="M1030" s="12"/>
      <c r="N1030" s="12"/>
      <c r="O1030" s="11" t="str">
        <f t="shared" si="100"/>
        <v/>
      </c>
      <c r="P1030" s="10" t="str">
        <f t="shared" si="101"/>
        <v/>
      </c>
    </row>
    <row r="1031" spans="1:16" ht="15" customHeight="1" x14ac:dyDescent="0.2">
      <c r="A1031" s="8"/>
      <c r="B1031" s="8"/>
      <c r="C1031" s="8"/>
      <c r="D1031" s="9"/>
      <c r="E1031" s="9"/>
      <c r="F1031" s="8"/>
      <c r="G1031" s="10" t="str">
        <f t="shared" si="96"/>
        <v/>
      </c>
      <c r="H1031" s="10" t="str">
        <f t="shared" si="97"/>
        <v/>
      </c>
      <c r="I1031" s="11" t="str">
        <f>IF(B1031="Recreation",IFERROR(INDEX(RecPricing!$E$5:$E$10,MATCH(IF(C1031="Mixed","External",IF(C1031="Unknown","UoB",C1031))&amp;"|"&amp;IF(F1031&lt;=24,"&lt;=24",IF(F1031&lt;=32,"&lt;=32","Above32")),RecPricing!$F$5:$F$10,0)),""),IFERROR(INDEX(Reference!$E$5:$E$12,MATCH(B1031&amp;"|"&amp;IF(C1031="Mixed","External",IF(C1031="Unknown","UoB",C1031))&amp;"|"&amp;IF(F1031&lt;=32,"32","40"),Reference!$D$5:$D$12,0)),""))</f>
        <v/>
      </c>
      <c r="J1031" s="11" t="str">
        <f t="shared" si="98"/>
        <v/>
      </c>
      <c r="K1031" s="12"/>
      <c r="L1031" s="11" t="str">
        <f t="shared" si="99"/>
        <v/>
      </c>
      <c r="M1031" s="12"/>
      <c r="N1031" s="12"/>
      <c r="O1031" s="11" t="str">
        <f t="shared" si="100"/>
        <v/>
      </c>
      <c r="P1031" s="10" t="str">
        <f t="shared" si="101"/>
        <v/>
      </c>
    </row>
    <row r="1032" spans="1:16" ht="15" customHeight="1" x14ac:dyDescent="0.2">
      <c r="A1032" s="8"/>
      <c r="B1032" s="8"/>
      <c r="C1032" s="8"/>
      <c r="D1032" s="9"/>
      <c r="E1032" s="9"/>
      <c r="F1032" s="8"/>
      <c r="G1032" s="10" t="str">
        <f t="shared" si="96"/>
        <v/>
      </c>
      <c r="H1032" s="10" t="str">
        <f t="shared" si="97"/>
        <v/>
      </c>
      <c r="I1032" s="11" t="str">
        <f>IF(B1032="Recreation",IFERROR(INDEX(RecPricing!$E$5:$E$10,MATCH(IF(C1032="Mixed","External",IF(C1032="Unknown","UoB",C1032))&amp;"|"&amp;IF(F1032&lt;=24,"&lt;=24",IF(F1032&lt;=32,"&lt;=32","Above32")),RecPricing!$F$5:$F$10,0)),""),IFERROR(INDEX(Reference!$E$5:$E$12,MATCH(B1032&amp;"|"&amp;IF(C1032="Mixed","External",IF(C1032="Unknown","UoB",C1032))&amp;"|"&amp;IF(F1032&lt;=32,"32","40"),Reference!$D$5:$D$12,0)),""))</f>
        <v/>
      </c>
      <c r="J1032" s="11" t="str">
        <f t="shared" si="98"/>
        <v/>
      </c>
      <c r="K1032" s="12"/>
      <c r="L1032" s="11" t="str">
        <f t="shared" si="99"/>
        <v/>
      </c>
      <c r="M1032" s="12"/>
      <c r="N1032" s="12"/>
      <c r="O1032" s="11" t="str">
        <f t="shared" si="100"/>
        <v/>
      </c>
      <c r="P1032" s="10" t="str">
        <f t="shared" si="101"/>
        <v/>
      </c>
    </row>
    <row r="1033" spans="1:16" ht="15" customHeight="1" x14ac:dyDescent="0.2">
      <c r="A1033" s="8"/>
      <c r="B1033" s="8"/>
      <c r="C1033" s="8"/>
      <c r="D1033" s="9"/>
      <c r="E1033" s="9"/>
      <c r="F1033" s="8"/>
      <c r="G1033" s="10" t="str">
        <f t="shared" si="96"/>
        <v/>
      </c>
      <c r="H1033" s="10" t="str">
        <f t="shared" si="97"/>
        <v/>
      </c>
      <c r="I1033" s="11" t="str">
        <f>IF(B1033="Recreation",IFERROR(INDEX(RecPricing!$E$5:$E$10,MATCH(IF(C1033="Mixed","External",IF(C1033="Unknown","UoB",C1033))&amp;"|"&amp;IF(F1033&lt;=24,"&lt;=24",IF(F1033&lt;=32,"&lt;=32","Above32")),RecPricing!$F$5:$F$10,0)),""),IFERROR(INDEX(Reference!$E$5:$E$12,MATCH(B1033&amp;"|"&amp;IF(C1033="Mixed","External",IF(C1033="Unknown","UoB",C1033))&amp;"|"&amp;IF(F1033&lt;=32,"32","40"),Reference!$D$5:$D$12,0)),""))</f>
        <v/>
      </c>
      <c r="J1033" s="11" t="str">
        <f t="shared" si="98"/>
        <v/>
      </c>
      <c r="K1033" s="12"/>
      <c r="L1033" s="11" t="str">
        <f t="shared" si="99"/>
        <v/>
      </c>
      <c r="M1033" s="12"/>
      <c r="N1033" s="12"/>
      <c r="O1033" s="11" t="str">
        <f t="shared" si="100"/>
        <v/>
      </c>
      <c r="P1033" s="10" t="str">
        <f t="shared" si="101"/>
        <v/>
      </c>
    </row>
    <row r="1034" spans="1:16" ht="15" customHeight="1" x14ac:dyDescent="0.2">
      <c r="A1034" s="8"/>
      <c r="B1034" s="8"/>
      <c r="C1034" s="8"/>
      <c r="D1034" s="9"/>
      <c r="E1034" s="9"/>
      <c r="F1034" s="8"/>
      <c r="G1034" s="10" t="str">
        <f t="shared" si="96"/>
        <v/>
      </c>
      <c r="H1034" s="10" t="str">
        <f t="shared" si="97"/>
        <v/>
      </c>
      <c r="I1034" s="11" t="str">
        <f>IF(B1034="Recreation",IFERROR(INDEX(RecPricing!$E$5:$E$10,MATCH(IF(C1034="Mixed","External",IF(C1034="Unknown","UoB",C1034))&amp;"|"&amp;IF(F1034&lt;=24,"&lt;=24",IF(F1034&lt;=32,"&lt;=32","Above32")),RecPricing!$F$5:$F$10,0)),""),IFERROR(INDEX(Reference!$E$5:$E$12,MATCH(B1034&amp;"|"&amp;IF(C1034="Mixed","External",IF(C1034="Unknown","UoB",C1034))&amp;"|"&amp;IF(F1034&lt;=32,"32","40"),Reference!$D$5:$D$12,0)),""))</f>
        <v/>
      </c>
      <c r="J1034" s="11" t="str">
        <f t="shared" si="98"/>
        <v/>
      </c>
      <c r="K1034" s="12"/>
      <c r="L1034" s="11" t="str">
        <f t="shared" si="99"/>
        <v/>
      </c>
      <c r="M1034" s="12"/>
      <c r="N1034" s="12"/>
      <c r="O1034" s="11" t="str">
        <f t="shared" si="100"/>
        <v/>
      </c>
      <c r="P1034" s="10" t="str">
        <f t="shared" si="101"/>
        <v/>
      </c>
    </row>
    <row r="1035" spans="1:16" ht="15" customHeight="1" x14ac:dyDescent="0.2">
      <c r="A1035" s="8"/>
      <c r="B1035" s="8"/>
      <c r="C1035" s="8"/>
      <c r="D1035" s="9"/>
      <c r="E1035" s="9"/>
      <c r="F1035" s="8"/>
      <c r="G1035" s="10" t="str">
        <f t="shared" si="96"/>
        <v/>
      </c>
      <c r="H1035" s="10" t="str">
        <f t="shared" si="97"/>
        <v/>
      </c>
      <c r="I1035" s="11" t="str">
        <f>IF(B1035="Recreation",IFERROR(INDEX(RecPricing!$E$5:$E$10,MATCH(IF(C1035="Mixed","External",IF(C1035="Unknown","UoB",C1035))&amp;"|"&amp;IF(F1035&lt;=24,"&lt;=24",IF(F1035&lt;=32,"&lt;=32","Above32")),RecPricing!$F$5:$F$10,0)),""),IFERROR(INDEX(Reference!$E$5:$E$12,MATCH(B1035&amp;"|"&amp;IF(C1035="Mixed","External",IF(C1035="Unknown","UoB",C1035))&amp;"|"&amp;IF(F1035&lt;=32,"32","40"),Reference!$D$5:$D$12,0)),""))</f>
        <v/>
      </c>
      <c r="J1035" s="11" t="str">
        <f t="shared" si="98"/>
        <v/>
      </c>
      <c r="K1035" s="12"/>
      <c r="L1035" s="11" t="str">
        <f t="shared" si="99"/>
        <v/>
      </c>
      <c r="M1035" s="12"/>
      <c r="N1035" s="12"/>
      <c r="O1035" s="11" t="str">
        <f t="shared" si="100"/>
        <v/>
      </c>
      <c r="P1035" s="10" t="str">
        <f t="shared" si="101"/>
        <v/>
      </c>
    </row>
    <row r="1036" spans="1:16" ht="15" customHeight="1" x14ac:dyDescent="0.2">
      <c r="A1036" s="8"/>
      <c r="B1036" s="8"/>
      <c r="C1036" s="8"/>
      <c r="D1036" s="9"/>
      <c r="E1036" s="9"/>
      <c r="F1036" s="8"/>
      <c r="G1036" s="10" t="str">
        <f t="shared" si="96"/>
        <v/>
      </c>
      <c r="H1036" s="10" t="str">
        <f t="shared" si="97"/>
        <v/>
      </c>
      <c r="I1036" s="11" t="str">
        <f>IF(B1036="Recreation",IFERROR(INDEX(RecPricing!$E$5:$E$10,MATCH(IF(C1036="Mixed","External",IF(C1036="Unknown","UoB",C1036))&amp;"|"&amp;IF(F1036&lt;=24,"&lt;=24",IF(F1036&lt;=32,"&lt;=32","Above32")),RecPricing!$F$5:$F$10,0)),""),IFERROR(INDEX(Reference!$E$5:$E$12,MATCH(B1036&amp;"|"&amp;IF(C1036="Mixed","External",IF(C1036="Unknown","UoB",C1036))&amp;"|"&amp;IF(F1036&lt;=32,"32","40"),Reference!$D$5:$D$12,0)),""))</f>
        <v/>
      </c>
      <c r="J1036" s="11" t="str">
        <f t="shared" si="98"/>
        <v/>
      </c>
      <c r="K1036" s="12"/>
      <c r="L1036" s="11" t="str">
        <f t="shared" si="99"/>
        <v/>
      </c>
      <c r="M1036" s="12"/>
      <c r="N1036" s="12"/>
      <c r="O1036" s="11" t="str">
        <f t="shared" si="100"/>
        <v/>
      </c>
      <c r="P1036" s="10" t="str">
        <f t="shared" si="101"/>
        <v/>
      </c>
    </row>
    <row r="1037" spans="1:16" ht="15" customHeight="1" x14ac:dyDescent="0.2">
      <c r="A1037" s="8"/>
      <c r="B1037" s="8"/>
      <c r="C1037" s="8"/>
      <c r="D1037" s="9"/>
      <c r="E1037" s="9"/>
      <c r="F1037" s="8"/>
      <c r="G1037" s="10" t="str">
        <f t="shared" si="96"/>
        <v/>
      </c>
      <c r="H1037" s="10" t="str">
        <f t="shared" si="97"/>
        <v/>
      </c>
      <c r="I1037" s="11" t="str">
        <f>IF(B1037="Recreation",IFERROR(INDEX(RecPricing!$E$5:$E$10,MATCH(IF(C1037="Mixed","External",IF(C1037="Unknown","UoB",C1037))&amp;"|"&amp;IF(F1037&lt;=24,"&lt;=24",IF(F1037&lt;=32,"&lt;=32","Above32")),RecPricing!$F$5:$F$10,0)),""),IFERROR(INDEX(Reference!$E$5:$E$12,MATCH(B1037&amp;"|"&amp;IF(C1037="Mixed","External",IF(C1037="Unknown","UoB",C1037))&amp;"|"&amp;IF(F1037&lt;=32,"32","40"),Reference!$D$5:$D$12,0)),""))</f>
        <v/>
      </c>
      <c r="J1037" s="11" t="str">
        <f t="shared" si="98"/>
        <v/>
      </c>
      <c r="K1037" s="12"/>
      <c r="L1037" s="11" t="str">
        <f t="shared" si="99"/>
        <v/>
      </c>
      <c r="M1037" s="12"/>
      <c r="N1037" s="12"/>
      <c r="O1037" s="11" t="str">
        <f t="shared" si="100"/>
        <v/>
      </c>
      <c r="P1037" s="10" t="str">
        <f t="shared" si="101"/>
        <v/>
      </c>
    </row>
    <row r="1038" spans="1:16" ht="15" customHeight="1" x14ac:dyDescent="0.2">
      <c r="A1038" s="8"/>
      <c r="B1038" s="8"/>
      <c r="C1038" s="8"/>
      <c r="D1038" s="9"/>
      <c r="E1038" s="9"/>
      <c r="F1038" s="8"/>
      <c r="G1038" s="10" t="str">
        <f t="shared" si="96"/>
        <v/>
      </c>
      <c r="H1038" s="10" t="str">
        <f t="shared" si="97"/>
        <v/>
      </c>
      <c r="I1038" s="11" t="str">
        <f>IF(B1038="Recreation",IFERROR(INDEX(RecPricing!$E$5:$E$10,MATCH(IF(C1038="Mixed","External",IF(C1038="Unknown","UoB",C1038))&amp;"|"&amp;IF(F1038&lt;=24,"&lt;=24",IF(F1038&lt;=32,"&lt;=32","Above32")),RecPricing!$F$5:$F$10,0)),""),IFERROR(INDEX(Reference!$E$5:$E$12,MATCH(B1038&amp;"|"&amp;IF(C1038="Mixed","External",IF(C1038="Unknown","UoB",C1038))&amp;"|"&amp;IF(F1038&lt;=32,"32","40"),Reference!$D$5:$D$12,0)),""))</f>
        <v/>
      </c>
      <c r="J1038" s="11" t="str">
        <f t="shared" si="98"/>
        <v/>
      </c>
      <c r="K1038" s="12"/>
      <c r="L1038" s="11" t="str">
        <f t="shared" si="99"/>
        <v/>
      </c>
      <c r="M1038" s="12"/>
      <c r="N1038" s="12"/>
      <c r="O1038" s="11" t="str">
        <f t="shared" si="100"/>
        <v/>
      </c>
      <c r="P1038" s="10" t="str">
        <f t="shared" si="101"/>
        <v/>
      </c>
    </row>
    <row r="1039" spans="1:16" ht="15" customHeight="1" x14ac:dyDescent="0.2">
      <c r="A1039" s="8"/>
      <c r="B1039" s="8"/>
      <c r="C1039" s="8"/>
      <c r="D1039" s="9"/>
      <c r="E1039" s="9"/>
      <c r="F1039" s="8"/>
      <c r="G1039" s="10" t="str">
        <f t="shared" si="96"/>
        <v/>
      </c>
      <c r="H1039" s="10" t="str">
        <f t="shared" si="97"/>
        <v/>
      </c>
      <c r="I1039" s="11" t="str">
        <f>IF(B1039="Recreation",IFERROR(INDEX(RecPricing!$E$5:$E$10,MATCH(IF(C1039="Mixed","External",IF(C1039="Unknown","UoB",C1039))&amp;"|"&amp;IF(F1039&lt;=24,"&lt;=24",IF(F1039&lt;=32,"&lt;=32","Above32")),RecPricing!$F$5:$F$10,0)),""),IFERROR(INDEX(Reference!$E$5:$E$12,MATCH(B1039&amp;"|"&amp;IF(C1039="Mixed","External",IF(C1039="Unknown","UoB",C1039))&amp;"|"&amp;IF(F1039&lt;=32,"32","40"),Reference!$D$5:$D$12,0)),""))</f>
        <v/>
      </c>
      <c r="J1039" s="11" t="str">
        <f t="shared" si="98"/>
        <v/>
      </c>
      <c r="K1039" s="12"/>
      <c r="L1039" s="11" t="str">
        <f t="shared" si="99"/>
        <v/>
      </c>
      <c r="M1039" s="12"/>
      <c r="N1039" s="12"/>
      <c r="O1039" s="11" t="str">
        <f t="shared" si="100"/>
        <v/>
      </c>
      <c r="P1039" s="10" t="str">
        <f t="shared" si="101"/>
        <v/>
      </c>
    </row>
    <row r="1040" spans="1:16" ht="15" customHeight="1" x14ac:dyDescent="0.2">
      <c r="A1040" s="8"/>
      <c r="B1040" s="8"/>
      <c r="C1040" s="8"/>
      <c r="D1040" s="9"/>
      <c r="E1040" s="9"/>
      <c r="F1040" s="8"/>
      <c r="G1040" s="10" t="str">
        <f t="shared" si="96"/>
        <v/>
      </c>
      <c r="H1040" s="10" t="str">
        <f t="shared" si="97"/>
        <v/>
      </c>
      <c r="I1040" s="11" t="str">
        <f>IF(B1040="Recreation",IFERROR(INDEX(RecPricing!$E$5:$E$10,MATCH(IF(C1040="Mixed","External",IF(C1040="Unknown","UoB",C1040))&amp;"|"&amp;IF(F1040&lt;=24,"&lt;=24",IF(F1040&lt;=32,"&lt;=32","Above32")),RecPricing!$F$5:$F$10,0)),""),IFERROR(INDEX(Reference!$E$5:$E$12,MATCH(B1040&amp;"|"&amp;IF(C1040="Mixed","External",IF(C1040="Unknown","UoB",C1040))&amp;"|"&amp;IF(F1040&lt;=32,"32","40"),Reference!$D$5:$D$12,0)),""))</f>
        <v/>
      </c>
      <c r="J1040" s="11" t="str">
        <f t="shared" si="98"/>
        <v/>
      </c>
      <c r="K1040" s="12"/>
      <c r="L1040" s="11" t="str">
        <f t="shared" si="99"/>
        <v/>
      </c>
      <c r="M1040" s="12"/>
      <c r="N1040" s="12"/>
      <c r="O1040" s="11" t="str">
        <f t="shared" si="100"/>
        <v/>
      </c>
      <c r="P1040" s="10" t="str">
        <f t="shared" si="101"/>
        <v/>
      </c>
    </row>
    <row r="1041" spans="1:16" ht="15" customHeight="1" x14ac:dyDescent="0.2">
      <c r="A1041" s="8"/>
      <c r="B1041" s="8"/>
      <c r="C1041" s="8"/>
      <c r="D1041" s="9"/>
      <c r="E1041" s="9"/>
      <c r="F1041" s="8"/>
      <c r="G1041" s="10" t="str">
        <f t="shared" si="96"/>
        <v/>
      </c>
      <c r="H1041" s="10" t="str">
        <f t="shared" si="97"/>
        <v/>
      </c>
      <c r="I1041" s="11" t="str">
        <f>IF(B1041="Recreation",IFERROR(INDEX(RecPricing!$E$5:$E$10,MATCH(IF(C1041="Mixed","External",IF(C1041="Unknown","UoB",C1041))&amp;"|"&amp;IF(F1041&lt;=24,"&lt;=24",IF(F1041&lt;=32,"&lt;=32","Above32")),RecPricing!$F$5:$F$10,0)),""),IFERROR(INDEX(Reference!$E$5:$E$12,MATCH(B1041&amp;"|"&amp;IF(C1041="Mixed","External",IF(C1041="Unknown","UoB",C1041))&amp;"|"&amp;IF(F1041&lt;=32,"32","40"),Reference!$D$5:$D$12,0)),""))</f>
        <v/>
      </c>
      <c r="J1041" s="11" t="str">
        <f t="shared" si="98"/>
        <v/>
      </c>
      <c r="K1041" s="12"/>
      <c r="L1041" s="11" t="str">
        <f t="shared" si="99"/>
        <v/>
      </c>
      <c r="M1041" s="12"/>
      <c r="N1041" s="12"/>
      <c r="O1041" s="11" t="str">
        <f t="shared" si="100"/>
        <v/>
      </c>
      <c r="P1041" s="10" t="str">
        <f t="shared" si="101"/>
        <v/>
      </c>
    </row>
    <row r="1042" spans="1:16" ht="15" customHeight="1" x14ac:dyDescent="0.2">
      <c r="A1042" s="8"/>
      <c r="B1042" s="8"/>
      <c r="C1042" s="8"/>
      <c r="D1042" s="9"/>
      <c r="E1042" s="9"/>
      <c r="F1042" s="8"/>
      <c r="G1042" s="10" t="str">
        <f t="shared" si="96"/>
        <v/>
      </c>
      <c r="H1042" s="10" t="str">
        <f t="shared" si="97"/>
        <v/>
      </c>
      <c r="I1042" s="11" t="str">
        <f>IF(B1042="Recreation",IFERROR(INDEX(RecPricing!$E$5:$E$10,MATCH(IF(C1042="Mixed","External",IF(C1042="Unknown","UoB",C1042))&amp;"|"&amp;IF(F1042&lt;=24,"&lt;=24",IF(F1042&lt;=32,"&lt;=32","Above32")),RecPricing!$F$5:$F$10,0)),""),IFERROR(INDEX(Reference!$E$5:$E$12,MATCH(B1042&amp;"|"&amp;IF(C1042="Mixed","External",IF(C1042="Unknown","UoB",C1042))&amp;"|"&amp;IF(F1042&lt;=32,"32","40"),Reference!$D$5:$D$12,0)),""))</f>
        <v/>
      </c>
      <c r="J1042" s="11" t="str">
        <f t="shared" si="98"/>
        <v/>
      </c>
      <c r="K1042" s="12"/>
      <c r="L1042" s="11" t="str">
        <f t="shared" si="99"/>
        <v/>
      </c>
      <c r="M1042" s="12"/>
      <c r="N1042" s="12"/>
      <c r="O1042" s="11" t="str">
        <f t="shared" si="100"/>
        <v/>
      </c>
      <c r="P1042" s="10" t="str">
        <f t="shared" si="101"/>
        <v/>
      </c>
    </row>
    <row r="1043" spans="1:16" ht="15" customHeight="1" x14ac:dyDescent="0.2">
      <c r="A1043" s="8"/>
      <c r="B1043" s="8"/>
      <c r="C1043" s="8"/>
      <c r="D1043" s="9"/>
      <c r="E1043" s="9"/>
      <c r="F1043" s="8"/>
      <c r="G1043" s="10" t="str">
        <f t="shared" si="96"/>
        <v/>
      </c>
      <c r="H1043" s="10" t="str">
        <f t="shared" si="97"/>
        <v/>
      </c>
      <c r="I1043" s="11" t="str">
        <f>IF(B1043="Recreation",IFERROR(INDEX(RecPricing!$E$5:$E$10,MATCH(IF(C1043="Mixed","External",IF(C1043="Unknown","UoB",C1043))&amp;"|"&amp;IF(F1043&lt;=24,"&lt;=24",IF(F1043&lt;=32,"&lt;=32","Above32")),RecPricing!$F$5:$F$10,0)),""),IFERROR(INDEX(Reference!$E$5:$E$12,MATCH(B1043&amp;"|"&amp;IF(C1043="Mixed","External",IF(C1043="Unknown","UoB",C1043))&amp;"|"&amp;IF(F1043&lt;=32,"32","40"),Reference!$D$5:$D$12,0)),""))</f>
        <v/>
      </c>
      <c r="J1043" s="11" t="str">
        <f t="shared" si="98"/>
        <v/>
      </c>
      <c r="K1043" s="12"/>
      <c r="L1043" s="11" t="str">
        <f t="shared" si="99"/>
        <v/>
      </c>
      <c r="M1043" s="12"/>
      <c r="N1043" s="12"/>
      <c r="O1043" s="11" t="str">
        <f t="shared" si="100"/>
        <v/>
      </c>
      <c r="P1043" s="10" t="str">
        <f t="shared" si="101"/>
        <v/>
      </c>
    </row>
    <row r="1044" spans="1:16" ht="15" customHeight="1" x14ac:dyDescent="0.2">
      <c r="A1044" s="8"/>
      <c r="B1044" s="8"/>
      <c r="C1044" s="8"/>
      <c r="D1044" s="9"/>
      <c r="E1044" s="9"/>
      <c r="F1044" s="8"/>
      <c r="G1044" s="10" t="str">
        <f t="shared" si="96"/>
        <v/>
      </c>
      <c r="H1044" s="10" t="str">
        <f t="shared" si="97"/>
        <v/>
      </c>
      <c r="I1044" s="11" t="str">
        <f>IF(B1044="Recreation",IFERROR(INDEX(RecPricing!$E$5:$E$10,MATCH(IF(C1044="Mixed","External",IF(C1044="Unknown","UoB",C1044))&amp;"|"&amp;IF(F1044&lt;=24,"&lt;=24",IF(F1044&lt;=32,"&lt;=32","Above32")),RecPricing!$F$5:$F$10,0)),""),IFERROR(INDEX(Reference!$E$5:$E$12,MATCH(B1044&amp;"|"&amp;IF(C1044="Mixed","External",IF(C1044="Unknown","UoB",C1044))&amp;"|"&amp;IF(F1044&lt;=32,"32","40"),Reference!$D$5:$D$12,0)),""))</f>
        <v/>
      </c>
      <c r="J1044" s="11" t="str">
        <f t="shared" si="98"/>
        <v/>
      </c>
      <c r="K1044" s="12"/>
      <c r="L1044" s="11" t="str">
        <f t="shared" si="99"/>
        <v/>
      </c>
      <c r="M1044" s="12"/>
      <c r="N1044" s="12"/>
      <c r="O1044" s="11" t="str">
        <f t="shared" si="100"/>
        <v/>
      </c>
      <c r="P1044" s="10" t="str">
        <f t="shared" si="101"/>
        <v/>
      </c>
    </row>
    <row r="1045" spans="1:16" ht="15" customHeight="1" x14ac:dyDescent="0.2">
      <c r="A1045" s="8"/>
      <c r="B1045" s="8"/>
      <c r="C1045" s="8"/>
      <c r="D1045" s="9"/>
      <c r="E1045" s="9"/>
      <c r="F1045" s="8"/>
      <c r="G1045" s="10" t="str">
        <f t="shared" si="96"/>
        <v/>
      </c>
      <c r="H1045" s="10" t="str">
        <f t="shared" si="97"/>
        <v/>
      </c>
      <c r="I1045" s="11" t="str">
        <f>IF(B1045="Recreation",IFERROR(INDEX(RecPricing!$E$5:$E$10,MATCH(IF(C1045="Mixed","External",IF(C1045="Unknown","UoB",C1045))&amp;"|"&amp;IF(F1045&lt;=24,"&lt;=24",IF(F1045&lt;=32,"&lt;=32","Above32")),RecPricing!$F$5:$F$10,0)),""),IFERROR(INDEX(Reference!$E$5:$E$12,MATCH(B1045&amp;"|"&amp;IF(C1045="Mixed","External",IF(C1045="Unknown","UoB",C1045))&amp;"|"&amp;IF(F1045&lt;=32,"32","40"),Reference!$D$5:$D$12,0)),""))</f>
        <v/>
      </c>
      <c r="J1045" s="11" t="str">
        <f t="shared" si="98"/>
        <v/>
      </c>
      <c r="K1045" s="12"/>
      <c r="L1045" s="11" t="str">
        <f t="shared" si="99"/>
        <v/>
      </c>
      <c r="M1045" s="12"/>
      <c r="N1045" s="12"/>
      <c r="O1045" s="11" t="str">
        <f t="shared" si="100"/>
        <v/>
      </c>
      <c r="P1045" s="10" t="str">
        <f t="shared" si="101"/>
        <v/>
      </c>
    </row>
    <row r="1046" spans="1:16" ht="15" customHeight="1" x14ac:dyDescent="0.2">
      <c r="A1046" s="8"/>
      <c r="B1046" s="8"/>
      <c r="C1046" s="8"/>
      <c r="D1046" s="9"/>
      <c r="E1046" s="9"/>
      <c r="F1046" s="8"/>
      <c r="G1046" s="10" t="str">
        <f t="shared" si="96"/>
        <v/>
      </c>
      <c r="H1046" s="10" t="str">
        <f t="shared" si="97"/>
        <v/>
      </c>
      <c r="I1046" s="11" t="str">
        <f>IF(B1046="Recreation",IFERROR(INDEX(RecPricing!$E$5:$E$10,MATCH(IF(C1046="Mixed","External",IF(C1046="Unknown","UoB",C1046))&amp;"|"&amp;IF(F1046&lt;=24,"&lt;=24",IF(F1046&lt;=32,"&lt;=32","Above32")),RecPricing!$F$5:$F$10,0)),""),IFERROR(INDEX(Reference!$E$5:$E$12,MATCH(B1046&amp;"|"&amp;IF(C1046="Mixed","External",IF(C1046="Unknown","UoB",C1046))&amp;"|"&amp;IF(F1046&lt;=32,"32","40"),Reference!$D$5:$D$12,0)),""))</f>
        <v/>
      </c>
      <c r="J1046" s="11" t="str">
        <f t="shared" si="98"/>
        <v/>
      </c>
      <c r="K1046" s="12"/>
      <c r="L1046" s="11" t="str">
        <f t="shared" si="99"/>
        <v/>
      </c>
      <c r="M1046" s="12"/>
      <c r="N1046" s="12"/>
      <c r="O1046" s="11" t="str">
        <f t="shared" si="100"/>
        <v/>
      </c>
      <c r="P1046" s="10" t="str">
        <f t="shared" si="101"/>
        <v/>
      </c>
    </row>
    <row r="1047" spans="1:16" ht="15" customHeight="1" x14ac:dyDescent="0.2">
      <c r="A1047" s="8"/>
      <c r="B1047" s="8"/>
      <c r="C1047" s="8"/>
      <c r="D1047" s="9"/>
      <c r="E1047" s="9"/>
      <c r="F1047" s="8"/>
      <c r="G1047" s="10" t="str">
        <f t="shared" si="96"/>
        <v/>
      </c>
      <c r="H1047" s="10" t="str">
        <f t="shared" si="97"/>
        <v/>
      </c>
      <c r="I1047" s="11" t="str">
        <f>IF(B1047="Recreation",IFERROR(INDEX(RecPricing!$E$5:$E$10,MATCH(IF(C1047="Mixed","External",IF(C1047="Unknown","UoB",C1047))&amp;"|"&amp;IF(F1047&lt;=24,"&lt;=24",IF(F1047&lt;=32,"&lt;=32","Above32")),RecPricing!$F$5:$F$10,0)),""),IFERROR(INDEX(Reference!$E$5:$E$12,MATCH(B1047&amp;"|"&amp;IF(C1047="Mixed","External",IF(C1047="Unknown","UoB",C1047))&amp;"|"&amp;IF(F1047&lt;=32,"32","40"),Reference!$D$5:$D$12,0)),""))</f>
        <v/>
      </c>
      <c r="J1047" s="11" t="str">
        <f t="shared" si="98"/>
        <v/>
      </c>
      <c r="K1047" s="12"/>
      <c r="L1047" s="11" t="str">
        <f t="shared" si="99"/>
        <v/>
      </c>
      <c r="M1047" s="12"/>
      <c r="N1047" s="12"/>
      <c r="O1047" s="11" t="str">
        <f t="shared" si="100"/>
        <v/>
      </c>
      <c r="P1047" s="10" t="str">
        <f t="shared" si="101"/>
        <v/>
      </c>
    </row>
    <row r="1048" spans="1:16" ht="15" customHeight="1" x14ac:dyDescent="0.2">
      <c r="A1048" s="8"/>
      <c r="B1048" s="8"/>
      <c r="C1048" s="8"/>
      <c r="D1048" s="9"/>
      <c r="E1048" s="9"/>
      <c r="F1048" s="8"/>
      <c r="G1048" s="10" t="str">
        <f t="shared" si="96"/>
        <v/>
      </c>
      <c r="H1048" s="10" t="str">
        <f t="shared" si="97"/>
        <v/>
      </c>
      <c r="I1048" s="11" t="str">
        <f>IF(B1048="Recreation",IFERROR(INDEX(RecPricing!$E$5:$E$10,MATCH(IF(C1048="Mixed","External",IF(C1048="Unknown","UoB",C1048))&amp;"|"&amp;IF(F1048&lt;=24,"&lt;=24",IF(F1048&lt;=32,"&lt;=32","Above32")),RecPricing!$F$5:$F$10,0)),""),IFERROR(INDEX(Reference!$E$5:$E$12,MATCH(B1048&amp;"|"&amp;IF(C1048="Mixed","External",IF(C1048="Unknown","UoB",C1048))&amp;"|"&amp;IF(F1048&lt;=32,"32","40"),Reference!$D$5:$D$12,0)),""))</f>
        <v/>
      </c>
      <c r="J1048" s="11" t="str">
        <f t="shared" si="98"/>
        <v/>
      </c>
      <c r="K1048" s="12"/>
      <c r="L1048" s="11" t="str">
        <f t="shared" si="99"/>
        <v/>
      </c>
      <c r="M1048" s="12"/>
      <c r="N1048" s="12"/>
      <c r="O1048" s="11" t="str">
        <f t="shared" si="100"/>
        <v/>
      </c>
      <c r="P1048" s="10" t="str">
        <f t="shared" si="101"/>
        <v/>
      </c>
    </row>
    <row r="1049" spans="1:16" ht="15" customHeight="1" x14ac:dyDescent="0.2">
      <c r="A1049" s="8"/>
      <c r="B1049" s="8"/>
      <c r="C1049" s="8"/>
      <c r="D1049" s="9"/>
      <c r="E1049" s="9"/>
      <c r="F1049" s="8"/>
      <c r="G1049" s="10" t="str">
        <f t="shared" si="96"/>
        <v/>
      </c>
      <c r="H1049" s="10" t="str">
        <f t="shared" si="97"/>
        <v/>
      </c>
      <c r="I1049" s="11" t="str">
        <f>IF(B1049="Recreation",IFERROR(INDEX(RecPricing!$E$5:$E$10,MATCH(IF(C1049="Mixed","External",IF(C1049="Unknown","UoB",C1049))&amp;"|"&amp;IF(F1049&lt;=24,"&lt;=24",IF(F1049&lt;=32,"&lt;=32","Above32")),RecPricing!$F$5:$F$10,0)),""),IFERROR(INDEX(Reference!$E$5:$E$12,MATCH(B1049&amp;"|"&amp;IF(C1049="Mixed","External",IF(C1049="Unknown","UoB",C1049))&amp;"|"&amp;IF(F1049&lt;=32,"32","40"),Reference!$D$5:$D$12,0)),""))</f>
        <v/>
      </c>
      <c r="J1049" s="11" t="str">
        <f t="shared" si="98"/>
        <v/>
      </c>
      <c r="K1049" s="12"/>
      <c r="L1049" s="11" t="str">
        <f t="shared" si="99"/>
        <v/>
      </c>
      <c r="M1049" s="12"/>
      <c r="N1049" s="12"/>
      <c r="O1049" s="11" t="str">
        <f t="shared" si="100"/>
        <v/>
      </c>
      <c r="P1049" s="10" t="str">
        <f t="shared" si="101"/>
        <v/>
      </c>
    </row>
    <row r="1050" spans="1:16" ht="15" customHeight="1" x14ac:dyDescent="0.2">
      <c r="A1050" s="8"/>
      <c r="B1050" s="8"/>
      <c r="C1050" s="8"/>
      <c r="D1050" s="9"/>
      <c r="E1050" s="9"/>
      <c r="F1050" s="8"/>
      <c r="G1050" s="10" t="str">
        <f t="shared" si="96"/>
        <v/>
      </c>
      <c r="H1050" s="10" t="str">
        <f t="shared" si="97"/>
        <v/>
      </c>
      <c r="I1050" s="11" t="str">
        <f>IF(B1050="Recreation",IFERROR(INDEX(RecPricing!$E$5:$E$10,MATCH(IF(C1050="Mixed","External",IF(C1050="Unknown","UoB",C1050))&amp;"|"&amp;IF(F1050&lt;=24,"&lt;=24",IF(F1050&lt;=32,"&lt;=32","Above32")),RecPricing!$F$5:$F$10,0)),""),IFERROR(INDEX(Reference!$E$5:$E$12,MATCH(B1050&amp;"|"&amp;IF(C1050="Mixed","External",IF(C1050="Unknown","UoB",C1050))&amp;"|"&amp;IF(F1050&lt;=32,"32","40"),Reference!$D$5:$D$12,0)),""))</f>
        <v/>
      </c>
      <c r="J1050" s="11" t="str">
        <f t="shared" si="98"/>
        <v/>
      </c>
      <c r="K1050" s="12"/>
      <c r="L1050" s="11" t="str">
        <f t="shared" si="99"/>
        <v/>
      </c>
      <c r="M1050" s="12"/>
      <c r="N1050" s="12"/>
      <c r="O1050" s="11" t="str">
        <f t="shared" si="100"/>
        <v/>
      </c>
      <c r="P1050" s="10" t="str">
        <f t="shared" si="101"/>
        <v/>
      </c>
    </row>
    <row r="1051" spans="1:16" ht="15" customHeight="1" x14ac:dyDescent="0.2">
      <c r="A1051" s="8"/>
      <c r="B1051" s="8"/>
      <c r="C1051" s="8"/>
      <c r="D1051" s="9"/>
      <c r="E1051" s="9"/>
      <c r="F1051" s="8"/>
      <c r="G1051" s="10" t="str">
        <f t="shared" si="96"/>
        <v/>
      </c>
      <c r="H1051" s="10" t="str">
        <f t="shared" si="97"/>
        <v/>
      </c>
      <c r="I1051" s="11" t="str">
        <f>IF(B1051="Recreation",IFERROR(INDEX(RecPricing!$E$5:$E$10,MATCH(IF(C1051="Mixed","External",IF(C1051="Unknown","UoB",C1051))&amp;"|"&amp;IF(F1051&lt;=24,"&lt;=24",IF(F1051&lt;=32,"&lt;=32","Above32")),RecPricing!$F$5:$F$10,0)),""),IFERROR(INDEX(Reference!$E$5:$E$12,MATCH(B1051&amp;"|"&amp;IF(C1051="Mixed","External",IF(C1051="Unknown","UoB",C1051))&amp;"|"&amp;IF(F1051&lt;=32,"32","40"),Reference!$D$5:$D$12,0)),""))</f>
        <v/>
      </c>
      <c r="J1051" s="11" t="str">
        <f t="shared" si="98"/>
        <v/>
      </c>
      <c r="K1051" s="12"/>
      <c r="L1051" s="11" t="str">
        <f t="shared" si="99"/>
        <v/>
      </c>
      <c r="M1051" s="12"/>
      <c r="N1051" s="12"/>
      <c r="O1051" s="11" t="str">
        <f t="shared" si="100"/>
        <v/>
      </c>
      <c r="P1051" s="10" t="str">
        <f t="shared" si="101"/>
        <v/>
      </c>
    </row>
    <row r="1052" spans="1:16" ht="15" customHeight="1" x14ac:dyDescent="0.2">
      <c r="A1052" s="8"/>
      <c r="B1052" s="8"/>
      <c r="C1052" s="8"/>
      <c r="D1052" s="9"/>
      <c r="E1052" s="9"/>
      <c r="F1052" s="8"/>
      <c r="G1052" s="10" t="str">
        <f t="shared" si="96"/>
        <v/>
      </c>
      <c r="H1052" s="10" t="str">
        <f t="shared" si="97"/>
        <v/>
      </c>
      <c r="I1052" s="11" t="str">
        <f>IF(B1052="Recreation",IFERROR(INDEX(RecPricing!$E$5:$E$10,MATCH(IF(C1052="Mixed","External",IF(C1052="Unknown","UoB",C1052))&amp;"|"&amp;IF(F1052&lt;=24,"&lt;=24",IF(F1052&lt;=32,"&lt;=32","Above32")),RecPricing!$F$5:$F$10,0)),""),IFERROR(INDEX(Reference!$E$5:$E$12,MATCH(B1052&amp;"|"&amp;IF(C1052="Mixed","External",IF(C1052="Unknown","UoB",C1052))&amp;"|"&amp;IF(F1052&lt;=32,"32","40"),Reference!$D$5:$D$12,0)),""))</f>
        <v/>
      </c>
      <c r="J1052" s="11" t="str">
        <f t="shared" si="98"/>
        <v/>
      </c>
      <c r="K1052" s="12"/>
      <c r="L1052" s="11" t="str">
        <f t="shared" si="99"/>
        <v/>
      </c>
      <c r="M1052" s="12"/>
      <c r="N1052" s="12"/>
      <c r="O1052" s="11" t="str">
        <f t="shared" si="100"/>
        <v/>
      </c>
      <c r="P1052" s="10" t="str">
        <f t="shared" si="101"/>
        <v/>
      </c>
    </row>
    <row r="1053" spans="1:16" ht="15" customHeight="1" x14ac:dyDescent="0.2">
      <c r="A1053" s="8"/>
      <c r="B1053" s="8"/>
      <c r="C1053" s="8"/>
      <c r="D1053" s="9"/>
      <c r="E1053" s="9"/>
      <c r="F1053" s="8"/>
      <c r="G1053" s="10" t="str">
        <f t="shared" si="96"/>
        <v/>
      </c>
      <c r="H1053" s="10" t="str">
        <f t="shared" si="97"/>
        <v/>
      </c>
      <c r="I1053" s="11" t="str">
        <f>IF(B1053="Recreation",IFERROR(INDEX(RecPricing!$E$5:$E$10,MATCH(IF(C1053="Mixed","External",IF(C1053="Unknown","UoB",C1053))&amp;"|"&amp;IF(F1053&lt;=24,"&lt;=24",IF(F1053&lt;=32,"&lt;=32","Above32")),RecPricing!$F$5:$F$10,0)),""),IFERROR(INDEX(Reference!$E$5:$E$12,MATCH(B1053&amp;"|"&amp;IF(C1053="Mixed","External",IF(C1053="Unknown","UoB",C1053))&amp;"|"&amp;IF(F1053&lt;=32,"32","40"),Reference!$D$5:$D$12,0)),""))</f>
        <v/>
      </c>
      <c r="J1053" s="11" t="str">
        <f t="shared" si="98"/>
        <v/>
      </c>
      <c r="K1053" s="12"/>
      <c r="L1053" s="11" t="str">
        <f t="shared" si="99"/>
        <v/>
      </c>
      <c r="M1053" s="12"/>
      <c r="N1053" s="12"/>
      <c r="O1053" s="11" t="str">
        <f t="shared" si="100"/>
        <v/>
      </c>
      <c r="P1053" s="10" t="str">
        <f t="shared" si="101"/>
        <v/>
      </c>
    </row>
    <row r="1054" spans="1:16" ht="15" customHeight="1" x14ac:dyDescent="0.2">
      <c r="A1054" s="8"/>
      <c r="B1054" s="8"/>
      <c r="C1054" s="8"/>
      <c r="D1054" s="9"/>
      <c r="E1054" s="9"/>
      <c r="F1054" s="8"/>
      <c r="G1054" s="10" t="str">
        <f t="shared" si="96"/>
        <v/>
      </c>
      <c r="H1054" s="10" t="str">
        <f t="shared" si="97"/>
        <v/>
      </c>
      <c r="I1054" s="11" t="str">
        <f>IF(B1054="Recreation",IFERROR(INDEX(RecPricing!$E$5:$E$10,MATCH(IF(C1054="Mixed","External",IF(C1054="Unknown","UoB",C1054))&amp;"|"&amp;IF(F1054&lt;=24,"&lt;=24",IF(F1054&lt;=32,"&lt;=32","Above32")),RecPricing!$F$5:$F$10,0)),""),IFERROR(INDEX(Reference!$E$5:$E$12,MATCH(B1054&amp;"|"&amp;IF(C1054="Mixed","External",IF(C1054="Unknown","UoB",C1054))&amp;"|"&amp;IF(F1054&lt;=32,"32","40"),Reference!$D$5:$D$12,0)),""))</f>
        <v/>
      </c>
      <c r="J1054" s="11" t="str">
        <f t="shared" si="98"/>
        <v/>
      </c>
      <c r="K1054" s="12"/>
      <c r="L1054" s="11" t="str">
        <f t="shared" si="99"/>
        <v/>
      </c>
      <c r="M1054" s="12"/>
      <c r="N1054" s="12"/>
      <c r="O1054" s="11" t="str">
        <f t="shared" si="100"/>
        <v/>
      </c>
      <c r="P1054" s="10" t="str">
        <f t="shared" si="101"/>
        <v/>
      </c>
    </row>
    <row r="1055" spans="1:16" ht="15" customHeight="1" x14ac:dyDescent="0.2">
      <c r="A1055" s="8"/>
      <c r="B1055" s="8"/>
      <c r="C1055" s="8"/>
      <c r="D1055" s="9"/>
      <c r="E1055" s="9"/>
      <c r="F1055" s="8"/>
      <c r="G1055" s="10" t="str">
        <f t="shared" si="96"/>
        <v/>
      </c>
      <c r="H1055" s="10" t="str">
        <f t="shared" si="97"/>
        <v/>
      </c>
      <c r="I1055" s="11" t="str">
        <f>IF(B1055="Recreation",IFERROR(INDEX(RecPricing!$E$5:$E$10,MATCH(IF(C1055="Mixed","External",IF(C1055="Unknown","UoB",C1055))&amp;"|"&amp;IF(F1055&lt;=24,"&lt;=24",IF(F1055&lt;=32,"&lt;=32","Above32")),RecPricing!$F$5:$F$10,0)),""),IFERROR(INDEX(Reference!$E$5:$E$12,MATCH(B1055&amp;"|"&amp;IF(C1055="Mixed","External",IF(C1055="Unknown","UoB",C1055))&amp;"|"&amp;IF(F1055&lt;=32,"32","40"),Reference!$D$5:$D$12,0)),""))</f>
        <v/>
      </c>
      <c r="J1055" s="11" t="str">
        <f t="shared" si="98"/>
        <v/>
      </c>
      <c r="K1055" s="12"/>
      <c r="L1055" s="11" t="str">
        <f t="shared" si="99"/>
        <v/>
      </c>
      <c r="M1055" s="12"/>
      <c r="N1055" s="12"/>
      <c r="O1055" s="11" t="str">
        <f t="shared" si="100"/>
        <v/>
      </c>
      <c r="P1055" s="10" t="str">
        <f t="shared" si="101"/>
        <v/>
      </c>
    </row>
    <row r="1056" spans="1:16" ht="15" customHeight="1" x14ac:dyDescent="0.2">
      <c r="A1056" s="8"/>
      <c r="B1056" s="8"/>
      <c r="C1056" s="8"/>
      <c r="D1056" s="9"/>
      <c r="E1056" s="9"/>
      <c r="F1056" s="8"/>
      <c r="G1056" s="10" t="str">
        <f t="shared" si="96"/>
        <v/>
      </c>
      <c r="H1056" s="10" t="str">
        <f t="shared" si="97"/>
        <v/>
      </c>
      <c r="I1056" s="11" t="str">
        <f>IF(B1056="Recreation",IFERROR(INDEX(RecPricing!$E$5:$E$10,MATCH(IF(C1056="Mixed","External",IF(C1056="Unknown","UoB",C1056))&amp;"|"&amp;IF(F1056&lt;=24,"&lt;=24",IF(F1056&lt;=32,"&lt;=32","Above32")),RecPricing!$F$5:$F$10,0)),""),IFERROR(INDEX(Reference!$E$5:$E$12,MATCH(B1056&amp;"|"&amp;IF(C1056="Mixed","External",IF(C1056="Unknown","UoB",C1056))&amp;"|"&amp;IF(F1056&lt;=32,"32","40"),Reference!$D$5:$D$12,0)),""))</f>
        <v/>
      </c>
      <c r="J1056" s="11" t="str">
        <f t="shared" si="98"/>
        <v/>
      </c>
      <c r="K1056" s="12"/>
      <c r="L1056" s="11" t="str">
        <f t="shared" si="99"/>
        <v/>
      </c>
      <c r="M1056" s="12"/>
      <c r="N1056" s="12"/>
      <c r="O1056" s="11" t="str">
        <f t="shared" si="100"/>
        <v/>
      </c>
      <c r="P1056" s="10" t="str">
        <f t="shared" si="101"/>
        <v/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Reference!$H$5:$H$8</xm:f>
          </x14:formula1>
          <x14:formula2>
            <xm:f>0</xm:f>
          </x14:formula2>
          <xm:sqref>B2:B1056</xm:sqref>
        </x14:dataValidation>
        <x14:dataValidation type="list" allowBlank="1" xr:uid="{00000000-0002-0000-0300-000001000000}">
          <x14:formula1>
            <xm:f>Reference!$I$5:$I$8</xm:f>
          </x14:formula1>
          <x14:formula2>
            <xm:f>0</xm:f>
          </x14:formula2>
          <xm:sqref>C2:C1056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3"/>
  <sheetViews>
    <sheetView zoomScaleNormal="100" workbookViewId="0">
      <pane ySplit="1" topLeftCell="A2" activePane="bottomLeft" state="frozen"/>
      <selection pane="bottomLeft" activeCell="F2" sqref="F2"/>
    </sheetView>
  </sheetViews>
  <sheetFormatPr baseColWidth="10" defaultColWidth="8.6640625" defaultRowHeight="15" x14ac:dyDescent="0.2"/>
  <cols>
    <col min="1" max="1" width="12" customWidth="1"/>
    <col min="2" max="2" width="22" customWidth="1"/>
    <col min="3" max="3" width="12" customWidth="1"/>
    <col min="4" max="4" width="10" customWidth="1"/>
    <col min="5" max="5" width="8" customWidth="1"/>
    <col min="6" max="6" width="9" customWidth="1"/>
    <col min="7" max="7" width="10" customWidth="1"/>
    <col min="8" max="8" width="9" customWidth="1"/>
  </cols>
  <sheetData>
    <row r="1" spans="1:8" ht="15" customHeight="1" x14ac:dyDescent="0.2">
      <c r="A1" s="4" t="s">
        <v>148</v>
      </c>
      <c r="B1" s="4" t="s">
        <v>149</v>
      </c>
      <c r="C1" s="4" t="s">
        <v>150</v>
      </c>
      <c r="D1" s="4" t="s">
        <v>55</v>
      </c>
      <c r="E1" s="4" t="s">
        <v>151</v>
      </c>
      <c r="F1" s="4" t="s">
        <v>40</v>
      </c>
      <c r="G1" s="4" t="s">
        <v>152</v>
      </c>
      <c r="H1" s="4" t="s">
        <v>147</v>
      </c>
    </row>
    <row r="2" spans="1:8" ht="15" customHeight="1" x14ac:dyDescent="0.2">
      <c r="A2" s="9"/>
      <c r="B2" s="8"/>
      <c r="C2" s="8"/>
      <c r="D2" s="8"/>
      <c r="E2" s="8"/>
      <c r="F2" s="11" t="str">
        <f>IFERROR(INDEX(Reference!$B$23:$B$24,MATCH(D2,Reference!$A$23:$A$24,0)),"")</f>
        <v/>
      </c>
      <c r="G2" s="11" t="str">
        <f t="shared" ref="G2:G65" si="0">IF(OR(E2="",F2=""),"",E2*F2)</f>
        <v/>
      </c>
      <c r="H2" s="10" t="str">
        <f t="shared" ref="H2:H65" si="1">IF(A2="","",IF(MONTH(A2)&gt;=8,YEAR(A2)&amp;"-"&amp;RIGHT(YEAR(A2)+1,2),YEAR(A2)-1&amp;"-"&amp;RIGHT(YEAR(A2),2)))</f>
        <v/>
      </c>
    </row>
    <row r="3" spans="1:8" ht="15" customHeight="1" x14ac:dyDescent="0.2">
      <c r="A3" s="9"/>
      <c r="B3" s="8"/>
      <c r="C3" s="8"/>
      <c r="D3" s="8"/>
      <c r="E3" s="8"/>
      <c r="F3" s="11" t="str">
        <f>IFERROR(INDEX(Reference!$B$23:$B$24,MATCH(D3,Reference!$A$23:$A$24,0)),"")</f>
        <v/>
      </c>
      <c r="G3" s="11" t="str">
        <f t="shared" si="0"/>
        <v/>
      </c>
      <c r="H3" s="10" t="str">
        <f t="shared" si="1"/>
        <v/>
      </c>
    </row>
    <row r="4" spans="1:8" ht="15" customHeight="1" x14ac:dyDescent="0.2">
      <c r="A4" s="9"/>
      <c r="B4" s="8"/>
      <c r="C4" s="8"/>
      <c r="D4" s="8"/>
      <c r="E4" s="8"/>
      <c r="F4" s="11" t="str">
        <f>IFERROR(INDEX(Reference!$B$23:$B$24,MATCH(D4,Reference!$A$23:$A$24,0)),"")</f>
        <v/>
      </c>
      <c r="G4" s="11" t="str">
        <f t="shared" si="0"/>
        <v/>
      </c>
      <c r="H4" s="10" t="str">
        <f t="shared" si="1"/>
        <v/>
      </c>
    </row>
    <row r="5" spans="1:8" ht="15" customHeight="1" x14ac:dyDescent="0.2">
      <c r="A5" s="9"/>
      <c r="B5" s="8"/>
      <c r="C5" s="8"/>
      <c r="D5" s="8"/>
      <c r="E5" s="8"/>
      <c r="F5" s="11" t="str">
        <f>IFERROR(INDEX(Reference!$B$23:$B$24,MATCH(D5,Reference!$A$23:$A$24,0)),"")</f>
        <v/>
      </c>
      <c r="G5" s="11" t="str">
        <f t="shared" si="0"/>
        <v/>
      </c>
      <c r="H5" s="10" t="str">
        <f t="shared" si="1"/>
        <v/>
      </c>
    </row>
    <row r="6" spans="1:8" ht="15" customHeight="1" x14ac:dyDescent="0.2">
      <c r="A6" s="9"/>
      <c r="B6" s="8"/>
      <c r="C6" s="8"/>
      <c r="D6" s="8"/>
      <c r="E6" s="8"/>
      <c r="F6" s="11" t="str">
        <f>IFERROR(INDEX(Reference!$B$23:$B$24,MATCH(D6,Reference!$A$23:$A$24,0)),"")</f>
        <v/>
      </c>
      <c r="G6" s="11" t="str">
        <f t="shared" si="0"/>
        <v/>
      </c>
      <c r="H6" s="10" t="str">
        <f t="shared" si="1"/>
        <v/>
      </c>
    </row>
    <row r="7" spans="1:8" ht="15" customHeight="1" x14ac:dyDescent="0.2">
      <c r="A7" s="9"/>
      <c r="B7" s="8"/>
      <c r="C7" s="8"/>
      <c r="D7" s="8"/>
      <c r="E7" s="8"/>
      <c r="F7" s="11" t="str">
        <f>IFERROR(INDEX(Reference!$B$23:$B$24,MATCH(D7,Reference!$A$23:$A$24,0)),"")</f>
        <v/>
      </c>
      <c r="G7" s="11" t="str">
        <f t="shared" si="0"/>
        <v/>
      </c>
      <c r="H7" s="10" t="str">
        <f t="shared" si="1"/>
        <v/>
      </c>
    </row>
    <row r="8" spans="1:8" ht="15" customHeight="1" x14ac:dyDescent="0.2">
      <c r="A8" s="9"/>
      <c r="B8" s="8"/>
      <c r="C8" s="8"/>
      <c r="D8" s="8"/>
      <c r="E8" s="8"/>
      <c r="F8" s="11" t="str">
        <f>IFERROR(INDEX(Reference!$B$23:$B$24,MATCH(D8,Reference!$A$23:$A$24,0)),"")</f>
        <v/>
      </c>
      <c r="G8" s="11" t="str">
        <f t="shared" si="0"/>
        <v/>
      </c>
      <c r="H8" s="10" t="str">
        <f t="shared" si="1"/>
        <v/>
      </c>
    </row>
    <row r="9" spans="1:8" ht="15" customHeight="1" x14ac:dyDescent="0.2">
      <c r="A9" s="9"/>
      <c r="B9" s="8"/>
      <c r="C9" s="8"/>
      <c r="D9" s="8"/>
      <c r="E9" s="8"/>
      <c r="F9" s="11" t="str">
        <f>IFERROR(INDEX(Reference!$B$23:$B$24,MATCH(D9,Reference!$A$23:$A$24,0)),"")</f>
        <v/>
      </c>
      <c r="G9" s="11" t="str">
        <f t="shared" si="0"/>
        <v/>
      </c>
      <c r="H9" s="10" t="str">
        <f t="shared" si="1"/>
        <v/>
      </c>
    </row>
    <row r="10" spans="1:8" ht="15" customHeight="1" x14ac:dyDescent="0.2">
      <c r="A10" s="9"/>
      <c r="B10" s="8"/>
      <c r="C10" s="8"/>
      <c r="D10" s="8"/>
      <c r="E10" s="8"/>
      <c r="F10" s="11" t="str">
        <f>IFERROR(INDEX(Reference!$B$23:$B$24,MATCH(D10,Reference!$A$23:$A$24,0)),"")</f>
        <v/>
      </c>
      <c r="G10" s="11" t="str">
        <f t="shared" si="0"/>
        <v/>
      </c>
      <c r="H10" s="10" t="str">
        <f t="shared" si="1"/>
        <v/>
      </c>
    </row>
    <row r="11" spans="1:8" ht="15" customHeight="1" x14ac:dyDescent="0.2">
      <c r="A11" s="9"/>
      <c r="B11" s="8"/>
      <c r="C11" s="8"/>
      <c r="D11" s="8"/>
      <c r="E11" s="8"/>
      <c r="F11" s="11" t="str">
        <f>IFERROR(INDEX(Reference!$B$23:$B$24,MATCH(D11,Reference!$A$23:$A$24,0)),"")</f>
        <v/>
      </c>
      <c r="G11" s="11" t="str">
        <f t="shared" si="0"/>
        <v/>
      </c>
      <c r="H11" s="10" t="str">
        <f t="shared" si="1"/>
        <v/>
      </c>
    </row>
    <row r="12" spans="1:8" ht="15" customHeight="1" x14ac:dyDescent="0.2">
      <c r="A12" s="9"/>
      <c r="B12" s="8"/>
      <c r="C12" s="8"/>
      <c r="D12" s="8"/>
      <c r="E12" s="8"/>
      <c r="F12" s="11" t="str">
        <f>IFERROR(INDEX(Reference!$B$23:$B$24,MATCH(D12,Reference!$A$23:$A$24,0)),"")</f>
        <v/>
      </c>
      <c r="G12" s="11" t="str">
        <f t="shared" si="0"/>
        <v/>
      </c>
      <c r="H12" s="10" t="str">
        <f t="shared" si="1"/>
        <v/>
      </c>
    </row>
    <row r="13" spans="1:8" ht="15" customHeight="1" x14ac:dyDescent="0.2">
      <c r="A13" s="9"/>
      <c r="B13" s="8"/>
      <c r="C13" s="8"/>
      <c r="D13" s="8"/>
      <c r="E13" s="8"/>
      <c r="F13" s="11" t="str">
        <f>IFERROR(INDEX(Reference!$B$23:$B$24,MATCH(D13,Reference!$A$23:$A$24,0)),"")</f>
        <v/>
      </c>
      <c r="G13" s="11" t="str">
        <f t="shared" si="0"/>
        <v/>
      </c>
      <c r="H13" s="10" t="str">
        <f t="shared" si="1"/>
        <v/>
      </c>
    </row>
    <row r="14" spans="1:8" ht="15" customHeight="1" x14ac:dyDescent="0.2">
      <c r="A14" s="9"/>
      <c r="B14" s="8"/>
      <c r="C14" s="8"/>
      <c r="D14" s="8"/>
      <c r="E14" s="8"/>
      <c r="F14" s="11" t="str">
        <f>IFERROR(INDEX(Reference!$B$23:$B$24,MATCH(D14,Reference!$A$23:$A$24,0)),"")</f>
        <v/>
      </c>
      <c r="G14" s="11" t="str">
        <f t="shared" si="0"/>
        <v/>
      </c>
      <c r="H14" s="10" t="str">
        <f t="shared" si="1"/>
        <v/>
      </c>
    </row>
    <row r="15" spans="1:8" ht="15" customHeight="1" x14ac:dyDescent="0.2">
      <c r="A15" s="9"/>
      <c r="B15" s="8"/>
      <c r="C15" s="8"/>
      <c r="D15" s="8"/>
      <c r="E15" s="8"/>
      <c r="F15" s="11" t="str">
        <f>IFERROR(INDEX(Reference!$B$23:$B$24,MATCH(D15,Reference!$A$23:$A$24,0)),"")</f>
        <v/>
      </c>
      <c r="G15" s="11" t="str">
        <f t="shared" si="0"/>
        <v/>
      </c>
      <c r="H15" s="10" t="str">
        <f t="shared" si="1"/>
        <v/>
      </c>
    </row>
    <row r="16" spans="1:8" ht="15" customHeight="1" x14ac:dyDescent="0.2">
      <c r="A16" s="9"/>
      <c r="B16" s="8"/>
      <c r="C16" s="8"/>
      <c r="D16" s="8"/>
      <c r="E16" s="8"/>
      <c r="F16" s="11" t="str">
        <f>IFERROR(INDEX(Reference!$B$23:$B$24,MATCH(D16,Reference!$A$23:$A$24,0)),"")</f>
        <v/>
      </c>
      <c r="G16" s="11" t="str">
        <f t="shared" si="0"/>
        <v/>
      </c>
      <c r="H16" s="10" t="str">
        <f t="shared" si="1"/>
        <v/>
      </c>
    </row>
    <row r="17" spans="1:8" ht="15" customHeight="1" x14ac:dyDescent="0.2">
      <c r="A17" s="9"/>
      <c r="B17" s="8"/>
      <c r="C17" s="8"/>
      <c r="D17" s="8"/>
      <c r="E17" s="8"/>
      <c r="F17" s="11" t="str">
        <f>IFERROR(INDEX(Reference!$B$23:$B$24,MATCH(D17,Reference!$A$23:$A$24,0)),"")</f>
        <v/>
      </c>
      <c r="G17" s="11" t="str">
        <f t="shared" si="0"/>
        <v/>
      </c>
      <c r="H17" s="10" t="str">
        <f t="shared" si="1"/>
        <v/>
      </c>
    </row>
    <row r="18" spans="1:8" ht="15" customHeight="1" x14ac:dyDescent="0.2">
      <c r="A18" s="9"/>
      <c r="B18" s="8"/>
      <c r="C18" s="8"/>
      <c r="D18" s="8"/>
      <c r="E18" s="8"/>
      <c r="F18" s="11" t="str">
        <f>IFERROR(INDEX(Reference!$B$23:$B$24,MATCH(D18,Reference!$A$23:$A$24,0)),"")</f>
        <v/>
      </c>
      <c r="G18" s="11" t="str">
        <f t="shared" si="0"/>
        <v/>
      </c>
      <c r="H18" s="10" t="str">
        <f t="shared" si="1"/>
        <v/>
      </c>
    </row>
    <row r="19" spans="1:8" ht="15" customHeight="1" x14ac:dyDescent="0.2">
      <c r="A19" s="9"/>
      <c r="B19" s="8"/>
      <c r="C19" s="8"/>
      <c r="D19" s="8"/>
      <c r="E19" s="8"/>
      <c r="F19" s="11" t="str">
        <f>IFERROR(INDEX(Reference!$B$23:$B$24,MATCH(D19,Reference!$A$23:$A$24,0)),"")</f>
        <v/>
      </c>
      <c r="G19" s="11" t="str">
        <f t="shared" si="0"/>
        <v/>
      </c>
      <c r="H19" s="10" t="str">
        <f t="shared" si="1"/>
        <v/>
      </c>
    </row>
    <row r="20" spans="1:8" ht="15" customHeight="1" x14ac:dyDescent="0.2">
      <c r="A20" s="9"/>
      <c r="B20" s="8"/>
      <c r="C20" s="8"/>
      <c r="D20" s="8"/>
      <c r="E20" s="8"/>
      <c r="F20" s="11" t="str">
        <f>IFERROR(INDEX(Reference!$B$23:$B$24,MATCH(D20,Reference!$A$23:$A$24,0)),"")</f>
        <v/>
      </c>
      <c r="G20" s="11" t="str">
        <f t="shared" si="0"/>
        <v/>
      </c>
      <c r="H20" s="10" t="str">
        <f t="shared" si="1"/>
        <v/>
      </c>
    </row>
    <row r="21" spans="1:8" ht="15" customHeight="1" x14ac:dyDescent="0.2">
      <c r="A21" s="9"/>
      <c r="B21" s="8"/>
      <c r="C21" s="8"/>
      <c r="D21" s="8"/>
      <c r="E21" s="8"/>
      <c r="F21" s="11" t="str">
        <f>IFERROR(INDEX(Reference!$B$23:$B$24,MATCH(D21,Reference!$A$23:$A$24,0)),"")</f>
        <v/>
      </c>
      <c r="G21" s="11" t="str">
        <f t="shared" si="0"/>
        <v/>
      </c>
      <c r="H21" s="10" t="str">
        <f t="shared" si="1"/>
        <v/>
      </c>
    </row>
    <row r="22" spans="1:8" ht="15" customHeight="1" x14ac:dyDescent="0.2">
      <c r="A22" s="9"/>
      <c r="B22" s="8"/>
      <c r="C22" s="8"/>
      <c r="D22" s="8"/>
      <c r="E22" s="8"/>
      <c r="F22" s="11" t="str">
        <f>IFERROR(INDEX(Reference!$B$23:$B$24,MATCH(D22,Reference!$A$23:$A$24,0)),"")</f>
        <v/>
      </c>
      <c r="G22" s="11" t="str">
        <f t="shared" si="0"/>
        <v/>
      </c>
      <c r="H22" s="10" t="str">
        <f t="shared" si="1"/>
        <v/>
      </c>
    </row>
    <row r="23" spans="1:8" ht="15" customHeight="1" x14ac:dyDescent="0.2">
      <c r="A23" s="9"/>
      <c r="B23" s="8"/>
      <c r="C23" s="8"/>
      <c r="D23" s="8"/>
      <c r="E23" s="8"/>
      <c r="F23" s="11" t="str">
        <f>IFERROR(INDEX(Reference!$B$23:$B$24,MATCH(D23,Reference!$A$23:$A$24,0)),"")</f>
        <v/>
      </c>
      <c r="G23" s="11" t="str">
        <f t="shared" si="0"/>
        <v/>
      </c>
      <c r="H23" s="10" t="str">
        <f t="shared" si="1"/>
        <v/>
      </c>
    </row>
    <row r="24" spans="1:8" ht="15" customHeight="1" x14ac:dyDescent="0.2">
      <c r="A24" s="9"/>
      <c r="B24" s="8"/>
      <c r="C24" s="8"/>
      <c r="D24" s="8"/>
      <c r="E24" s="8"/>
      <c r="F24" s="11" t="str">
        <f>IFERROR(INDEX(Reference!$B$23:$B$24,MATCH(D24,Reference!$A$23:$A$24,0)),"")</f>
        <v/>
      </c>
      <c r="G24" s="11" t="str">
        <f t="shared" si="0"/>
        <v/>
      </c>
      <c r="H24" s="10" t="str">
        <f t="shared" si="1"/>
        <v/>
      </c>
    </row>
    <row r="25" spans="1:8" ht="15" customHeight="1" x14ac:dyDescent="0.2">
      <c r="A25" s="9"/>
      <c r="B25" s="8"/>
      <c r="C25" s="8"/>
      <c r="D25" s="8"/>
      <c r="E25" s="8"/>
      <c r="F25" s="11" t="str">
        <f>IFERROR(INDEX(Reference!$B$23:$B$24,MATCH(D25,Reference!$A$23:$A$24,0)),"")</f>
        <v/>
      </c>
      <c r="G25" s="11" t="str">
        <f t="shared" si="0"/>
        <v/>
      </c>
      <c r="H25" s="10" t="str">
        <f t="shared" si="1"/>
        <v/>
      </c>
    </row>
    <row r="26" spans="1:8" ht="15" customHeight="1" x14ac:dyDescent="0.2">
      <c r="A26" s="9"/>
      <c r="B26" s="8"/>
      <c r="C26" s="8"/>
      <c r="D26" s="8"/>
      <c r="E26" s="8"/>
      <c r="F26" s="11" t="str">
        <f>IFERROR(INDEX(Reference!$B$23:$B$24,MATCH(D26,Reference!$A$23:$A$24,0)),"")</f>
        <v/>
      </c>
      <c r="G26" s="11" t="str">
        <f t="shared" si="0"/>
        <v/>
      </c>
      <c r="H26" s="10" t="str">
        <f t="shared" si="1"/>
        <v/>
      </c>
    </row>
    <row r="27" spans="1:8" ht="15" customHeight="1" x14ac:dyDescent="0.2">
      <c r="A27" s="9"/>
      <c r="B27" s="8"/>
      <c r="C27" s="8"/>
      <c r="D27" s="8"/>
      <c r="E27" s="8"/>
      <c r="F27" s="11" t="str">
        <f>IFERROR(INDEX(Reference!$B$23:$B$24,MATCH(D27,Reference!$A$23:$A$24,0)),"")</f>
        <v/>
      </c>
      <c r="G27" s="11" t="str">
        <f t="shared" si="0"/>
        <v/>
      </c>
      <c r="H27" s="10" t="str">
        <f t="shared" si="1"/>
        <v/>
      </c>
    </row>
    <row r="28" spans="1:8" ht="15" customHeight="1" x14ac:dyDescent="0.2">
      <c r="A28" s="9"/>
      <c r="B28" s="8"/>
      <c r="C28" s="8"/>
      <c r="D28" s="8"/>
      <c r="E28" s="8"/>
      <c r="F28" s="11" t="str">
        <f>IFERROR(INDEX(Reference!$B$23:$B$24,MATCH(D28,Reference!$A$23:$A$24,0)),"")</f>
        <v/>
      </c>
      <c r="G28" s="11" t="str">
        <f t="shared" si="0"/>
        <v/>
      </c>
      <c r="H28" s="10" t="str">
        <f t="shared" si="1"/>
        <v/>
      </c>
    </row>
    <row r="29" spans="1:8" ht="15" customHeight="1" x14ac:dyDescent="0.2">
      <c r="A29" s="9"/>
      <c r="B29" s="8"/>
      <c r="C29" s="8"/>
      <c r="D29" s="8"/>
      <c r="E29" s="8"/>
      <c r="F29" s="11" t="str">
        <f>IFERROR(INDEX(Reference!$B$23:$B$24,MATCH(D29,Reference!$A$23:$A$24,0)),"")</f>
        <v/>
      </c>
      <c r="G29" s="11" t="str">
        <f t="shared" si="0"/>
        <v/>
      </c>
      <c r="H29" s="10" t="str">
        <f t="shared" si="1"/>
        <v/>
      </c>
    </row>
    <row r="30" spans="1:8" ht="15" customHeight="1" x14ac:dyDescent="0.2">
      <c r="A30" s="9"/>
      <c r="B30" s="8"/>
      <c r="C30" s="8"/>
      <c r="D30" s="8"/>
      <c r="E30" s="8"/>
      <c r="F30" s="11" t="str">
        <f>IFERROR(INDEX(Reference!$B$23:$B$24,MATCH(D30,Reference!$A$23:$A$24,0)),"")</f>
        <v/>
      </c>
      <c r="G30" s="11" t="str">
        <f t="shared" si="0"/>
        <v/>
      </c>
      <c r="H30" s="10" t="str">
        <f t="shared" si="1"/>
        <v/>
      </c>
    </row>
    <row r="31" spans="1:8" ht="15" customHeight="1" x14ac:dyDescent="0.2">
      <c r="A31" s="9"/>
      <c r="B31" s="8"/>
      <c r="C31" s="8"/>
      <c r="D31" s="8"/>
      <c r="E31" s="8"/>
      <c r="F31" s="11" t="str">
        <f>IFERROR(INDEX(Reference!$B$23:$B$24,MATCH(D31,Reference!$A$23:$A$24,0)),"")</f>
        <v/>
      </c>
      <c r="G31" s="11" t="str">
        <f t="shared" si="0"/>
        <v/>
      </c>
      <c r="H31" s="10" t="str">
        <f t="shared" si="1"/>
        <v/>
      </c>
    </row>
    <row r="32" spans="1:8" ht="15" customHeight="1" x14ac:dyDescent="0.2">
      <c r="A32" s="9"/>
      <c r="B32" s="8"/>
      <c r="C32" s="8"/>
      <c r="D32" s="8"/>
      <c r="E32" s="8"/>
      <c r="F32" s="11" t="str">
        <f>IFERROR(INDEX(Reference!$B$23:$B$24,MATCH(D32,Reference!$A$23:$A$24,0)),"")</f>
        <v/>
      </c>
      <c r="G32" s="11" t="str">
        <f t="shared" si="0"/>
        <v/>
      </c>
      <c r="H32" s="10" t="str">
        <f t="shared" si="1"/>
        <v/>
      </c>
    </row>
    <row r="33" spans="1:8" ht="15" customHeight="1" x14ac:dyDescent="0.2">
      <c r="A33" s="9"/>
      <c r="B33" s="8"/>
      <c r="C33" s="8"/>
      <c r="D33" s="8"/>
      <c r="E33" s="8"/>
      <c r="F33" s="11" t="str">
        <f>IFERROR(INDEX(Reference!$B$23:$B$24,MATCH(D33,Reference!$A$23:$A$24,0)),"")</f>
        <v/>
      </c>
      <c r="G33" s="11" t="str">
        <f t="shared" si="0"/>
        <v/>
      </c>
      <c r="H33" s="10" t="str">
        <f t="shared" si="1"/>
        <v/>
      </c>
    </row>
    <row r="34" spans="1:8" ht="15" customHeight="1" x14ac:dyDescent="0.2">
      <c r="A34" s="9"/>
      <c r="B34" s="8"/>
      <c r="C34" s="8"/>
      <c r="D34" s="8"/>
      <c r="E34" s="8"/>
      <c r="F34" s="11" t="str">
        <f>IFERROR(INDEX(Reference!$B$23:$B$24,MATCH(D34,Reference!$A$23:$A$24,0)),"")</f>
        <v/>
      </c>
      <c r="G34" s="11" t="str">
        <f t="shared" si="0"/>
        <v/>
      </c>
      <c r="H34" s="10" t="str">
        <f t="shared" si="1"/>
        <v/>
      </c>
    </row>
    <row r="35" spans="1:8" ht="15" customHeight="1" x14ac:dyDescent="0.2">
      <c r="A35" s="9"/>
      <c r="B35" s="8"/>
      <c r="C35" s="8"/>
      <c r="D35" s="8"/>
      <c r="E35" s="8"/>
      <c r="F35" s="11" t="str">
        <f>IFERROR(INDEX(Reference!$B$23:$B$24,MATCH(D35,Reference!$A$23:$A$24,0)),"")</f>
        <v/>
      </c>
      <c r="G35" s="11" t="str">
        <f t="shared" si="0"/>
        <v/>
      </c>
      <c r="H35" s="10" t="str">
        <f t="shared" si="1"/>
        <v/>
      </c>
    </row>
    <row r="36" spans="1:8" ht="15" customHeight="1" x14ac:dyDescent="0.2">
      <c r="A36" s="9"/>
      <c r="B36" s="8"/>
      <c r="C36" s="8"/>
      <c r="D36" s="8"/>
      <c r="E36" s="8"/>
      <c r="F36" s="11" t="str">
        <f>IFERROR(INDEX(Reference!$B$23:$B$24,MATCH(D36,Reference!$A$23:$A$24,0)),"")</f>
        <v/>
      </c>
      <c r="G36" s="11" t="str">
        <f t="shared" si="0"/>
        <v/>
      </c>
      <c r="H36" s="10" t="str">
        <f t="shared" si="1"/>
        <v/>
      </c>
    </row>
    <row r="37" spans="1:8" ht="15" customHeight="1" x14ac:dyDescent="0.2">
      <c r="A37" s="9"/>
      <c r="B37" s="8"/>
      <c r="C37" s="8"/>
      <c r="D37" s="8"/>
      <c r="E37" s="8"/>
      <c r="F37" s="11" t="str">
        <f>IFERROR(INDEX(Reference!$B$23:$B$24,MATCH(D37,Reference!$A$23:$A$24,0)),"")</f>
        <v/>
      </c>
      <c r="G37" s="11" t="str">
        <f t="shared" si="0"/>
        <v/>
      </c>
      <c r="H37" s="10" t="str">
        <f t="shared" si="1"/>
        <v/>
      </c>
    </row>
    <row r="38" spans="1:8" ht="15" customHeight="1" x14ac:dyDescent="0.2">
      <c r="A38" s="9"/>
      <c r="B38" s="8"/>
      <c r="C38" s="8"/>
      <c r="D38" s="8"/>
      <c r="E38" s="8"/>
      <c r="F38" s="11" t="str">
        <f>IFERROR(INDEX(Reference!$B$23:$B$24,MATCH(D38,Reference!$A$23:$A$24,0)),"")</f>
        <v/>
      </c>
      <c r="G38" s="11" t="str">
        <f t="shared" si="0"/>
        <v/>
      </c>
      <c r="H38" s="10" t="str">
        <f t="shared" si="1"/>
        <v/>
      </c>
    </row>
    <row r="39" spans="1:8" ht="15" customHeight="1" x14ac:dyDescent="0.2">
      <c r="A39" s="9"/>
      <c r="B39" s="8"/>
      <c r="C39" s="8"/>
      <c r="D39" s="8"/>
      <c r="E39" s="8"/>
      <c r="F39" s="11" t="str">
        <f>IFERROR(INDEX(Reference!$B$23:$B$24,MATCH(D39,Reference!$A$23:$A$24,0)),"")</f>
        <v/>
      </c>
      <c r="G39" s="11" t="str">
        <f t="shared" si="0"/>
        <v/>
      </c>
      <c r="H39" s="10" t="str">
        <f t="shared" si="1"/>
        <v/>
      </c>
    </row>
    <row r="40" spans="1:8" ht="15" customHeight="1" x14ac:dyDescent="0.2">
      <c r="A40" s="9"/>
      <c r="B40" s="8"/>
      <c r="C40" s="8"/>
      <c r="D40" s="8"/>
      <c r="E40" s="8"/>
      <c r="F40" s="11" t="str">
        <f>IFERROR(INDEX(Reference!$B$23:$B$24,MATCH(D40,Reference!$A$23:$A$24,0)),"")</f>
        <v/>
      </c>
      <c r="G40" s="11" t="str">
        <f t="shared" si="0"/>
        <v/>
      </c>
      <c r="H40" s="10" t="str">
        <f t="shared" si="1"/>
        <v/>
      </c>
    </row>
    <row r="41" spans="1:8" ht="15" customHeight="1" x14ac:dyDescent="0.2">
      <c r="A41" s="9"/>
      <c r="B41" s="8"/>
      <c r="C41" s="8"/>
      <c r="D41" s="8"/>
      <c r="E41" s="8"/>
      <c r="F41" s="11" t="str">
        <f>IFERROR(INDEX(Reference!$B$23:$B$24,MATCH(D41,Reference!$A$23:$A$24,0)),"")</f>
        <v/>
      </c>
      <c r="G41" s="11" t="str">
        <f t="shared" si="0"/>
        <v/>
      </c>
      <c r="H41" s="10" t="str">
        <f t="shared" si="1"/>
        <v/>
      </c>
    </row>
    <row r="42" spans="1:8" ht="15" customHeight="1" x14ac:dyDescent="0.2">
      <c r="A42" s="9"/>
      <c r="B42" s="8"/>
      <c r="C42" s="8"/>
      <c r="D42" s="8"/>
      <c r="E42" s="8"/>
      <c r="F42" s="11" t="str">
        <f>IFERROR(INDEX(Reference!$B$23:$B$24,MATCH(D42,Reference!$A$23:$A$24,0)),"")</f>
        <v/>
      </c>
      <c r="G42" s="11" t="str">
        <f t="shared" si="0"/>
        <v/>
      </c>
      <c r="H42" s="10" t="str">
        <f t="shared" si="1"/>
        <v/>
      </c>
    </row>
    <row r="43" spans="1:8" ht="15" customHeight="1" x14ac:dyDescent="0.2">
      <c r="A43" s="9"/>
      <c r="B43" s="8"/>
      <c r="C43" s="8"/>
      <c r="D43" s="8"/>
      <c r="E43" s="8"/>
      <c r="F43" s="11" t="str">
        <f>IFERROR(INDEX(Reference!$B$23:$B$24,MATCH(D43,Reference!$A$23:$A$24,0)),"")</f>
        <v/>
      </c>
      <c r="G43" s="11" t="str">
        <f t="shared" si="0"/>
        <v/>
      </c>
      <c r="H43" s="10" t="str">
        <f t="shared" si="1"/>
        <v/>
      </c>
    </row>
    <row r="44" spans="1:8" ht="15" customHeight="1" x14ac:dyDescent="0.2">
      <c r="A44" s="9"/>
      <c r="B44" s="8"/>
      <c r="C44" s="8"/>
      <c r="D44" s="8"/>
      <c r="E44" s="8"/>
      <c r="F44" s="11" t="str">
        <f>IFERROR(INDEX(Reference!$B$23:$B$24,MATCH(D44,Reference!$A$23:$A$24,0)),"")</f>
        <v/>
      </c>
      <c r="G44" s="11" t="str">
        <f t="shared" si="0"/>
        <v/>
      </c>
      <c r="H44" s="10" t="str">
        <f t="shared" si="1"/>
        <v/>
      </c>
    </row>
    <row r="45" spans="1:8" ht="15" customHeight="1" x14ac:dyDescent="0.2">
      <c r="A45" s="9"/>
      <c r="B45" s="8"/>
      <c r="C45" s="8"/>
      <c r="D45" s="8"/>
      <c r="E45" s="8"/>
      <c r="F45" s="11" t="str">
        <f>IFERROR(INDEX(Reference!$B$23:$B$24,MATCH(D45,Reference!$A$23:$A$24,0)),"")</f>
        <v/>
      </c>
      <c r="G45" s="11" t="str">
        <f t="shared" si="0"/>
        <v/>
      </c>
      <c r="H45" s="10" t="str">
        <f t="shared" si="1"/>
        <v/>
      </c>
    </row>
    <row r="46" spans="1:8" ht="15" customHeight="1" x14ac:dyDescent="0.2">
      <c r="A46" s="9"/>
      <c r="B46" s="8"/>
      <c r="C46" s="8"/>
      <c r="D46" s="8"/>
      <c r="E46" s="8"/>
      <c r="F46" s="11" t="str">
        <f>IFERROR(INDEX(Reference!$B$23:$B$24,MATCH(D46,Reference!$A$23:$A$24,0)),"")</f>
        <v/>
      </c>
      <c r="G46" s="11" t="str">
        <f t="shared" si="0"/>
        <v/>
      </c>
      <c r="H46" s="10" t="str">
        <f t="shared" si="1"/>
        <v/>
      </c>
    </row>
    <row r="47" spans="1:8" ht="15" customHeight="1" x14ac:dyDescent="0.2">
      <c r="A47" s="9"/>
      <c r="B47" s="8"/>
      <c r="C47" s="8"/>
      <c r="D47" s="8"/>
      <c r="E47" s="8"/>
      <c r="F47" s="11" t="str">
        <f>IFERROR(INDEX(Reference!$B$23:$B$24,MATCH(D47,Reference!$A$23:$A$24,0)),"")</f>
        <v/>
      </c>
      <c r="G47" s="11" t="str">
        <f t="shared" si="0"/>
        <v/>
      </c>
      <c r="H47" s="10" t="str">
        <f t="shared" si="1"/>
        <v/>
      </c>
    </row>
    <row r="48" spans="1:8" ht="15" customHeight="1" x14ac:dyDescent="0.2">
      <c r="A48" s="9"/>
      <c r="B48" s="8"/>
      <c r="C48" s="8"/>
      <c r="D48" s="8"/>
      <c r="E48" s="8"/>
      <c r="F48" s="11" t="str">
        <f>IFERROR(INDEX(Reference!$B$23:$B$24,MATCH(D48,Reference!$A$23:$A$24,0)),"")</f>
        <v/>
      </c>
      <c r="G48" s="11" t="str">
        <f t="shared" si="0"/>
        <v/>
      </c>
      <c r="H48" s="10" t="str">
        <f t="shared" si="1"/>
        <v/>
      </c>
    </row>
    <row r="49" spans="1:8" ht="15" customHeight="1" x14ac:dyDescent="0.2">
      <c r="A49" s="9"/>
      <c r="B49" s="8"/>
      <c r="C49" s="8"/>
      <c r="D49" s="8"/>
      <c r="E49" s="8"/>
      <c r="F49" s="11" t="str">
        <f>IFERROR(INDEX(Reference!$B$23:$B$24,MATCH(D49,Reference!$A$23:$A$24,0)),"")</f>
        <v/>
      </c>
      <c r="G49" s="11" t="str">
        <f t="shared" si="0"/>
        <v/>
      </c>
      <c r="H49" s="10" t="str">
        <f t="shared" si="1"/>
        <v/>
      </c>
    </row>
    <row r="50" spans="1:8" ht="15" customHeight="1" x14ac:dyDescent="0.2">
      <c r="A50" s="9"/>
      <c r="B50" s="8"/>
      <c r="C50" s="8"/>
      <c r="D50" s="8"/>
      <c r="E50" s="8"/>
      <c r="F50" s="11" t="str">
        <f>IFERROR(INDEX(Reference!$B$23:$B$24,MATCH(D50,Reference!$A$23:$A$24,0)),"")</f>
        <v/>
      </c>
      <c r="G50" s="11" t="str">
        <f t="shared" si="0"/>
        <v/>
      </c>
      <c r="H50" s="10" t="str">
        <f t="shared" si="1"/>
        <v/>
      </c>
    </row>
    <row r="51" spans="1:8" ht="15" customHeight="1" x14ac:dyDescent="0.2">
      <c r="A51" s="9"/>
      <c r="B51" s="8"/>
      <c r="C51" s="8"/>
      <c r="D51" s="8"/>
      <c r="E51" s="8"/>
      <c r="F51" s="11" t="str">
        <f>IFERROR(INDEX(Reference!$B$23:$B$24,MATCH(D51,Reference!$A$23:$A$24,0)),"")</f>
        <v/>
      </c>
      <c r="G51" s="11" t="str">
        <f t="shared" si="0"/>
        <v/>
      </c>
      <c r="H51" s="10" t="str">
        <f t="shared" si="1"/>
        <v/>
      </c>
    </row>
    <row r="52" spans="1:8" ht="15" customHeight="1" x14ac:dyDescent="0.2">
      <c r="A52" s="9"/>
      <c r="B52" s="8"/>
      <c r="C52" s="8"/>
      <c r="D52" s="8"/>
      <c r="E52" s="8"/>
      <c r="F52" s="11" t="str">
        <f>IFERROR(INDEX(Reference!$B$23:$B$24,MATCH(D52,Reference!$A$23:$A$24,0)),"")</f>
        <v/>
      </c>
      <c r="G52" s="11" t="str">
        <f t="shared" si="0"/>
        <v/>
      </c>
      <c r="H52" s="10" t="str">
        <f t="shared" si="1"/>
        <v/>
      </c>
    </row>
    <row r="53" spans="1:8" ht="15" customHeight="1" x14ac:dyDescent="0.2">
      <c r="A53" s="9"/>
      <c r="B53" s="8"/>
      <c r="C53" s="8"/>
      <c r="D53" s="8"/>
      <c r="E53" s="8"/>
      <c r="F53" s="11" t="str">
        <f>IFERROR(INDEX(Reference!$B$23:$B$24,MATCH(D53,Reference!$A$23:$A$24,0)),"")</f>
        <v/>
      </c>
      <c r="G53" s="11" t="str">
        <f t="shared" si="0"/>
        <v/>
      </c>
      <c r="H53" s="10" t="str">
        <f t="shared" si="1"/>
        <v/>
      </c>
    </row>
    <row r="54" spans="1:8" ht="15" customHeight="1" x14ac:dyDescent="0.2">
      <c r="A54" s="9"/>
      <c r="B54" s="8"/>
      <c r="C54" s="8"/>
      <c r="D54" s="8"/>
      <c r="E54" s="8"/>
      <c r="F54" s="11" t="str">
        <f>IFERROR(INDEX(Reference!$B$23:$B$24,MATCH(D54,Reference!$A$23:$A$24,0)),"")</f>
        <v/>
      </c>
      <c r="G54" s="11" t="str">
        <f t="shared" si="0"/>
        <v/>
      </c>
      <c r="H54" s="10" t="str">
        <f t="shared" si="1"/>
        <v/>
      </c>
    </row>
    <row r="55" spans="1:8" ht="15" customHeight="1" x14ac:dyDescent="0.2">
      <c r="A55" s="9"/>
      <c r="B55" s="8"/>
      <c r="C55" s="8"/>
      <c r="D55" s="8"/>
      <c r="E55" s="8"/>
      <c r="F55" s="11" t="str">
        <f>IFERROR(INDEX(Reference!$B$23:$B$24,MATCH(D55,Reference!$A$23:$A$24,0)),"")</f>
        <v/>
      </c>
      <c r="G55" s="11" t="str">
        <f t="shared" si="0"/>
        <v/>
      </c>
      <c r="H55" s="10" t="str">
        <f t="shared" si="1"/>
        <v/>
      </c>
    </row>
    <row r="56" spans="1:8" ht="15" customHeight="1" x14ac:dyDescent="0.2">
      <c r="A56" s="9"/>
      <c r="B56" s="8"/>
      <c r="C56" s="8"/>
      <c r="D56" s="8"/>
      <c r="E56" s="8"/>
      <c r="F56" s="11" t="str">
        <f>IFERROR(INDEX(Reference!$B$23:$B$24,MATCH(D56,Reference!$A$23:$A$24,0)),"")</f>
        <v/>
      </c>
      <c r="G56" s="11" t="str">
        <f t="shared" si="0"/>
        <v/>
      </c>
      <c r="H56" s="10" t="str">
        <f t="shared" si="1"/>
        <v/>
      </c>
    </row>
    <row r="57" spans="1:8" ht="15" customHeight="1" x14ac:dyDescent="0.2">
      <c r="A57" s="9"/>
      <c r="B57" s="8"/>
      <c r="C57" s="8"/>
      <c r="D57" s="8"/>
      <c r="E57" s="8"/>
      <c r="F57" s="11" t="str">
        <f>IFERROR(INDEX(Reference!$B$23:$B$24,MATCH(D57,Reference!$A$23:$A$24,0)),"")</f>
        <v/>
      </c>
      <c r="G57" s="11" t="str">
        <f t="shared" si="0"/>
        <v/>
      </c>
      <c r="H57" s="10" t="str">
        <f t="shared" si="1"/>
        <v/>
      </c>
    </row>
    <row r="58" spans="1:8" ht="15" customHeight="1" x14ac:dyDescent="0.2">
      <c r="A58" s="9"/>
      <c r="B58" s="8"/>
      <c r="C58" s="8"/>
      <c r="D58" s="8"/>
      <c r="E58" s="8"/>
      <c r="F58" s="11" t="str">
        <f>IFERROR(INDEX(Reference!$B$23:$B$24,MATCH(D58,Reference!$A$23:$A$24,0)),"")</f>
        <v/>
      </c>
      <c r="G58" s="11" t="str">
        <f t="shared" si="0"/>
        <v/>
      </c>
      <c r="H58" s="10" t="str">
        <f t="shared" si="1"/>
        <v/>
      </c>
    </row>
    <row r="59" spans="1:8" ht="15" customHeight="1" x14ac:dyDescent="0.2">
      <c r="A59" s="9"/>
      <c r="B59" s="8"/>
      <c r="C59" s="8"/>
      <c r="D59" s="8"/>
      <c r="E59" s="8"/>
      <c r="F59" s="11" t="str">
        <f>IFERROR(INDEX(Reference!$B$23:$B$24,MATCH(D59,Reference!$A$23:$A$24,0)),"")</f>
        <v/>
      </c>
      <c r="G59" s="11" t="str">
        <f t="shared" si="0"/>
        <v/>
      </c>
      <c r="H59" s="10" t="str">
        <f t="shared" si="1"/>
        <v/>
      </c>
    </row>
    <row r="60" spans="1:8" ht="15" customHeight="1" x14ac:dyDescent="0.2">
      <c r="A60" s="9"/>
      <c r="B60" s="8"/>
      <c r="C60" s="8"/>
      <c r="D60" s="8"/>
      <c r="E60" s="8"/>
      <c r="F60" s="11" t="str">
        <f>IFERROR(INDEX(Reference!$B$23:$B$24,MATCH(D60,Reference!$A$23:$A$24,0)),"")</f>
        <v/>
      </c>
      <c r="G60" s="11" t="str">
        <f t="shared" si="0"/>
        <v/>
      </c>
      <c r="H60" s="10" t="str">
        <f t="shared" si="1"/>
        <v/>
      </c>
    </row>
    <row r="61" spans="1:8" ht="15" customHeight="1" x14ac:dyDescent="0.2">
      <c r="A61" s="9"/>
      <c r="B61" s="8"/>
      <c r="C61" s="8"/>
      <c r="D61" s="8"/>
      <c r="E61" s="8"/>
      <c r="F61" s="11" t="str">
        <f>IFERROR(INDEX(Reference!$B$23:$B$24,MATCH(D61,Reference!$A$23:$A$24,0)),"")</f>
        <v/>
      </c>
      <c r="G61" s="11" t="str">
        <f t="shared" si="0"/>
        <v/>
      </c>
      <c r="H61" s="10" t="str">
        <f t="shared" si="1"/>
        <v/>
      </c>
    </row>
    <row r="62" spans="1:8" ht="15" customHeight="1" x14ac:dyDescent="0.2">
      <c r="A62" s="9"/>
      <c r="B62" s="8"/>
      <c r="C62" s="8"/>
      <c r="D62" s="8"/>
      <c r="E62" s="8"/>
      <c r="F62" s="11" t="str">
        <f>IFERROR(INDEX(Reference!$B$23:$B$24,MATCH(D62,Reference!$A$23:$A$24,0)),"")</f>
        <v/>
      </c>
      <c r="G62" s="11" t="str">
        <f t="shared" si="0"/>
        <v/>
      </c>
      <c r="H62" s="10" t="str">
        <f t="shared" si="1"/>
        <v/>
      </c>
    </row>
    <row r="63" spans="1:8" ht="15" customHeight="1" x14ac:dyDescent="0.2">
      <c r="A63" s="9"/>
      <c r="B63" s="8"/>
      <c r="C63" s="8"/>
      <c r="D63" s="8"/>
      <c r="E63" s="8"/>
      <c r="F63" s="11" t="str">
        <f>IFERROR(INDEX(Reference!$B$23:$B$24,MATCH(D63,Reference!$A$23:$A$24,0)),"")</f>
        <v/>
      </c>
      <c r="G63" s="11" t="str">
        <f t="shared" si="0"/>
        <v/>
      </c>
      <c r="H63" s="10" t="str">
        <f t="shared" si="1"/>
        <v/>
      </c>
    </row>
    <row r="64" spans="1:8" ht="15" customHeight="1" x14ac:dyDescent="0.2">
      <c r="A64" s="9"/>
      <c r="B64" s="8"/>
      <c r="C64" s="8"/>
      <c r="D64" s="8"/>
      <c r="E64" s="8"/>
      <c r="F64" s="11" t="str">
        <f>IFERROR(INDEX(Reference!$B$23:$B$24,MATCH(D64,Reference!$A$23:$A$24,0)),"")</f>
        <v/>
      </c>
      <c r="G64" s="11" t="str">
        <f t="shared" si="0"/>
        <v/>
      </c>
      <c r="H64" s="10" t="str">
        <f t="shared" si="1"/>
        <v/>
      </c>
    </row>
    <row r="65" spans="1:8" ht="15" customHeight="1" x14ac:dyDescent="0.2">
      <c r="A65" s="9"/>
      <c r="B65" s="8"/>
      <c r="C65" s="8"/>
      <c r="D65" s="8"/>
      <c r="E65" s="8"/>
      <c r="F65" s="11" t="str">
        <f>IFERROR(INDEX(Reference!$B$23:$B$24,MATCH(D65,Reference!$A$23:$A$24,0)),"")</f>
        <v/>
      </c>
      <c r="G65" s="11" t="str">
        <f t="shared" si="0"/>
        <v/>
      </c>
      <c r="H65" s="10" t="str">
        <f t="shared" si="1"/>
        <v/>
      </c>
    </row>
    <row r="66" spans="1:8" ht="15" customHeight="1" x14ac:dyDescent="0.2">
      <c r="A66" s="9"/>
      <c r="B66" s="8"/>
      <c r="C66" s="8"/>
      <c r="D66" s="8"/>
      <c r="E66" s="8"/>
      <c r="F66" s="11" t="str">
        <f>IFERROR(INDEX(Reference!$B$23:$B$24,MATCH(D66,Reference!$A$23:$A$24,0)),"")</f>
        <v/>
      </c>
      <c r="G66" s="11" t="str">
        <f t="shared" ref="G66:G129" si="2">IF(OR(E66="",F66=""),"",E66*F66)</f>
        <v/>
      </c>
      <c r="H66" s="10" t="str">
        <f t="shared" ref="H66:H129" si="3">IF(A66="","",IF(MONTH(A66)&gt;=8,YEAR(A66)&amp;"-"&amp;RIGHT(YEAR(A66)+1,2),YEAR(A66)-1&amp;"-"&amp;RIGHT(YEAR(A66),2)))</f>
        <v/>
      </c>
    </row>
    <row r="67" spans="1:8" ht="15" customHeight="1" x14ac:dyDescent="0.2">
      <c r="A67" s="9"/>
      <c r="B67" s="8"/>
      <c r="C67" s="8"/>
      <c r="D67" s="8"/>
      <c r="E67" s="8"/>
      <c r="F67" s="11" t="str">
        <f>IFERROR(INDEX(Reference!$B$23:$B$24,MATCH(D67,Reference!$A$23:$A$24,0)),"")</f>
        <v/>
      </c>
      <c r="G67" s="11" t="str">
        <f t="shared" si="2"/>
        <v/>
      </c>
      <c r="H67" s="10" t="str">
        <f t="shared" si="3"/>
        <v/>
      </c>
    </row>
    <row r="68" spans="1:8" ht="15" customHeight="1" x14ac:dyDescent="0.2">
      <c r="A68" s="9"/>
      <c r="B68" s="8"/>
      <c r="C68" s="8"/>
      <c r="D68" s="8"/>
      <c r="E68" s="8"/>
      <c r="F68" s="11" t="str">
        <f>IFERROR(INDEX(Reference!$B$23:$B$24,MATCH(D68,Reference!$A$23:$A$24,0)),"")</f>
        <v/>
      </c>
      <c r="G68" s="11" t="str">
        <f t="shared" si="2"/>
        <v/>
      </c>
      <c r="H68" s="10" t="str">
        <f t="shared" si="3"/>
        <v/>
      </c>
    </row>
    <row r="69" spans="1:8" ht="15" customHeight="1" x14ac:dyDescent="0.2">
      <c r="A69" s="9"/>
      <c r="B69" s="8"/>
      <c r="C69" s="8"/>
      <c r="D69" s="8"/>
      <c r="E69" s="8"/>
      <c r="F69" s="11" t="str">
        <f>IFERROR(INDEX(Reference!$B$23:$B$24,MATCH(D69,Reference!$A$23:$A$24,0)),"")</f>
        <v/>
      </c>
      <c r="G69" s="11" t="str">
        <f t="shared" si="2"/>
        <v/>
      </c>
      <c r="H69" s="10" t="str">
        <f t="shared" si="3"/>
        <v/>
      </c>
    </row>
    <row r="70" spans="1:8" ht="15" customHeight="1" x14ac:dyDescent="0.2">
      <c r="A70" s="9"/>
      <c r="B70" s="8"/>
      <c r="C70" s="8"/>
      <c r="D70" s="8"/>
      <c r="E70" s="8"/>
      <c r="F70" s="11" t="str">
        <f>IFERROR(INDEX(Reference!$B$23:$B$24,MATCH(D70,Reference!$A$23:$A$24,0)),"")</f>
        <v/>
      </c>
      <c r="G70" s="11" t="str">
        <f t="shared" si="2"/>
        <v/>
      </c>
      <c r="H70" s="10" t="str">
        <f t="shared" si="3"/>
        <v/>
      </c>
    </row>
    <row r="71" spans="1:8" ht="15" customHeight="1" x14ac:dyDescent="0.2">
      <c r="A71" s="9"/>
      <c r="B71" s="8"/>
      <c r="C71" s="8"/>
      <c r="D71" s="8"/>
      <c r="E71" s="8"/>
      <c r="F71" s="11" t="str">
        <f>IFERROR(INDEX(Reference!$B$23:$B$24,MATCH(D71,Reference!$A$23:$A$24,0)),"")</f>
        <v/>
      </c>
      <c r="G71" s="11" t="str">
        <f t="shared" si="2"/>
        <v/>
      </c>
      <c r="H71" s="10" t="str">
        <f t="shared" si="3"/>
        <v/>
      </c>
    </row>
    <row r="72" spans="1:8" ht="15" customHeight="1" x14ac:dyDescent="0.2">
      <c r="A72" s="9"/>
      <c r="B72" s="8"/>
      <c r="C72" s="8"/>
      <c r="D72" s="8"/>
      <c r="E72" s="8"/>
      <c r="F72" s="11" t="str">
        <f>IFERROR(INDEX(Reference!$B$23:$B$24,MATCH(D72,Reference!$A$23:$A$24,0)),"")</f>
        <v/>
      </c>
      <c r="G72" s="11" t="str">
        <f t="shared" si="2"/>
        <v/>
      </c>
      <c r="H72" s="10" t="str">
        <f t="shared" si="3"/>
        <v/>
      </c>
    </row>
    <row r="73" spans="1:8" ht="15" customHeight="1" x14ac:dyDescent="0.2">
      <c r="A73" s="9"/>
      <c r="B73" s="8"/>
      <c r="C73" s="8"/>
      <c r="D73" s="8"/>
      <c r="E73" s="8"/>
      <c r="F73" s="11" t="str">
        <f>IFERROR(INDEX(Reference!$B$23:$B$24,MATCH(D73,Reference!$A$23:$A$24,0)),"")</f>
        <v/>
      </c>
      <c r="G73" s="11" t="str">
        <f t="shared" si="2"/>
        <v/>
      </c>
      <c r="H73" s="10" t="str">
        <f t="shared" si="3"/>
        <v/>
      </c>
    </row>
    <row r="74" spans="1:8" ht="15" customHeight="1" x14ac:dyDescent="0.2">
      <c r="A74" s="9"/>
      <c r="B74" s="8"/>
      <c r="C74" s="8"/>
      <c r="D74" s="8"/>
      <c r="E74" s="8"/>
      <c r="F74" s="11" t="str">
        <f>IFERROR(INDEX(Reference!$B$23:$B$24,MATCH(D74,Reference!$A$23:$A$24,0)),"")</f>
        <v/>
      </c>
      <c r="G74" s="11" t="str">
        <f t="shared" si="2"/>
        <v/>
      </c>
      <c r="H74" s="10" t="str">
        <f t="shared" si="3"/>
        <v/>
      </c>
    </row>
    <row r="75" spans="1:8" ht="15" customHeight="1" x14ac:dyDescent="0.2">
      <c r="A75" s="9"/>
      <c r="B75" s="8"/>
      <c r="C75" s="8"/>
      <c r="D75" s="8"/>
      <c r="E75" s="8"/>
      <c r="F75" s="11" t="str">
        <f>IFERROR(INDEX(Reference!$B$23:$B$24,MATCH(D75,Reference!$A$23:$A$24,0)),"")</f>
        <v/>
      </c>
      <c r="G75" s="11" t="str">
        <f t="shared" si="2"/>
        <v/>
      </c>
      <c r="H75" s="10" t="str">
        <f t="shared" si="3"/>
        <v/>
      </c>
    </row>
    <row r="76" spans="1:8" ht="15" customHeight="1" x14ac:dyDescent="0.2">
      <c r="A76" s="9"/>
      <c r="B76" s="8"/>
      <c r="C76" s="8"/>
      <c r="D76" s="8"/>
      <c r="E76" s="8"/>
      <c r="F76" s="11" t="str">
        <f>IFERROR(INDEX(Reference!$B$23:$B$24,MATCH(D76,Reference!$A$23:$A$24,0)),"")</f>
        <v/>
      </c>
      <c r="G76" s="11" t="str">
        <f t="shared" si="2"/>
        <v/>
      </c>
      <c r="H76" s="10" t="str">
        <f t="shared" si="3"/>
        <v/>
      </c>
    </row>
    <row r="77" spans="1:8" ht="15" customHeight="1" x14ac:dyDescent="0.2">
      <c r="A77" s="9"/>
      <c r="B77" s="8"/>
      <c r="C77" s="8"/>
      <c r="D77" s="8"/>
      <c r="E77" s="8"/>
      <c r="F77" s="11" t="str">
        <f>IFERROR(INDEX(Reference!$B$23:$B$24,MATCH(D77,Reference!$A$23:$A$24,0)),"")</f>
        <v/>
      </c>
      <c r="G77" s="11" t="str">
        <f t="shared" si="2"/>
        <v/>
      </c>
      <c r="H77" s="10" t="str">
        <f t="shared" si="3"/>
        <v/>
      </c>
    </row>
    <row r="78" spans="1:8" ht="15" customHeight="1" x14ac:dyDescent="0.2">
      <c r="A78" s="9"/>
      <c r="B78" s="8"/>
      <c r="C78" s="8"/>
      <c r="D78" s="8"/>
      <c r="E78" s="8"/>
      <c r="F78" s="11" t="str">
        <f>IFERROR(INDEX(Reference!$B$23:$B$24,MATCH(D78,Reference!$A$23:$A$24,0)),"")</f>
        <v/>
      </c>
      <c r="G78" s="11" t="str">
        <f t="shared" si="2"/>
        <v/>
      </c>
      <c r="H78" s="10" t="str">
        <f t="shared" si="3"/>
        <v/>
      </c>
    </row>
    <row r="79" spans="1:8" ht="15" customHeight="1" x14ac:dyDescent="0.2">
      <c r="A79" s="9"/>
      <c r="B79" s="8"/>
      <c r="C79" s="8"/>
      <c r="D79" s="8"/>
      <c r="E79" s="8"/>
      <c r="F79" s="11" t="str">
        <f>IFERROR(INDEX(Reference!$B$23:$B$24,MATCH(D79,Reference!$A$23:$A$24,0)),"")</f>
        <v/>
      </c>
      <c r="G79" s="11" t="str">
        <f t="shared" si="2"/>
        <v/>
      </c>
      <c r="H79" s="10" t="str">
        <f t="shared" si="3"/>
        <v/>
      </c>
    </row>
    <row r="80" spans="1:8" ht="15" customHeight="1" x14ac:dyDescent="0.2">
      <c r="A80" s="9"/>
      <c r="B80" s="8"/>
      <c r="C80" s="8"/>
      <c r="D80" s="8"/>
      <c r="E80" s="8"/>
      <c r="F80" s="11" t="str">
        <f>IFERROR(INDEX(Reference!$B$23:$B$24,MATCH(D80,Reference!$A$23:$A$24,0)),"")</f>
        <v/>
      </c>
      <c r="G80" s="11" t="str">
        <f t="shared" si="2"/>
        <v/>
      </c>
      <c r="H80" s="10" t="str">
        <f t="shared" si="3"/>
        <v/>
      </c>
    </row>
    <row r="81" spans="1:8" ht="15" customHeight="1" x14ac:dyDescent="0.2">
      <c r="A81" s="9"/>
      <c r="B81" s="8"/>
      <c r="C81" s="8"/>
      <c r="D81" s="8"/>
      <c r="E81" s="8"/>
      <c r="F81" s="11" t="str">
        <f>IFERROR(INDEX(Reference!$B$23:$B$24,MATCH(D81,Reference!$A$23:$A$24,0)),"")</f>
        <v/>
      </c>
      <c r="G81" s="11" t="str">
        <f t="shared" si="2"/>
        <v/>
      </c>
      <c r="H81" s="10" t="str">
        <f t="shared" si="3"/>
        <v/>
      </c>
    </row>
    <row r="82" spans="1:8" ht="15" customHeight="1" x14ac:dyDescent="0.2">
      <c r="A82" s="9"/>
      <c r="B82" s="8"/>
      <c r="C82" s="8"/>
      <c r="D82" s="8"/>
      <c r="E82" s="8"/>
      <c r="F82" s="11" t="str">
        <f>IFERROR(INDEX(Reference!$B$23:$B$24,MATCH(D82,Reference!$A$23:$A$24,0)),"")</f>
        <v/>
      </c>
      <c r="G82" s="11" t="str">
        <f t="shared" si="2"/>
        <v/>
      </c>
      <c r="H82" s="10" t="str">
        <f t="shared" si="3"/>
        <v/>
      </c>
    </row>
    <row r="83" spans="1:8" ht="15" customHeight="1" x14ac:dyDescent="0.2">
      <c r="A83" s="9"/>
      <c r="B83" s="8"/>
      <c r="C83" s="8"/>
      <c r="D83" s="8"/>
      <c r="E83" s="8"/>
      <c r="F83" s="11" t="str">
        <f>IFERROR(INDEX(Reference!$B$23:$B$24,MATCH(D83,Reference!$A$23:$A$24,0)),"")</f>
        <v/>
      </c>
      <c r="G83" s="11" t="str">
        <f t="shared" si="2"/>
        <v/>
      </c>
      <c r="H83" s="10" t="str">
        <f t="shared" si="3"/>
        <v/>
      </c>
    </row>
    <row r="84" spans="1:8" ht="15" customHeight="1" x14ac:dyDescent="0.2">
      <c r="A84" s="9"/>
      <c r="B84" s="8"/>
      <c r="C84" s="8"/>
      <c r="D84" s="8"/>
      <c r="E84" s="8"/>
      <c r="F84" s="11" t="str">
        <f>IFERROR(INDEX(Reference!$B$23:$B$24,MATCH(D84,Reference!$A$23:$A$24,0)),"")</f>
        <v/>
      </c>
      <c r="G84" s="11" t="str">
        <f t="shared" si="2"/>
        <v/>
      </c>
      <c r="H84" s="10" t="str">
        <f t="shared" si="3"/>
        <v/>
      </c>
    </row>
    <row r="85" spans="1:8" ht="15" customHeight="1" x14ac:dyDescent="0.2">
      <c r="A85" s="9"/>
      <c r="B85" s="8"/>
      <c r="C85" s="8"/>
      <c r="D85" s="8"/>
      <c r="E85" s="8"/>
      <c r="F85" s="11" t="str">
        <f>IFERROR(INDEX(Reference!$B$23:$B$24,MATCH(D85,Reference!$A$23:$A$24,0)),"")</f>
        <v/>
      </c>
      <c r="G85" s="11" t="str">
        <f t="shared" si="2"/>
        <v/>
      </c>
      <c r="H85" s="10" t="str">
        <f t="shared" si="3"/>
        <v/>
      </c>
    </row>
    <row r="86" spans="1:8" ht="15" customHeight="1" x14ac:dyDescent="0.2">
      <c r="A86" s="9"/>
      <c r="B86" s="8"/>
      <c r="C86" s="8"/>
      <c r="D86" s="8"/>
      <c r="E86" s="8"/>
      <c r="F86" s="11" t="str">
        <f>IFERROR(INDEX(Reference!$B$23:$B$24,MATCH(D86,Reference!$A$23:$A$24,0)),"")</f>
        <v/>
      </c>
      <c r="G86" s="11" t="str">
        <f t="shared" si="2"/>
        <v/>
      </c>
      <c r="H86" s="10" t="str">
        <f t="shared" si="3"/>
        <v/>
      </c>
    </row>
    <row r="87" spans="1:8" ht="15" customHeight="1" x14ac:dyDescent="0.2">
      <c r="A87" s="9"/>
      <c r="B87" s="8"/>
      <c r="C87" s="8"/>
      <c r="D87" s="8"/>
      <c r="E87" s="8"/>
      <c r="F87" s="11" t="str">
        <f>IFERROR(INDEX(Reference!$B$23:$B$24,MATCH(D87,Reference!$A$23:$A$24,0)),"")</f>
        <v/>
      </c>
      <c r="G87" s="11" t="str">
        <f t="shared" si="2"/>
        <v/>
      </c>
      <c r="H87" s="10" t="str">
        <f t="shared" si="3"/>
        <v/>
      </c>
    </row>
    <row r="88" spans="1:8" ht="15" customHeight="1" x14ac:dyDescent="0.2">
      <c r="A88" s="9"/>
      <c r="B88" s="8"/>
      <c r="C88" s="8"/>
      <c r="D88" s="8"/>
      <c r="E88" s="8"/>
      <c r="F88" s="11" t="str">
        <f>IFERROR(INDEX(Reference!$B$23:$B$24,MATCH(D88,Reference!$A$23:$A$24,0)),"")</f>
        <v/>
      </c>
      <c r="G88" s="11" t="str">
        <f t="shared" si="2"/>
        <v/>
      </c>
      <c r="H88" s="10" t="str">
        <f t="shared" si="3"/>
        <v/>
      </c>
    </row>
    <row r="89" spans="1:8" ht="15" customHeight="1" x14ac:dyDescent="0.2">
      <c r="A89" s="9"/>
      <c r="B89" s="8"/>
      <c r="C89" s="8"/>
      <c r="D89" s="8"/>
      <c r="E89" s="8"/>
      <c r="F89" s="11" t="str">
        <f>IFERROR(INDEX(Reference!$B$23:$B$24,MATCH(D89,Reference!$A$23:$A$24,0)),"")</f>
        <v/>
      </c>
      <c r="G89" s="11" t="str">
        <f t="shared" si="2"/>
        <v/>
      </c>
      <c r="H89" s="10" t="str">
        <f t="shared" si="3"/>
        <v/>
      </c>
    </row>
    <row r="90" spans="1:8" ht="15" customHeight="1" x14ac:dyDescent="0.2">
      <c r="A90" s="9"/>
      <c r="B90" s="8"/>
      <c r="C90" s="8"/>
      <c r="D90" s="8"/>
      <c r="E90" s="8"/>
      <c r="F90" s="11" t="str">
        <f>IFERROR(INDEX(Reference!$B$23:$B$24,MATCH(D90,Reference!$A$23:$A$24,0)),"")</f>
        <v/>
      </c>
      <c r="G90" s="11" t="str">
        <f t="shared" si="2"/>
        <v/>
      </c>
      <c r="H90" s="10" t="str">
        <f t="shared" si="3"/>
        <v/>
      </c>
    </row>
    <row r="91" spans="1:8" ht="15" customHeight="1" x14ac:dyDescent="0.2">
      <c r="A91" s="9"/>
      <c r="B91" s="8"/>
      <c r="C91" s="8"/>
      <c r="D91" s="8"/>
      <c r="E91" s="8"/>
      <c r="F91" s="11" t="str">
        <f>IFERROR(INDEX(Reference!$B$23:$B$24,MATCH(D91,Reference!$A$23:$A$24,0)),"")</f>
        <v/>
      </c>
      <c r="G91" s="11" t="str">
        <f t="shared" si="2"/>
        <v/>
      </c>
      <c r="H91" s="10" t="str">
        <f t="shared" si="3"/>
        <v/>
      </c>
    </row>
    <row r="92" spans="1:8" ht="15" customHeight="1" x14ac:dyDescent="0.2">
      <c r="A92" s="9"/>
      <c r="B92" s="8"/>
      <c r="C92" s="8"/>
      <c r="D92" s="8"/>
      <c r="E92" s="8"/>
      <c r="F92" s="11" t="str">
        <f>IFERROR(INDEX(Reference!$B$23:$B$24,MATCH(D92,Reference!$A$23:$A$24,0)),"")</f>
        <v/>
      </c>
      <c r="G92" s="11" t="str">
        <f t="shared" si="2"/>
        <v/>
      </c>
      <c r="H92" s="10" t="str">
        <f t="shared" si="3"/>
        <v/>
      </c>
    </row>
    <row r="93" spans="1:8" ht="15" customHeight="1" x14ac:dyDescent="0.2">
      <c r="A93" s="9"/>
      <c r="B93" s="8"/>
      <c r="C93" s="8"/>
      <c r="D93" s="8"/>
      <c r="E93" s="8"/>
      <c r="F93" s="11" t="str">
        <f>IFERROR(INDEX(Reference!$B$23:$B$24,MATCH(D93,Reference!$A$23:$A$24,0)),"")</f>
        <v/>
      </c>
      <c r="G93" s="11" t="str">
        <f t="shared" si="2"/>
        <v/>
      </c>
      <c r="H93" s="10" t="str">
        <f t="shared" si="3"/>
        <v/>
      </c>
    </row>
    <row r="94" spans="1:8" ht="15" customHeight="1" x14ac:dyDescent="0.2">
      <c r="A94" s="9"/>
      <c r="B94" s="8"/>
      <c r="C94" s="8"/>
      <c r="D94" s="8"/>
      <c r="E94" s="8"/>
      <c r="F94" s="11" t="str">
        <f>IFERROR(INDEX(Reference!$B$23:$B$24,MATCH(D94,Reference!$A$23:$A$24,0)),"")</f>
        <v/>
      </c>
      <c r="G94" s="11" t="str">
        <f t="shared" si="2"/>
        <v/>
      </c>
      <c r="H94" s="10" t="str">
        <f t="shared" si="3"/>
        <v/>
      </c>
    </row>
    <row r="95" spans="1:8" ht="15" customHeight="1" x14ac:dyDescent="0.2">
      <c r="A95" s="9"/>
      <c r="B95" s="8"/>
      <c r="C95" s="8"/>
      <c r="D95" s="8"/>
      <c r="E95" s="8"/>
      <c r="F95" s="11" t="str">
        <f>IFERROR(INDEX(Reference!$B$23:$B$24,MATCH(D95,Reference!$A$23:$A$24,0)),"")</f>
        <v/>
      </c>
      <c r="G95" s="11" t="str">
        <f t="shared" si="2"/>
        <v/>
      </c>
      <c r="H95" s="10" t="str">
        <f t="shared" si="3"/>
        <v/>
      </c>
    </row>
    <row r="96" spans="1:8" ht="15" customHeight="1" x14ac:dyDescent="0.2">
      <c r="A96" s="9"/>
      <c r="B96" s="8"/>
      <c r="C96" s="8"/>
      <c r="D96" s="8"/>
      <c r="E96" s="8"/>
      <c r="F96" s="11" t="str">
        <f>IFERROR(INDEX(Reference!$B$23:$B$24,MATCH(D96,Reference!$A$23:$A$24,0)),"")</f>
        <v/>
      </c>
      <c r="G96" s="11" t="str">
        <f t="shared" si="2"/>
        <v/>
      </c>
      <c r="H96" s="10" t="str">
        <f t="shared" si="3"/>
        <v/>
      </c>
    </row>
    <row r="97" spans="1:8" ht="15" customHeight="1" x14ac:dyDescent="0.2">
      <c r="A97" s="9"/>
      <c r="B97" s="8"/>
      <c r="C97" s="8"/>
      <c r="D97" s="8"/>
      <c r="E97" s="8"/>
      <c r="F97" s="11" t="str">
        <f>IFERROR(INDEX(Reference!$B$23:$B$24,MATCH(D97,Reference!$A$23:$A$24,0)),"")</f>
        <v/>
      </c>
      <c r="G97" s="11" t="str">
        <f t="shared" si="2"/>
        <v/>
      </c>
      <c r="H97" s="10" t="str">
        <f t="shared" si="3"/>
        <v/>
      </c>
    </row>
    <row r="98" spans="1:8" ht="15" customHeight="1" x14ac:dyDescent="0.2">
      <c r="A98" s="9"/>
      <c r="B98" s="8"/>
      <c r="C98" s="8"/>
      <c r="D98" s="8"/>
      <c r="E98" s="8"/>
      <c r="F98" s="11" t="str">
        <f>IFERROR(INDEX(Reference!$B$23:$B$24,MATCH(D98,Reference!$A$23:$A$24,0)),"")</f>
        <v/>
      </c>
      <c r="G98" s="11" t="str">
        <f t="shared" si="2"/>
        <v/>
      </c>
      <c r="H98" s="10" t="str">
        <f t="shared" si="3"/>
        <v/>
      </c>
    </row>
    <row r="99" spans="1:8" ht="15" customHeight="1" x14ac:dyDescent="0.2">
      <c r="A99" s="9"/>
      <c r="B99" s="8"/>
      <c r="C99" s="8"/>
      <c r="D99" s="8"/>
      <c r="E99" s="8"/>
      <c r="F99" s="11" t="str">
        <f>IFERROR(INDEX(Reference!$B$23:$B$24,MATCH(D99,Reference!$A$23:$A$24,0)),"")</f>
        <v/>
      </c>
      <c r="G99" s="11" t="str">
        <f t="shared" si="2"/>
        <v/>
      </c>
      <c r="H99" s="10" t="str">
        <f t="shared" si="3"/>
        <v/>
      </c>
    </row>
    <row r="100" spans="1:8" ht="15" customHeight="1" x14ac:dyDescent="0.2">
      <c r="A100" s="9"/>
      <c r="B100" s="8"/>
      <c r="C100" s="8"/>
      <c r="D100" s="8"/>
      <c r="E100" s="8"/>
      <c r="F100" s="11" t="str">
        <f>IFERROR(INDEX(Reference!$B$23:$B$24,MATCH(D100,Reference!$A$23:$A$24,0)),"")</f>
        <v/>
      </c>
      <c r="G100" s="11" t="str">
        <f t="shared" si="2"/>
        <v/>
      </c>
      <c r="H100" s="10" t="str">
        <f t="shared" si="3"/>
        <v/>
      </c>
    </row>
    <row r="101" spans="1:8" ht="15" customHeight="1" x14ac:dyDescent="0.2">
      <c r="A101" s="9"/>
      <c r="B101" s="8"/>
      <c r="C101" s="8"/>
      <c r="D101" s="8"/>
      <c r="E101" s="8"/>
      <c r="F101" s="11" t="str">
        <f>IFERROR(INDEX(Reference!$B$23:$B$24,MATCH(D101,Reference!$A$23:$A$24,0)),"")</f>
        <v/>
      </c>
      <c r="G101" s="11" t="str">
        <f t="shared" si="2"/>
        <v/>
      </c>
      <c r="H101" s="10" t="str">
        <f t="shared" si="3"/>
        <v/>
      </c>
    </row>
    <row r="102" spans="1:8" ht="15" customHeight="1" x14ac:dyDescent="0.2">
      <c r="A102" s="9"/>
      <c r="B102" s="8"/>
      <c r="C102" s="8"/>
      <c r="D102" s="8"/>
      <c r="E102" s="8"/>
      <c r="F102" s="11" t="str">
        <f>IFERROR(INDEX(Reference!$B$23:$B$24,MATCH(D102,Reference!$A$23:$A$24,0)),"")</f>
        <v/>
      </c>
      <c r="G102" s="11" t="str">
        <f t="shared" si="2"/>
        <v/>
      </c>
      <c r="H102" s="10" t="str">
        <f t="shared" si="3"/>
        <v/>
      </c>
    </row>
    <row r="103" spans="1:8" ht="15" customHeight="1" x14ac:dyDescent="0.2">
      <c r="A103" s="9"/>
      <c r="B103" s="8"/>
      <c r="C103" s="8"/>
      <c r="D103" s="8"/>
      <c r="E103" s="8"/>
      <c r="F103" s="11" t="str">
        <f>IFERROR(INDEX(Reference!$B$23:$B$24,MATCH(D103,Reference!$A$23:$A$24,0)),"")</f>
        <v/>
      </c>
      <c r="G103" s="11" t="str">
        <f t="shared" si="2"/>
        <v/>
      </c>
      <c r="H103" s="10" t="str">
        <f t="shared" si="3"/>
        <v/>
      </c>
    </row>
    <row r="104" spans="1:8" ht="15" customHeight="1" x14ac:dyDescent="0.2">
      <c r="A104" s="9"/>
      <c r="B104" s="8"/>
      <c r="C104" s="8"/>
      <c r="D104" s="8"/>
      <c r="E104" s="8"/>
      <c r="F104" s="11" t="str">
        <f>IFERROR(INDEX(Reference!$B$23:$B$24,MATCH(D104,Reference!$A$23:$A$24,0)),"")</f>
        <v/>
      </c>
      <c r="G104" s="11" t="str">
        <f t="shared" si="2"/>
        <v/>
      </c>
      <c r="H104" s="10" t="str">
        <f t="shared" si="3"/>
        <v/>
      </c>
    </row>
    <row r="105" spans="1:8" ht="15" customHeight="1" x14ac:dyDescent="0.2">
      <c r="A105" s="9"/>
      <c r="B105" s="8"/>
      <c r="C105" s="8"/>
      <c r="D105" s="8"/>
      <c r="E105" s="8"/>
      <c r="F105" s="11" t="str">
        <f>IFERROR(INDEX(Reference!$B$23:$B$24,MATCH(D105,Reference!$A$23:$A$24,0)),"")</f>
        <v/>
      </c>
      <c r="G105" s="11" t="str">
        <f t="shared" si="2"/>
        <v/>
      </c>
      <c r="H105" s="10" t="str">
        <f t="shared" si="3"/>
        <v/>
      </c>
    </row>
    <row r="106" spans="1:8" ht="15" customHeight="1" x14ac:dyDescent="0.2">
      <c r="A106" s="9"/>
      <c r="B106" s="8"/>
      <c r="C106" s="8"/>
      <c r="D106" s="8"/>
      <c r="E106" s="8"/>
      <c r="F106" s="11" t="str">
        <f>IFERROR(INDEX(Reference!$B$23:$B$24,MATCH(D106,Reference!$A$23:$A$24,0)),"")</f>
        <v/>
      </c>
      <c r="G106" s="11" t="str">
        <f t="shared" si="2"/>
        <v/>
      </c>
      <c r="H106" s="10" t="str">
        <f t="shared" si="3"/>
        <v/>
      </c>
    </row>
    <row r="107" spans="1:8" ht="15" customHeight="1" x14ac:dyDescent="0.2">
      <c r="A107" s="9"/>
      <c r="B107" s="8"/>
      <c r="C107" s="8"/>
      <c r="D107" s="8"/>
      <c r="E107" s="8"/>
      <c r="F107" s="11" t="str">
        <f>IFERROR(INDEX(Reference!$B$23:$B$24,MATCH(D107,Reference!$A$23:$A$24,0)),"")</f>
        <v/>
      </c>
      <c r="G107" s="11" t="str">
        <f t="shared" si="2"/>
        <v/>
      </c>
      <c r="H107" s="10" t="str">
        <f t="shared" si="3"/>
        <v/>
      </c>
    </row>
    <row r="108" spans="1:8" ht="15" customHeight="1" x14ac:dyDescent="0.2">
      <c r="A108" s="9"/>
      <c r="B108" s="8"/>
      <c r="C108" s="8"/>
      <c r="D108" s="8"/>
      <c r="E108" s="8"/>
      <c r="F108" s="11" t="str">
        <f>IFERROR(INDEX(Reference!$B$23:$B$24,MATCH(D108,Reference!$A$23:$A$24,0)),"")</f>
        <v/>
      </c>
      <c r="G108" s="11" t="str">
        <f t="shared" si="2"/>
        <v/>
      </c>
      <c r="H108" s="10" t="str">
        <f t="shared" si="3"/>
        <v/>
      </c>
    </row>
    <row r="109" spans="1:8" ht="15" customHeight="1" x14ac:dyDescent="0.2">
      <c r="A109" s="9"/>
      <c r="B109" s="8"/>
      <c r="C109" s="8"/>
      <c r="D109" s="8"/>
      <c r="E109" s="8"/>
      <c r="F109" s="11" t="str">
        <f>IFERROR(INDEX(Reference!$B$23:$B$24,MATCH(D109,Reference!$A$23:$A$24,0)),"")</f>
        <v/>
      </c>
      <c r="G109" s="11" t="str">
        <f t="shared" si="2"/>
        <v/>
      </c>
      <c r="H109" s="10" t="str">
        <f t="shared" si="3"/>
        <v/>
      </c>
    </row>
    <row r="110" spans="1:8" ht="15" customHeight="1" x14ac:dyDescent="0.2">
      <c r="A110" s="9"/>
      <c r="B110" s="8"/>
      <c r="C110" s="8"/>
      <c r="D110" s="8"/>
      <c r="E110" s="8"/>
      <c r="F110" s="11" t="str">
        <f>IFERROR(INDEX(Reference!$B$23:$B$24,MATCH(D110,Reference!$A$23:$A$24,0)),"")</f>
        <v/>
      </c>
      <c r="G110" s="11" t="str">
        <f t="shared" si="2"/>
        <v/>
      </c>
      <c r="H110" s="10" t="str">
        <f t="shared" si="3"/>
        <v/>
      </c>
    </row>
    <row r="111" spans="1:8" ht="15" customHeight="1" x14ac:dyDescent="0.2">
      <c r="A111" s="9"/>
      <c r="B111" s="8"/>
      <c r="C111" s="8"/>
      <c r="D111" s="8"/>
      <c r="E111" s="8"/>
      <c r="F111" s="11" t="str">
        <f>IFERROR(INDEX(Reference!$B$23:$B$24,MATCH(D111,Reference!$A$23:$A$24,0)),"")</f>
        <v/>
      </c>
      <c r="G111" s="11" t="str">
        <f t="shared" si="2"/>
        <v/>
      </c>
      <c r="H111" s="10" t="str">
        <f t="shared" si="3"/>
        <v/>
      </c>
    </row>
    <row r="112" spans="1:8" ht="15" customHeight="1" x14ac:dyDescent="0.2">
      <c r="A112" s="9"/>
      <c r="B112" s="8"/>
      <c r="C112" s="8"/>
      <c r="D112" s="8"/>
      <c r="E112" s="8"/>
      <c r="F112" s="11" t="str">
        <f>IFERROR(INDEX(Reference!$B$23:$B$24,MATCH(D112,Reference!$A$23:$A$24,0)),"")</f>
        <v/>
      </c>
      <c r="G112" s="11" t="str">
        <f t="shared" si="2"/>
        <v/>
      </c>
      <c r="H112" s="10" t="str">
        <f t="shared" si="3"/>
        <v/>
      </c>
    </row>
    <row r="113" spans="1:8" ht="15" customHeight="1" x14ac:dyDescent="0.2">
      <c r="A113" s="9"/>
      <c r="B113" s="8"/>
      <c r="C113" s="8"/>
      <c r="D113" s="8"/>
      <c r="E113" s="8"/>
      <c r="F113" s="11" t="str">
        <f>IFERROR(INDEX(Reference!$B$23:$B$24,MATCH(D113,Reference!$A$23:$A$24,0)),"")</f>
        <v/>
      </c>
      <c r="G113" s="11" t="str">
        <f t="shared" si="2"/>
        <v/>
      </c>
      <c r="H113" s="10" t="str">
        <f t="shared" si="3"/>
        <v/>
      </c>
    </row>
    <row r="114" spans="1:8" ht="15" customHeight="1" x14ac:dyDescent="0.2">
      <c r="A114" s="9"/>
      <c r="B114" s="8"/>
      <c r="C114" s="8"/>
      <c r="D114" s="8"/>
      <c r="E114" s="8"/>
      <c r="F114" s="11" t="str">
        <f>IFERROR(INDEX(Reference!$B$23:$B$24,MATCH(D114,Reference!$A$23:$A$24,0)),"")</f>
        <v/>
      </c>
      <c r="G114" s="11" t="str">
        <f t="shared" si="2"/>
        <v/>
      </c>
      <c r="H114" s="10" t="str">
        <f t="shared" si="3"/>
        <v/>
      </c>
    </row>
    <row r="115" spans="1:8" ht="15" customHeight="1" x14ac:dyDescent="0.2">
      <c r="A115" s="9"/>
      <c r="B115" s="8"/>
      <c r="C115" s="8"/>
      <c r="D115" s="8"/>
      <c r="E115" s="8"/>
      <c r="F115" s="11" t="str">
        <f>IFERROR(INDEX(Reference!$B$23:$B$24,MATCH(D115,Reference!$A$23:$A$24,0)),"")</f>
        <v/>
      </c>
      <c r="G115" s="11" t="str">
        <f t="shared" si="2"/>
        <v/>
      </c>
      <c r="H115" s="10" t="str">
        <f t="shared" si="3"/>
        <v/>
      </c>
    </row>
    <row r="116" spans="1:8" ht="15" customHeight="1" x14ac:dyDescent="0.2">
      <c r="A116" s="9"/>
      <c r="B116" s="8"/>
      <c r="C116" s="8"/>
      <c r="D116" s="8"/>
      <c r="E116" s="8"/>
      <c r="F116" s="11" t="str">
        <f>IFERROR(INDEX(Reference!$B$23:$B$24,MATCH(D116,Reference!$A$23:$A$24,0)),"")</f>
        <v/>
      </c>
      <c r="G116" s="11" t="str">
        <f t="shared" si="2"/>
        <v/>
      </c>
      <c r="H116" s="10" t="str">
        <f t="shared" si="3"/>
        <v/>
      </c>
    </row>
    <row r="117" spans="1:8" ht="15" customHeight="1" x14ac:dyDescent="0.2">
      <c r="A117" s="9"/>
      <c r="B117" s="8"/>
      <c r="C117" s="8"/>
      <c r="D117" s="8"/>
      <c r="E117" s="8"/>
      <c r="F117" s="11" t="str">
        <f>IFERROR(INDEX(Reference!$B$23:$B$24,MATCH(D117,Reference!$A$23:$A$24,0)),"")</f>
        <v/>
      </c>
      <c r="G117" s="11" t="str">
        <f t="shared" si="2"/>
        <v/>
      </c>
      <c r="H117" s="10" t="str">
        <f t="shared" si="3"/>
        <v/>
      </c>
    </row>
    <row r="118" spans="1:8" ht="15" customHeight="1" x14ac:dyDescent="0.2">
      <c r="A118" s="9"/>
      <c r="B118" s="8"/>
      <c r="C118" s="8"/>
      <c r="D118" s="8"/>
      <c r="E118" s="8"/>
      <c r="F118" s="11" t="str">
        <f>IFERROR(INDEX(Reference!$B$23:$B$24,MATCH(D118,Reference!$A$23:$A$24,0)),"")</f>
        <v/>
      </c>
      <c r="G118" s="11" t="str">
        <f t="shared" si="2"/>
        <v/>
      </c>
      <c r="H118" s="10" t="str">
        <f t="shared" si="3"/>
        <v/>
      </c>
    </row>
    <row r="119" spans="1:8" ht="15" customHeight="1" x14ac:dyDescent="0.2">
      <c r="A119" s="9"/>
      <c r="B119" s="8"/>
      <c r="C119" s="8"/>
      <c r="D119" s="8"/>
      <c r="E119" s="8"/>
      <c r="F119" s="11" t="str">
        <f>IFERROR(INDEX(Reference!$B$23:$B$24,MATCH(D119,Reference!$A$23:$A$24,0)),"")</f>
        <v/>
      </c>
      <c r="G119" s="11" t="str">
        <f t="shared" si="2"/>
        <v/>
      </c>
      <c r="H119" s="10" t="str">
        <f t="shared" si="3"/>
        <v/>
      </c>
    </row>
    <row r="120" spans="1:8" ht="15" customHeight="1" x14ac:dyDescent="0.2">
      <c r="A120" s="9"/>
      <c r="B120" s="8"/>
      <c r="C120" s="8"/>
      <c r="D120" s="8"/>
      <c r="E120" s="8"/>
      <c r="F120" s="11" t="str">
        <f>IFERROR(INDEX(Reference!$B$23:$B$24,MATCH(D120,Reference!$A$23:$A$24,0)),"")</f>
        <v/>
      </c>
      <c r="G120" s="11" t="str">
        <f t="shared" si="2"/>
        <v/>
      </c>
      <c r="H120" s="10" t="str">
        <f t="shared" si="3"/>
        <v/>
      </c>
    </row>
    <row r="121" spans="1:8" ht="15" customHeight="1" x14ac:dyDescent="0.2">
      <c r="A121" s="9"/>
      <c r="B121" s="8"/>
      <c r="C121" s="8"/>
      <c r="D121" s="8"/>
      <c r="E121" s="8"/>
      <c r="F121" s="11" t="str">
        <f>IFERROR(INDEX(Reference!$B$23:$B$24,MATCH(D121,Reference!$A$23:$A$24,0)),"")</f>
        <v/>
      </c>
      <c r="G121" s="11" t="str">
        <f t="shared" si="2"/>
        <v/>
      </c>
      <c r="H121" s="10" t="str">
        <f t="shared" si="3"/>
        <v/>
      </c>
    </row>
    <row r="122" spans="1:8" ht="15" customHeight="1" x14ac:dyDescent="0.2">
      <c r="A122" s="9"/>
      <c r="B122" s="8"/>
      <c r="C122" s="8"/>
      <c r="D122" s="8"/>
      <c r="E122" s="8"/>
      <c r="F122" s="11" t="str">
        <f>IFERROR(INDEX(Reference!$B$23:$B$24,MATCH(D122,Reference!$A$23:$A$24,0)),"")</f>
        <v/>
      </c>
      <c r="G122" s="11" t="str">
        <f t="shared" si="2"/>
        <v/>
      </c>
      <c r="H122" s="10" t="str">
        <f t="shared" si="3"/>
        <v/>
      </c>
    </row>
    <row r="123" spans="1:8" ht="15" customHeight="1" x14ac:dyDescent="0.2">
      <c r="A123" s="9"/>
      <c r="B123" s="8"/>
      <c r="C123" s="8"/>
      <c r="D123" s="8"/>
      <c r="E123" s="8"/>
      <c r="F123" s="11" t="str">
        <f>IFERROR(INDEX(Reference!$B$23:$B$24,MATCH(D123,Reference!$A$23:$A$24,0)),"")</f>
        <v/>
      </c>
      <c r="G123" s="11" t="str">
        <f t="shared" si="2"/>
        <v/>
      </c>
      <c r="H123" s="10" t="str">
        <f t="shared" si="3"/>
        <v/>
      </c>
    </row>
    <row r="124" spans="1:8" ht="15" customHeight="1" x14ac:dyDescent="0.2">
      <c r="A124" s="9"/>
      <c r="B124" s="8"/>
      <c r="C124" s="8"/>
      <c r="D124" s="8"/>
      <c r="E124" s="8"/>
      <c r="F124" s="11" t="str">
        <f>IFERROR(INDEX(Reference!$B$23:$B$24,MATCH(D124,Reference!$A$23:$A$24,0)),"")</f>
        <v/>
      </c>
      <c r="G124" s="11" t="str">
        <f t="shared" si="2"/>
        <v/>
      </c>
      <c r="H124" s="10" t="str">
        <f t="shared" si="3"/>
        <v/>
      </c>
    </row>
    <row r="125" spans="1:8" ht="15" customHeight="1" x14ac:dyDescent="0.2">
      <c r="A125" s="9"/>
      <c r="B125" s="8"/>
      <c r="C125" s="8"/>
      <c r="D125" s="8"/>
      <c r="E125" s="8"/>
      <c r="F125" s="11" t="str">
        <f>IFERROR(INDEX(Reference!$B$23:$B$24,MATCH(D125,Reference!$A$23:$A$24,0)),"")</f>
        <v/>
      </c>
      <c r="G125" s="11" t="str">
        <f t="shared" si="2"/>
        <v/>
      </c>
      <c r="H125" s="10" t="str">
        <f t="shared" si="3"/>
        <v/>
      </c>
    </row>
    <row r="126" spans="1:8" ht="15" customHeight="1" x14ac:dyDescent="0.2">
      <c r="A126" s="9"/>
      <c r="B126" s="8"/>
      <c r="C126" s="8"/>
      <c r="D126" s="8"/>
      <c r="E126" s="8"/>
      <c r="F126" s="11" t="str">
        <f>IFERROR(INDEX(Reference!$B$23:$B$24,MATCH(D126,Reference!$A$23:$A$24,0)),"")</f>
        <v/>
      </c>
      <c r="G126" s="11" t="str">
        <f t="shared" si="2"/>
        <v/>
      </c>
      <c r="H126" s="10" t="str">
        <f t="shared" si="3"/>
        <v/>
      </c>
    </row>
    <row r="127" spans="1:8" ht="15" customHeight="1" x14ac:dyDescent="0.2">
      <c r="A127" s="9"/>
      <c r="B127" s="8"/>
      <c r="C127" s="8"/>
      <c r="D127" s="8"/>
      <c r="E127" s="8"/>
      <c r="F127" s="11" t="str">
        <f>IFERROR(INDEX(Reference!$B$23:$B$24,MATCH(D127,Reference!$A$23:$A$24,0)),"")</f>
        <v/>
      </c>
      <c r="G127" s="11" t="str">
        <f t="shared" si="2"/>
        <v/>
      </c>
      <c r="H127" s="10" t="str">
        <f t="shared" si="3"/>
        <v/>
      </c>
    </row>
    <row r="128" spans="1:8" ht="15" customHeight="1" x14ac:dyDescent="0.2">
      <c r="A128" s="9"/>
      <c r="B128" s="8"/>
      <c r="C128" s="8"/>
      <c r="D128" s="8"/>
      <c r="E128" s="8"/>
      <c r="F128" s="11" t="str">
        <f>IFERROR(INDEX(Reference!$B$23:$B$24,MATCH(D128,Reference!$A$23:$A$24,0)),"")</f>
        <v/>
      </c>
      <c r="G128" s="11" t="str">
        <f t="shared" si="2"/>
        <v/>
      </c>
      <c r="H128" s="10" t="str">
        <f t="shared" si="3"/>
        <v/>
      </c>
    </row>
    <row r="129" spans="1:8" ht="15" customHeight="1" x14ac:dyDescent="0.2">
      <c r="A129" s="9"/>
      <c r="B129" s="8"/>
      <c r="C129" s="8"/>
      <c r="D129" s="8"/>
      <c r="E129" s="8"/>
      <c r="F129" s="11" t="str">
        <f>IFERROR(INDEX(Reference!$B$23:$B$24,MATCH(D129,Reference!$A$23:$A$24,0)),"")</f>
        <v/>
      </c>
      <c r="G129" s="11" t="str">
        <f t="shared" si="2"/>
        <v/>
      </c>
      <c r="H129" s="10" t="str">
        <f t="shared" si="3"/>
        <v/>
      </c>
    </row>
    <row r="130" spans="1:8" ht="15" customHeight="1" x14ac:dyDescent="0.2">
      <c r="A130" s="9"/>
      <c r="B130" s="8"/>
      <c r="C130" s="8"/>
      <c r="D130" s="8"/>
      <c r="E130" s="8"/>
      <c r="F130" s="11" t="str">
        <f>IFERROR(INDEX(Reference!$B$23:$B$24,MATCH(D130,Reference!$A$23:$A$24,0)),"")</f>
        <v/>
      </c>
      <c r="G130" s="11" t="str">
        <f t="shared" ref="G130:G193" si="4">IF(OR(E130="",F130=""),"",E130*F130)</f>
        <v/>
      </c>
      <c r="H130" s="10" t="str">
        <f t="shared" ref="H130:H193" si="5">IF(A130="","",IF(MONTH(A130)&gt;=8,YEAR(A130)&amp;"-"&amp;RIGHT(YEAR(A130)+1,2),YEAR(A130)-1&amp;"-"&amp;RIGHT(YEAR(A130),2)))</f>
        <v/>
      </c>
    </row>
    <row r="131" spans="1:8" ht="15" customHeight="1" x14ac:dyDescent="0.2">
      <c r="A131" s="9"/>
      <c r="B131" s="8"/>
      <c r="C131" s="8"/>
      <c r="D131" s="8"/>
      <c r="E131" s="8"/>
      <c r="F131" s="11" t="str">
        <f>IFERROR(INDEX(Reference!$B$23:$B$24,MATCH(D131,Reference!$A$23:$A$24,0)),"")</f>
        <v/>
      </c>
      <c r="G131" s="11" t="str">
        <f t="shared" si="4"/>
        <v/>
      </c>
      <c r="H131" s="10" t="str">
        <f t="shared" si="5"/>
        <v/>
      </c>
    </row>
    <row r="132" spans="1:8" ht="15" customHeight="1" x14ac:dyDescent="0.2">
      <c r="A132" s="9"/>
      <c r="B132" s="8"/>
      <c r="C132" s="8"/>
      <c r="D132" s="8"/>
      <c r="E132" s="8"/>
      <c r="F132" s="11" t="str">
        <f>IFERROR(INDEX(Reference!$B$23:$B$24,MATCH(D132,Reference!$A$23:$A$24,0)),"")</f>
        <v/>
      </c>
      <c r="G132" s="11" t="str">
        <f t="shared" si="4"/>
        <v/>
      </c>
      <c r="H132" s="10" t="str">
        <f t="shared" si="5"/>
        <v/>
      </c>
    </row>
    <row r="133" spans="1:8" ht="15" customHeight="1" x14ac:dyDescent="0.2">
      <c r="A133" s="9"/>
      <c r="B133" s="8"/>
      <c r="C133" s="8"/>
      <c r="D133" s="8"/>
      <c r="E133" s="8"/>
      <c r="F133" s="11" t="str">
        <f>IFERROR(INDEX(Reference!$B$23:$B$24,MATCH(D133,Reference!$A$23:$A$24,0)),"")</f>
        <v/>
      </c>
      <c r="G133" s="11" t="str">
        <f t="shared" si="4"/>
        <v/>
      </c>
      <c r="H133" s="10" t="str">
        <f t="shared" si="5"/>
        <v/>
      </c>
    </row>
    <row r="134" spans="1:8" ht="15" customHeight="1" x14ac:dyDescent="0.2">
      <c r="A134" s="9"/>
      <c r="B134" s="8"/>
      <c r="C134" s="8"/>
      <c r="D134" s="8"/>
      <c r="E134" s="8"/>
      <c r="F134" s="11" t="str">
        <f>IFERROR(INDEX(Reference!$B$23:$B$24,MATCH(D134,Reference!$A$23:$A$24,0)),"")</f>
        <v/>
      </c>
      <c r="G134" s="11" t="str">
        <f t="shared" si="4"/>
        <v/>
      </c>
      <c r="H134" s="10" t="str">
        <f t="shared" si="5"/>
        <v/>
      </c>
    </row>
    <row r="135" spans="1:8" ht="15" customHeight="1" x14ac:dyDescent="0.2">
      <c r="A135" s="9"/>
      <c r="B135" s="8"/>
      <c r="C135" s="8"/>
      <c r="D135" s="8"/>
      <c r="E135" s="8"/>
      <c r="F135" s="11" t="str">
        <f>IFERROR(INDEX(Reference!$B$23:$B$24,MATCH(D135,Reference!$A$23:$A$24,0)),"")</f>
        <v/>
      </c>
      <c r="G135" s="11" t="str">
        <f t="shared" si="4"/>
        <v/>
      </c>
      <c r="H135" s="10" t="str">
        <f t="shared" si="5"/>
        <v/>
      </c>
    </row>
    <row r="136" spans="1:8" ht="15" customHeight="1" x14ac:dyDescent="0.2">
      <c r="A136" s="9"/>
      <c r="B136" s="8"/>
      <c r="C136" s="8"/>
      <c r="D136" s="8"/>
      <c r="E136" s="8"/>
      <c r="F136" s="11" t="str">
        <f>IFERROR(INDEX(Reference!$B$23:$B$24,MATCH(D136,Reference!$A$23:$A$24,0)),"")</f>
        <v/>
      </c>
      <c r="G136" s="11" t="str">
        <f t="shared" si="4"/>
        <v/>
      </c>
      <c r="H136" s="10" t="str">
        <f t="shared" si="5"/>
        <v/>
      </c>
    </row>
    <row r="137" spans="1:8" ht="15" customHeight="1" x14ac:dyDescent="0.2">
      <c r="A137" s="9"/>
      <c r="B137" s="8"/>
      <c r="C137" s="8"/>
      <c r="D137" s="8"/>
      <c r="E137" s="8"/>
      <c r="F137" s="11" t="str">
        <f>IFERROR(INDEX(Reference!$B$23:$B$24,MATCH(D137,Reference!$A$23:$A$24,0)),"")</f>
        <v/>
      </c>
      <c r="G137" s="11" t="str">
        <f t="shared" si="4"/>
        <v/>
      </c>
      <c r="H137" s="10" t="str">
        <f t="shared" si="5"/>
        <v/>
      </c>
    </row>
    <row r="138" spans="1:8" ht="15" customHeight="1" x14ac:dyDescent="0.2">
      <c r="A138" s="9"/>
      <c r="B138" s="8"/>
      <c r="C138" s="8"/>
      <c r="D138" s="8"/>
      <c r="E138" s="8"/>
      <c r="F138" s="11" t="str">
        <f>IFERROR(INDEX(Reference!$B$23:$B$24,MATCH(D138,Reference!$A$23:$A$24,0)),"")</f>
        <v/>
      </c>
      <c r="G138" s="11" t="str">
        <f t="shared" si="4"/>
        <v/>
      </c>
      <c r="H138" s="10" t="str">
        <f t="shared" si="5"/>
        <v/>
      </c>
    </row>
    <row r="139" spans="1:8" ht="15" customHeight="1" x14ac:dyDescent="0.2">
      <c r="A139" s="9"/>
      <c r="B139" s="8"/>
      <c r="C139" s="8"/>
      <c r="D139" s="8"/>
      <c r="E139" s="8"/>
      <c r="F139" s="11" t="str">
        <f>IFERROR(INDEX(Reference!$B$23:$B$24,MATCH(D139,Reference!$A$23:$A$24,0)),"")</f>
        <v/>
      </c>
      <c r="G139" s="11" t="str">
        <f t="shared" si="4"/>
        <v/>
      </c>
      <c r="H139" s="10" t="str">
        <f t="shared" si="5"/>
        <v/>
      </c>
    </row>
    <row r="140" spans="1:8" ht="15" customHeight="1" x14ac:dyDescent="0.2">
      <c r="A140" s="9"/>
      <c r="B140" s="8"/>
      <c r="C140" s="8"/>
      <c r="D140" s="8"/>
      <c r="E140" s="8"/>
      <c r="F140" s="11" t="str">
        <f>IFERROR(INDEX(Reference!$B$23:$B$24,MATCH(D140,Reference!$A$23:$A$24,0)),"")</f>
        <v/>
      </c>
      <c r="G140" s="11" t="str">
        <f t="shared" si="4"/>
        <v/>
      </c>
      <c r="H140" s="10" t="str">
        <f t="shared" si="5"/>
        <v/>
      </c>
    </row>
    <row r="141" spans="1:8" ht="15" customHeight="1" x14ac:dyDescent="0.2">
      <c r="A141" s="9"/>
      <c r="B141" s="8"/>
      <c r="C141" s="8"/>
      <c r="D141" s="8"/>
      <c r="E141" s="8"/>
      <c r="F141" s="11" t="str">
        <f>IFERROR(INDEX(Reference!$B$23:$B$24,MATCH(D141,Reference!$A$23:$A$24,0)),"")</f>
        <v/>
      </c>
      <c r="G141" s="11" t="str">
        <f t="shared" si="4"/>
        <v/>
      </c>
      <c r="H141" s="10" t="str">
        <f t="shared" si="5"/>
        <v/>
      </c>
    </row>
    <row r="142" spans="1:8" ht="15" customHeight="1" x14ac:dyDescent="0.2">
      <c r="A142" s="9"/>
      <c r="B142" s="8"/>
      <c r="C142" s="8"/>
      <c r="D142" s="8"/>
      <c r="E142" s="8"/>
      <c r="F142" s="11" t="str">
        <f>IFERROR(INDEX(Reference!$B$23:$B$24,MATCH(D142,Reference!$A$23:$A$24,0)),"")</f>
        <v/>
      </c>
      <c r="G142" s="11" t="str">
        <f t="shared" si="4"/>
        <v/>
      </c>
      <c r="H142" s="10" t="str">
        <f t="shared" si="5"/>
        <v/>
      </c>
    </row>
    <row r="143" spans="1:8" ht="15" customHeight="1" x14ac:dyDescent="0.2">
      <c r="A143" s="9"/>
      <c r="B143" s="8"/>
      <c r="C143" s="8"/>
      <c r="D143" s="8"/>
      <c r="E143" s="8"/>
      <c r="F143" s="11" t="str">
        <f>IFERROR(INDEX(Reference!$B$23:$B$24,MATCH(D143,Reference!$A$23:$A$24,0)),"")</f>
        <v/>
      </c>
      <c r="G143" s="11" t="str">
        <f t="shared" si="4"/>
        <v/>
      </c>
      <c r="H143" s="10" t="str">
        <f t="shared" si="5"/>
        <v/>
      </c>
    </row>
    <row r="144" spans="1:8" ht="15" customHeight="1" x14ac:dyDescent="0.2">
      <c r="A144" s="9"/>
      <c r="B144" s="8"/>
      <c r="C144" s="8"/>
      <c r="D144" s="8"/>
      <c r="E144" s="8"/>
      <c r="F144" s="11" t="str">
        <f>IFERROR(INDEX(Reference!$B$23:$B$24,MATCH(D144,Reference!$A$23:$A$24,0)),"")</f>
        <v/>
      </c>
      <c r="G144" s="11" t="str">
        <f t="shared" si="4"/>
        <v/>
      </c>
      <c r="H144" s="10" t="str">
        <f t="shared" si="5"/>
        <v/>
      </c>
    </row>
    <row r="145" spans="1:8" ht="15" customHeight="1" x14ac:dyDescent="0.2">
      <c r="A145" s="9"/>
      <c r="B145" s="8"/>
      <c r="C145" s="8"/>
      <c r="D145" s="8"/>
      <c r="E145" s="8"/>
      <c r="F145" s="11" t="str">
        <f>IFERROR(INDEX(Reference!$B$23:$B$24,MATCH(D145,Reference!$A$23:$A$24,0)),"")</f>
        <v/>
      </c>
      <c r="G145" s="11" t="str">
        <f t="shared" si="4"/>
        <v/>
      </c>
      <c r="H145" s="10" t="str">
        <f t="shared" si="5"/>
        <v/>
      </c>
    </row>
    <row r="146" spans="1:8" ht="15" customHeight="1" x14ac:dyDescent="0.2">
      <c r="A146" s="9"/>
      <c r="B146" s="8"/>
      <c r="C146" s="8"/>
      <c r="D146" s="8"/>
      <c r="E146" s="8"/>
      <c r="F146" s="11" t="str">
        <f>IFERROR(INDEX(Reference!$B$23:$B$24,MATCH(D146,Reference!$A$23:$A$24,0)),"")</f>
        <v/>
      </c>
      <c r="G146" s="11" t="str">
        <f t="shared" si="4"/>
        <v/>
      </c>
      <c r="H146" s="10" t="str">
        <f t="shared" si="5"/>
        <v/>
      </c>
    </row>
    <row r="147" spans="1:8" ht="15" customHeight="1" x14ac:dyDescent="0.2">
      <c r="A147" s="9"/>
      <c r="B147" s="8"/>
      <c r="C147" s="8"/>
      <c r="D147" s="8"/>
      <c r="E147" s="8"/>
      <c r="F147" s="11" t="str">
        <f>IFERROR(INDEX(Reference!$B$23:$B$24,MATCH(D147,Reference!$A$23:$A$24,0)),"")</f>
        <v/>
      </c>
      <c r="G147" s="11" t="str">
        <f t="shared" si="4"/>
        <v/>
      </c>
      <c r="H147" s="10" t="str">
        <f t="shared" si="5"/>
        <v/>
      </c>
    </row>
    <row r="148" spans="1:8" ht="15" customHeight="1" x14ac:dyDescent="0.2">
      <c r="A148" s="9"/>
      <c r="B148" s="8"/>
      <c r="C148" s="8"/>
      <c r="D148" s="8"/>
      <c r="E148" s="8"/>
      <c r="F148" s="11" t="str">
        <f>IFERROR(INDEX(Reference!$B$23:$B$24,MATCH(D148,Reference!$A$23:$A$24,0)),"")</f>
        <v/>
      </c>
      <c r="G148" s="11" t="str">
        <f t="shared" si="4"/>
        <v/>
      </c>
      <c r="H148" s="10" t="str">
        <f t="shared" si="5"/>
        <v/>
      </c>
    </row>
    <row r="149" spans="1:8" ht="15" customHeight="1" x14ac:dyDescent="0.2">
      <c r="A149" s="9"/>
      <c r="B149" s="8"/>
      <c r="C149" s="8"/>
      <c r="D149" s="8"/>
      <c r="E149" s="8"/>
      <c r="F149" s="11" t="str">
        <f>IFERROR(INDEX(Reference!$B$23:$B$24,MATCH(D149,Reference!$A$23:$A$24,0)),"")</f>
        <v/>
      </c>
      <c r="G149" s="11" t="str">
        <f t="shared" si="4"/>
        <v/>
      </c>
      <c r="H149" s="10" t="str">
        <f t="shared" si="5"/>
        <v/>
      </c>
    </row>
    <row r="150" spans="1:8" ht="15" customHeight="1" x14ac:dyDescent="0.2">
      <c r="A150" s="9"/>
      <c r="B150" s="8"/>
      <c r="C150" s="8"/>
      <c r="D150" s="8"/>
      <c r="E150" s="8"/>
      <c r="F150" s="11" t="str">
        <f>IFERROR(INDEX(Reference!$B$23:$B$24,MATCH(D150,Reference!$A$23:$A$24,0)),"")</f>
        <v/>
      </c>
      <c r="G150" s="11" t="str">
        <f t="shared" si="4"/>
        <v/>
      </c>
      <c r="H150" s="10" t="str">
        <f t="shared" si="5"/>
        <v/>
      </c>
    </row>
    <row r="151" spans="1:8" ht="15" customHeight="1" x14ac:dyDescent="0.2">
      <c r="A151" s="9"/>
      <c r="B151" s="8"/>
      <c r="C151" s="8"/>
      <c r="D151" s="8"/>
      <c r="E151" s="8"/>
      <c r="F151" s="11" t="str">
        <f>IFERROR(INDEX(Reference!$B$23:$B$24,MATCH(D151,Reference!$A$23:$A$24,0)),"")</f>
        <v/>
      </c>
      <c r="G151" s="11" t="str">
        <f t="shared" si="4"/>
        <v/>
      </c>
      <c r="H151" s="10" t="str">
        <f t="shared" si="5"/>
        <v/>
      </c>
    </row>
    <row r="152" spans="1:8" ht="15" customHeight="1" x14ac:dyDescent="0.2">
      <c r="A152" s="9"/>
      <c r="B152" s="8"/>
      <c r="C152" s="8"/>
      <c r="D152" s="8"/>
      <c r="E152" s="8"/>
      <c r="F152" s="11" t="str">
        <f>IFERROR(INDEX(Reference!$B$23:$B$24,MATCH(D152,Reference!$A$23:$A$24,0)),"")</f>
        <v/>
      </c>
      <c r="G152" s="11" t="str">
        <f t="shared" si="4"/>
        <v/>
      </c>
      <c r="H152" s="10" t="str">
        <f t="shared" si="5"/>
        <v/>
      </c>
    </row>
    <row r="153" spans="1:8" ht="15" customHeight="1" x14ac:dyDescent="0.2">
      <c r="A153" s="9"/>
      <c r="B153" s="8"/>
      <c r="C153" s="8"/>
      <c r="D153" s="8"/>
      <c r="E153" s="8"/>
      <c r="F153" s="11" t="str">
        <f>IFERROR(INDEX(Reference!$B$23:$B$24,MATCH(D153,Reference!$A$23:$A$24,0)),"")</f>
        <v/>
      </c>
      <c r="G153" s="11" t="str">
        <f t="shared" si="4"/>
        <v/>
      </c>
      <c r="H153" s="10" t="str">
        <f t="shared" si="5"/>
        <v/>
      </c>
    </row>
    <row r="154" spans="1:8" ht="15" customHeight="1" x14ac:dyDescent="0.2">
      <c r="A154" s="9"/>
      <c r="B154" s="8"/>
      <c r="C154" s="8"/>
      <c r="D154" s="8"/>
      <c r="E154" s="8"/>
      <c r="F154" s="11" t="str">
        <f>IFERROR(INDEX(Reference!$B$23:$B$24,MATCH(D154,Reference!$A$23:$A$24,0)),"")</f>
        <v/>
      </c>
      <c r="G154" s="11" t="str">
        <f t="shared" si="4"/>
        <v/>
      </c>
      <c r="H154" s="10" t="str">
        <f t="shared" si="5"/>
        <v/>
      </c>
    </row>
    <row r="155" spans="1:8" ht="15" customHeight="1" x14ac:dyDescent="0.2">
      <c r="A155" s="9"/>
      <c r="B155" s="8"/>
      <c r="C155" s="8"/>
      <c r="D155" s="8"/>
      <c r="E155" s="8"/>
      <c r="F155" s="11" t="str">
        <f>IFERROR(INDEX(Reference!$B$23:$B$24,MATCH(D155,Reference!$A$23:$A$24,0)),"")</f>
        <v/>
      </c>
      <c r="G155" s="11" t="str">
        <f t="shared" si="4"/>
        <v/>
      </c>
      <c r="H155" s="10" t="str">
        <f t="shared" si="5"/>
        <v/>
      </c>
    </row>
    <row r="156" spans="1:8" ht="15" customHeight="1" x14ac:dyDescent="0.2">
      <c r="A156" s="9"/>
      <c r="B156" s="8"/>
      <c r="C156" s="8"/>
      <c r="D156" s="8"/>
      <c r="E156" s="8"/>
      <c r="F156" s="11" t="str">
        <f>IFERROR(INDEX(Reference!$B$23:$B$24,MATCH(D156,Reference!$A$23:$A$24,0)),"")</f>
        <v/>
      </c>
      <c r="G156" s="11" t="str">
        <f t="shared" si="4"/>
        <v/>
      </c>
      <c r="H156" s="10" t="str">
        <f t="shared" si="5"/>
        <v/>
      </c>
    </row>
    <row r="157" spans="1:8" ht="15" customHeight="1" x14ac:dyDescent="0.2">
      <c r="A157" s="9"/>
      <c r="B157" s="8"/>
      <c r="C157" s="8"/>
      <c r="D157" s="8"/>
      <c r="E157" s="8"/>
      <c r="F157" s="11" t="str">
        <f>IFERROR(INDEX(Reference!$B$23:$B$24,MATCH(D157,Reference!$A$23:$A$24,0)),"")</f>
        <v/>
      </c>
      <c r="G157" s="11" t="str">
        <f t="shared" si="4"/>
        <v/>
      </c>
      <c r="H157" s="10" t="str">
        <f t="shared" si="5"/>
        <v/>
      </c>
    </row>
    <row r="158" spans="1:8" ht="15" customHeight="1" x14ac:dyDescent="0.2">
      <c r="A158" s="9"/>
      <c r="B158" s="8"/>
      <c r="C158" s="8"/>
      <c r="D158" s="8"/>
      <c r="E158" s="8"/>
      <c r="F158" s="11" t="str">
        <f>IFERROR(INDEX(Reference!$B$23:$B$24,MATCH(D158,Reference!$A$23:$A$24,0)),"")</f>
        <v/>
      </c>
      <c r="G158" s="11" t="str">
        <f t="shared" si="4"/>
        <v/>
      </c>
      <c r="H158" s="10" t="str">
        <f t="shared" si="5"/>
        <v/>
      </c>
    </row>
    <row r="159" spans="1:8" ht="15" customHeight="1" x14ac:dyDescent="0.2">
      <c r="A159" s="9"/>
      <c r="B159" s="8"/>
      <c r="C159" s="8"/>
      <c r="D159" s="8"/>
      <c r="E159" s="8"/>
      <c r="F159" s="11" t="str">
        <f>IFERROR(INDEX(Reference!$B$23:$B$24,MATCH(D159,Reference!$A$23:$A$24,0)),"")</f>
        <v/>
      </c>
      <c r="G159" s="11" t="str">
        <f t="shared" si="4"/>
        <v/>
      </c>
      <c r="H159" s="10" t="str">
        <f t="shared" si="5"/>
        <v/>
      </c>
    </row>
    <row r="160" spans="1:8" ht="15" customHeight="1" x14ac:dyDescent="0.2">
      <c r="A160" s="9"/>
      <c r="B160" s="8"/>
      <c r="C160" s="8"/>
      <c r="D160" s="8"/>
      <c r="E160" s="8"/>
      <c r="F160" s="11" t="str">
        <f>IFERROR(INDEX(Reference!$B$23:$B$24,MATCH(D160,Reference!$A$23:$A$24,0)),"")</f>
        <v/>
      </c>
      <c r="G160" s="11" t="str">
        <f t="shared" si="4"/>
        <v/>
      </c>
      <c r="H160" s="10" t="str">
        <f t="shared" si="5"/>
        <v/>
      </c>
    </row>
    <row r="161" spans="1:8" ht="15" customHeight="1" x14ac:dyDescent="0.2">
      <c r="A161" s="9"/>
      <c r="B161" s="8"/>
      <c r="C161" s="8"/>
      <c r="D161" s="8"/>
      <c r="E161" s="8"/>
      <c r="F161" s="11" t="str">
        <f>IFERROR(INDEX(Reference!$B$23:$B$24,MATCH(D161,Reference!$A$23:$A$24,0)),"")</f>
        <v/>
      </c>
      <c r="G161" s="11" t="str">
        <f t="shared" si="4"/>
        <v/>
      </c>
      <c r="H161" s="10" t="str">
        <f t="shared" si="5"/>
        <v/>
      </c>
    </row>
    <row r="162" spans="1:8" ht="15" customHeight="1" x14ac:dyDescent="0.2">
      <c r="A162" s="9"/>
      <c r="B162" s="8"/>
      <c r="C162" s="8"/>
      <c r="D162" s="8"/>
      <c r="E162" s="8"/>
      <c r="F162" s="11" t="str">
        <f>IFERROR(INDEX(Reference!$B$23:$B$24,MATCH(D162,Reference!$A$23:$A$24,0)),"")</f>
        <v/>
      </c>
      <c r="G162" s="11" t="str">
        <f t="shared" si="4"/>
        <v/>
      </c>
      <c r="H162" s="10" t="str">
        <f t="shared" si="5"/>
        <v/>
      </c>
    </row>
    <row r="163" spans="1:8" ht="15" customHeight="1" x14ac:dyDescent="0.2">
      <c r="A163" s="9"/>
      <c r="B163" s="8"/>
      <c r="C163" s="8"/>
      <c r="D163" s="8"/>
      <c r="E163" s="8"/>
      <c r="F163" s="11" t="str">
        <f>IFERROR(INDEX(Reference!$B$23:$B$24,MATCH(D163,Reference!$A$23:$A$24,0)),"")</f>
        <v/>
      </c>
      <c r="G163" s="11" t="str">
        <f t="shared" si="4"/>
        <v/>
      </c>
      <c r="H163" s="10" t="str">
        <f t="shared" si="5"/>
        <v/>
      </c>
    </row>
    <row r="164" spans="1:8" ht="15" customHeight="1" x14ac:dyDescent="0.2">
      <c r="A164" s="9"/>
      <c r="B164" s="8"/>
      <c r="C164" s="8"/>
      <c r="D164" s="8"/>
      <c r="E164" s="8"/>
      <c r="F164" s="11" t="str">
        <f>IFERROR(INDEX(Reference!$B$23:$B$24,MATCH(D164,Reference!$A$23:$A$24,0)),"")</f>
        <v/>
      </c>
      <c r="G164" s="11" t="str">
        <f t="shared" si="4"/>
        <v/>
      </c>
      <c r="H164" s="10" t="str">
        <f t="shared" si="5"/>
        <v/>
      </c>
    </row>
    <row r="165" spans="1:8" ht="15" customHeight="1" x14ac:dyDescent="0.2">
      <c r="A165" s="9"/>
      <c r="B165" s="8"/>
      <c r="C165" s="8"/>
      <c r="D165" s="8"/>
      <c r="E165" s="8"/>
      <c r="F165" s="11" t="str">
        <f>IFERROR(INDEX(Reference!$B$23:$B$24,MATCH(D165,Reference!$A$23:$A$24,0)),"")</f>
        <v/>
      </c>
      <c r="G165" s="11" t="str">
        <f t="shared" si="4"/>
        <v/>
      </c>
      <c r="H165" s="10" t="str">
        <f t="shared" si="5"/>
        <v/>
      </c>
    </row>
    <row r="166" spans="1:8" ht="15" customHeight="1" x14ac:dyDescent="0.2">
      <c r="A166" s="9"/>
      <c r="B166" s="8"/>
      <c r="C166" s="8"/>
      <c r="D166" s="8"/>
      <c r="E166" s="8"/>
      <c r="F166" s="11" t="str">
        <f>IFERROR(INDEX(Reference!$B$23:$B$24,MATCH(D166,Reference!$A$23:$A$24,0)),"")</f>
        <v/>
      </c>
      <c r="G166" s="11" t="str">
        <f t="shared" si="4"/>
        <v/>
      </c>
      <c r="H166" s="10" t="str">
        <f t="shared" si="5"/>
        <v/>
      </c>
    </row>
    <row r="167" spans="1:8" ht="15" customHeight="1" x14ac:dyDescent="0.2">
      <c r="A167" s="9"/>
      <c r="B167" s="8"/>
      <c r="C167" s="8"/>
      <c r="D167" s="8"/>
      <c r="E167" s="8"/>
      <c r="F167" s="11" t="str">
        <f>IFERROR(INDEX(Reference!$B$23:$B$24,MATCH(D167,Reference!$A$23:$A$24,0)),"")</f>
        <v/>
      </c>
      <c r="G167" s="11" t="str">
        <f t="shared" si="4"/>
        <v/>
      </c>
      <c r="H167" s="10" t="str">
        <f t="shared" si="5"/>
        <v/>
      </c>
    </row>
    <row r="168" spans="1:8" ht="15" customHeight="1" x14ac:dyDescent="0.2">
      <c r="A168" s="9"/>
      <c r="B168" s="8"/>
      <c r="C168" s="8"/>
      <c r="D168" s="8"/>
      <c r="E168" s="8"/>
      <c r="F168" s="11" t="str">
        <f>IFERROR(INDEX(Reference!$B$23:$B$24,MATCH(D168,Reference!$A$23:$A$24,0)),"")</f>
        <v/>
      </c>
      <c r="G168" s="11" t="str">
        <f t="shared" si="4"/>
        <v/>
      </c>
      <c r="H168" s="10" t="str">
        <f t="shared" si="5"/>
        <v/>
      </c>
    </row>
    <row r="169" spans="1:8" ht="15" customHeight="1" x14ac:dyDescent="0.2">
      <c r="A169" s="9"/>
      <c r="B169" s="8"/>
      <c r="C169" s="8"/>
      <c r="D169" s="8"/>
      <c r="E169" s="8"/>
      <c r="F169" s="11" t="str">
        <f>IFERROR(INDEX(Reference!$B$23:$B$24,MATCH(D169,Reference!$A$23:$A$24,0)),"")</f>
        <v/>
      </c>
      <c r="G169" s="11" t="str">
        <f t="shared" si="4"/>
        <v/>
      </c>
      <c r="H169" s="10" t="str">
        <f t="shared" si="5"/>
        <v/>
      </c>
    </row>
    <row r="170" spans="1:8" ht="15" customHeight="1" x14ac:dyDescent="0.2">
      <c r="A170" s="9"/>
      <c r="B170" s="8"/>
      <c r="C170" s="8"/>
      <c r="D170" s="8"/>
      <c r="E170" s="8"/>
      <c r="F170" s="11" t="str">
        <f>IFERROR(INDEX(Reference!$B$23:$B$24,MATCH(D170,Reference!$A$23:$A$24,0)),"")</f>
        <v/>
      </c>
      <c r="G170" s="11" t="str">
        <f t="shared" si="4"/>
        <v/>
      </c>
      <c r="H170" s="10" t="str">
        <f t="shared" si="5"/>
        <v/>
      </c>
    </row>
    <row r="171" spans="1:8" ht="15" customHeight="1" x14ac:dyDescent="0.2">
      <c r="A171" s="9"/>
      <c r="B171" s="8"/>
      <c r="C171" s="8"/>
      <c r="D171" s="8"/>
      <c r="E171" s="8"/>
      <c r="F171" s="11" t="str">
        <f>IFERROR(INDEX(Reference!$B$23:$B$24,MATCH(D171,Reference!$A$23:$A$24,0)),"")</f>
        <v/>
      </c>
      <c r="G171" s="11" t="str">
        <f t="shared" si="4"/>
        <v/>
      </c>
      <c r="H171" s="10" t="str">
        <f t="shared" si="5"/>
        <v/>
      </c>
    </row>
    <row r="172" spans="1:8" ht="15" customHeight="1" x14ac:dyDescent="0.2">
      <c r="A172" s="9"/>
      <c r="B172" s="8"/>
      <c r="C172" s="8"/>
      <c r="D172" s="8"/>
      <c r="E172" s="8"/>
      <c r="F172" s="11" t="str">
        <f>IFERROR(INDEX(Reference!$B$23:$B$24,MATCH(D172,Reference!$A$23:$A$24,0)),"")</f>
        <v/>
      </c>
      <c r="G172" s="11" t="str">
        <f t="shared" si="4"/>
        <v/>
      </c>
      <c r="H172" s="10" t="str">
        <f t="shared" si="5"/>
        <v/>
      </c>
    </row>
    <row r="173" spans="1:8" ht="15" customHeight="1" x14ac:dyDescent="0.2">
      <c r="A173" s="9"/>
      <c r="B173" s="8"/>
      <c r="C173" s="8"/>
      <c r="D173" s="8"/>
      <c r="E173" s="8"/>
      <c r="F173" s="11" t="str">
        <f>IFERROR(INDEX(Reference!$B$23:$B$24,MATCH(D173,Reference!$A$23:$A$24,0)),"")</f>
        <v/>
      </c>
      <c r="G173" s="11" t="str">
        <f t="shared" si="4"/>
        <v/>
      </c>
      <c r="H173" s="10" t="str">
        <f t="shared" si="5"/>
        <v/>
      </c>
    </row>
    <row r="174" spans="1:8" ht="15" customHeight="1" x14ac:dyDescent="0.2">
      <c r="A174" s="9"/>
      <c r="B174" s="8"/>
      <c r="C174" s="8"/>
      <c r="D174" s="8"/>
      <c r="E174" s="8"/>
      <c r="F174" s="11" t="str">
        <f>IFERROR(INDEX(Reference!$B$23:$B$24,MATCH(D174,Reference!$A$23:$A$24,0)),"")</f>
        <v/>
      </c>
      <c r="G174" s="11" t="str">
        <f t="shared" si="4"/>
        <v/>
      </c>
      <c r="H174" s="10" t="str">
        <f t="shared" si="5"/>
        <v/>
      </c>
    </row>
    <row r="175" spans="1:8" ht="15" customHeight="1" x14ac:dyDescent="0.2">
      <c r="A175" s="9"/>
      <c r="B175" s="8"/>
      <c r="C175" s="8"/>
      <c r="D175" s="8"/>
      <c r="E175" s="8"/>
      <c r="F175" s="11" t="str">
        <f>IFERROR(INDEX(Reference!$B$23:$B$24,MATCH(D175,Reference!$A$23:$A$24,0)),"")</f>
        <v/>
      </c>
      <c r="G175" s="11" t="str">
        <f t="shared" si="4"/>
        <v/>
      </c>
      <c r="H175" s="10" t="str">
        <f t="shared" si="5"/>
        <v/>
      </c>
    </row>
    <row r="176" spans="1:8" ht="15" customHeight="1" x14ac:dyDescent="0.2">
      <c r="A176" s="9"/>
      <c r="B176" s="8"/>
      <c r="C176" s="8"/>
      <c r="D176" s="8"/>
      <c r="E176" s="8"/>
      <c r="F176" s="11" t="str">
        <f>IFERROR(INDEX(Reference!$B$23:$B$24,MATCH(D176,Reference!$A$23:$A$24,0)),"")</f>
        <v/>
      </c>
      <c r="G176" s="11" t="str">
        <f t="shared" si="4"/>
        <v/>
      </c>
      <c r="H176" s="10" t="str">
        <f t="shared" si="5"/>
        <v/>
      </c>
    </row>
    <row r="177" spans="1:8" ht="15" customHeight="1" x14ac:dyDescent="0.2">
      <c r="A177" s="9"/>
      <c r="B177" s="8"/>
      <c r="C177" s="8"/>
      <c r="D177" s="8"/>
      <c r="E177" s="8"/>
      <c r="F177" s="11" t="str">
        <f>IFERROR(INDEX(Reference!$B$23:$B$24,MATCH(D177,Reference!$A$23:$A$24,0)),"")</f>
        <v/>
      </c>
      <c r="G177" s="11" t="str">
        <f t="shared" si="4"/>
        <v/>
      </c>
      <c r="H177" s="10" t="str">
        <f t="shared" si="5"/>
        <v/>
      </c>
    </row>
    <row r="178" spans="1:8" ht="15" customHeight="1" x14ac:dyDescent="0.2">
      <c r="A178" s="9"/>
      <c r="B178" s="8"/>
      <c r="C178" s="8"/>
      <c r="D178" s="8"/>
      <c r="E178" s="8"/>
      <c r="F178" s="11" t="str">
        <f>IFERROR(INDEX(Reference!$B$23:$B$24,MATCH(D178,Reference!$A$23:$A$24,0)),"")</f>
        <v/>
      </c>
      <c r="G178" s="11" t="str">
        <f t="shared" si="4"/>
        <v/>
      </c>
      <c r="H178" s="10" t="str">
        <f t="shared" si="5"/>
        <v/>
      </c>
    </row>
    <row r="179" spans="1:8" ht="15" customHeight="1" x14ac:dyDescent="0.2">
      <c r="A179" s="9"/>
      <c r="B179" s="8"/>
      <c r="C179" s="8"/>
      <c r="D179" s="8"/>
      <c r="E179" s="8"/>
      <c r="F179" s="11" t="str">
        <f>IFERROR(INDEX(Reference!$B$23:$B$24,MATCH(D179,Reference!$A$23:$A$24,0)),"")</f>
        <v/>
      </c>
      <c r="G179" s="11" t="str">
        <f t="shared" si="4"/>
        <v/>
      </c>
      <c r="H179" s="10" t="str">
        <f t="shared" si="5"/>
        <v/>
      </c>
    </row>
    <row r="180" spans="1:8" ht="15" customHeight="1" x14ac:dyDescent="0.2">
      <c r="A180" s="9"/>
      <c r="B180" s="8"/>
      <c r="C180" s="8"/>
      <c r="D180" s="8"/>
      <c r="E180" s="8"/>
      <c r="F180" s="11" t="str">
        <f>IFERROR(INDEX(Reference!$B$23:$B$24,MATCH(D180,Reference!$A$23:$A$24,0)),"")</f>
        <v/>
      </c>
      <c r="G180" s="11" t="str">
        <f t="shared" si="4"/>
        <v/>
      </c>
      <c r="H180" s="10" t="str">
        <f t="shared" si="5"/>
        <v/>
      </c>
    </row>
    <row r="181" spans="1:8" ht="15" customHeight="1" x14ac:dyDescent="0.2">
      <c r="A181" s="9"/>
      <c r="B181" s="8"/>
      <c r="C181" s="8"/>
      <c r="D181" s="8"/>
      <c r="E181" s="8"/>
      <c r="F181" s="11" t="str">
        <f>IFERROR(INDEX(Reference!$B$23:$B$24,MATCH(D181,Reference!$A$23:$A$24,0)),"")</f>
        <v/>
      </c>
      <c r="G181" s="11" t="str">
        <f t="shared" si="4"/>
        <v/>
      </c>
      <c r="H181" s="10" t="str">
        <f t="shared" si="5"/>
        <v/>
      </c>
    </row>
    <row r="182" spans="1:8" ht="15" customHeight="1" x14ac:dyDescent="0.2">
      <c r="A182" s="9"/>
      <c r="B182" s="8"/>
      <c r="C182" s="8"/>
      <c r="D182" s="8"/>
      <c r="E182" s="8"/>
      <c r="F182" s="11" t="str">
        <f>IFERROR(INDEX(Reference!$B$23:$B$24,MATCH(D182,Reference!$A$23:$A$24,0)),"")</f>
        <v/>
      </c>
      <c r="G182" s="11" t="str">
        <f t="shared" si="4"/>
        <v/>
      </c>
      <c r="H182" s="10" t="str">
        <f t="shared" si="5"/>
        <v/>
      </c>
    </row>
    <row r="183" spans="1:8" ht="15" customHeight="1" x14ac:dyDescent="0.2">
      <c r="A183" s="9"/>
      <c r="B183" s="8"/>
      <c r="C183" s="8"/>
      <c r="D183" s="8"/>
      <c r="E183" s="8"/>
      <c r="F183" s="11" t="str">
        <f>IFERROR(INDEX(Reference!$B$23:$B$24,MATCH(D183,Reference!$A$23:$A$24,0)),"")</f>
        <v/>
      </c>
      <c r="G183" s="11" t="str">
        <f t="shared" si="4"/>
        <v/>
      </c>
      <c r="H183" s="10" t="str">
        <f t="shared" si="5"/>
        <v/>
      </c>
    </row>
    <row r="184" spans="1:8" ht="15" customHeight="1" x14ac:dyDescent="0.2">
      <c r="A184" s="9"/>
      <c r="B184" s="8"/>
      <c r="C184" s="8"/>
      <c r="D184" s="8"/>
      <c r="E184" s="8"/>
      <c r="F184" s="11" t="str">
        <f>IFERROR(INDEX(Reference!$B$23:$B$24,MATCH(D184,Reference!$A$23:$A$24,0)),"")</f>
        <v/>
      </c>
      <c r="G184" s="11" t="str">
        <f t="shared" si="4"/>
        <v/>
      </c>
      <c r="H184" s="10" t="str">
        <f t="shared" si="5"/>
        <v/>
      </c>
    </row>
    <row r="185" spans="1:8" ht="15" customHeight="1" x14ac:dyDescent="0.2">
      <c r="A185" s="9"/>
      <c r="B185" s="8"/>
      <c r="C185" s="8"/>
      <c r="D185" s="8"/>
      <c r="E185" s="8"/>
      <c r="F185" s="11" t="str">
        <f>IFERROR(INDEX(Reference!$B$23:$B$24,MATCH(D185,Reference!$A$23:$A$24,0)),"")</f>
        <v/>
      </c>
      <c r="G185" s="11" t="str">
        <f t="shared" si="4"/>
        <v/>
      </c>
      <c r="H185" s="10" t="str">
        <f t="shared" si="5"/>
        <v/>
      </c>
    </row>
    <row r="186" spans="1:8" ht="15" customHeight="1" x14ac:dyDescent="0.2">
      <c r="A186" s="9"/>
      <c r="B186" s="8"/>
      <c r="C186" s="8"/>
      <c r="D186" s="8"/>
      <c r="E186" s="8"/>
      <c r="F186" s="11" t="str">
        <f>IFERROR(INDEX(Reference!$B$23:$B$24,MATCH(D186,Reference!$A$23:$A$24,0)),"")</f>
        <v/>
      </c>
      <c r="G186" s="11" t="str">
        <f t="shared" si="4"/>
        <v/>
      </c>
      <c r="H186" s="10" t="str">
        <f t="shared" si="5"/>
        <v/>
      </c>
    </row>
    <row r="187" spans="1:8" ht="15" customHeight="1" x14ac:dyDescent="0.2">
      <c r="A187" s="9"/>
      <c r="B187" s="8"/>
      <c r="C187" s="8"/>
      <c r="D187" s="8"/>
      <c r="E187" s="8"/>
      <c r="F187" s="11" t="str">
        <f>IFERROR(INDEX(Reference!$B$23:$B$24,MATCH(D187,Reference!$A$23:$A$24,0)),"")</f>
        <v/>
      </c>
      <c r="G187" s="11" t="str">
        <f t="shared" si="4"/>
        <v/>
      </c>
      <c r="H187" s="10" t="str">
        <f t="shared" si="5"/>
        <v/>
      </c>
    </row>
    <row r="188" spans="1:8" ht="15" customHeight="1" x14ac:dyDescent="0.2">
      <c r="A188" s="9"/>
      <c r="B188" s="8"/>
      <c r="C188" s="8"/>
      <c r="D188" s="8"/>
      <c r="E188" s="8"/>
      <c r="F188" s="11" t="str">
        <f>IFERROR(INDEX(Reference!$B$23:$B$24,MATCH(D188,Reference!$A$23:$A$24,0)),"")</f>
        <v/>
      </c>
      <c r="G188" s="11" t="str">
        <f t="shared" si="4"/>
        <v/>
      </c>
      <c r="H188" s="10" t="str">
        <f t="shared" si="5"/>
        <v/>
      </c>
    </row>
    <row r="189" spans="1:8" ht="15" customHeight="1" x14ac:dyDescent="0.2">
      <c r="A189" s="9"/>
      <c r="B189" s="8"/>
      <c r="C189" s="8"/>
      <c r="D189" s="8"/>
      <c r="E189" s="8"/>
      <c r="F189" s="11" t="str">
        <f>IFERROR(INDEX(Reference!$B$23:$B$24,MATCH(D189,Reference!$A$23:$A$24,0)),"")</f>
        <v/>
      </c>
      <c r="G189" s="11" t="str">
        <f t="shared" si="4"/>
        <v/>
      </c>
      <c r="H189" s="10" t="str">
        <f t="shared" si="5"/>
        <v/>
      </c>
    </row>
    <row r="190" spans="1:8" ht="15" customHeight="1" x14ac:dyDescent="0.2">
      <c r="A190" s="9"/>
      <c r="B190" s="8"/>
      <c r="C190" s="8"/>
      <c r="D190" s="8"/>
      <c r="E190" s="8"/>
      <c r="F190" s="11" t="str">
        <f>IFERROR(INDEX(Reference!$B$23:$B$24,MATCH(D190,Reference!$A$23:$A$24,0)),"")</f>
        <v/>
      </c>
      <c r="G190" s="11" t="str">
        <f t="shared" si="4"/>
        <v/>
      </c>
      <c r="H190" s="10" t="str">
        <f t="shared" si="5"/>
        <v/>
      </c>
    </row>
    <row r="191" spans="1:8" ht="15" customHeight="1" x14ac:dyDescent="0.2">
      <c r="A191" s="9"/>
      <c r="B191" s="8"/>
      <c r="C191" s="8"/>
      <c r="D191" s="8"/>
      <c r="E191" s="8"/>
      <c r="F191" s="11" t="str">
        <f>IFERROR(INDEX(Reference!$B$23:$B$24,MATCH(D191,Reference!$A$23:$A$24,0)),"")</f>
        <v/>
      </c>
      <c r="G191" s="11" t="str">
        <f t="shared" si="4"/>
        <v/>
      </c>
      <c r="H191" s="10" t="str">
        <f t="shared" si="5"/>
        <v/>
      </c>
    </row>
    <row r="192" spans="1:8" ht="15" customHeight="1" x14ac:dyDescent="0.2">
      <c r="A192" s="9"/>
      <c r="B192" s="8"/>
      <c r="C192" s="8"/>
      <c r="D192" s="8"/>
      <c r="E192" s="8"/>
      <c r="F192" s="11" t="str">
        <f>IFERROR(INDEX(Reference!$B$23:$B$24,MATCH(D192,Reference!$A$23:$A$24,0)),"")</f>
        <v/>
      </c>
      <c r="G192" s="11" t="str">
        <f t="shared" si="4"/>
        <v/>
      </c>
      <c r="H192" s="10" t="str">
        <f t="shared" si="5"/>
        <v/>
      </c>
    </row>
    <row r="193" spans="1:8" ht="15" customHeight="1" x14ac:dyDescent="0.2">
      <c r="A193" s="9"/>
      <c r="B193" s="8"/>
      <c r="C193" s="8"/>
      <c r="D193" s="8"/>
      <c r="E193" s="8"/>
      <c r="F193" s="11" t="str">
        <f>IFERROR(INDEX(Reference!$B$23:$B$24,MATCH(D193,Reference!$A$23:$A$24,0)),"")</f>
        <v/>
      </c>
      <c r="G193" s="11" t="str">
        <f t="shared" si="4"/>
        <v/>
      </c>
      <c r="H193" s="10" t="str">
        <f t="shared" si="5"/>
        <v/>
      </c>
    </row>
    <row r="194" spans="1:8" ht="15" customHeight="1" x14ac:dyDescent="0.2">
      <c r="A194" s="9"/>
      <c r="B194" s="8"/>
      <c r="C194" s="8"/>
      <c r="D194" s="8"/>
      <c r="E194" s="8"/>
      <c r="F194" s="11" t="str">
        <f>IFERROR(INDEX(Reference!$B$23:$B$24,MATCH(D194,Reference!$A$23:$A$24,0)),"")</f>
        <v/>
      </c>
      <c r="G194" s="11" t="str">
        <f t="shared" ref="G194:G257" si="6">IF(OR(E194="",F194=""),"",E194*F194)</f>
        <v/>
      </c>
      <c r="H194" s="10" t="str">
        <f t="shared" ref="H194:H257" si="7">IF(A194="","",IF(MONTH(A194)&gt;=8,YEAR(A194)&amp;"-"&amp;RIGHT(YEAR(A194)+1,2),YEAR(A194)-1&amp;"-"&amp;RIGHT(YEAR(A194),2)))</f>
        <v/>
      </c>
    </row>
    <row r="195" spans="1:8" ht="15" customHeight="1" x14ac:dyDescent="0.2">
      <c r="A195" s="9"/>
      <c r="B195" s="8"/>
      <c r="C195" s="8"/>
      <c r="D195" s="8"/>
      <c r="E195" s="8"/>
      <c r="F195" s="11" t="str">
        <f>IFERROR(INDEX(Reference!$B$23:$B$24,MATCH(D195,Reference!$A$23:$A$24,0)),"")</f>
        <v/>
      </c>
      <c r="G195" s="11" t="str">
        <f t="shared" si="6"/>
        <v/>
      </c>
      <c r="H195" s="10" t="str">
        <f t="shared" si="7"/>
        <v/>
      </c>
    </row>
    <row r="196" spans="1:8" ht="15" customHeight="1" x14ac:dyDescent="0.2">
      <c r="A196" s="9"/>
      <c r="B196" s="8"/>
      <c r="C196" s="8"/>
      <c r="D196" s="8"/>
      <c r="E196" s="8"/>
      <c r="F196" s="11" t="str">
        <f>IFERROR(INDEX(Reference!$B$23:$B$24,MATCH(D196,Reference!$A$23:$A$24,0)),"")</f>
        <v/>
      </c>
      <c r="G196" s="11" t="str">
        <f t="shared" si="6"/>
        <v/>
      </c>
      <c r="H196" s="10" t="str">
        <f t="shared" si="7"/>
        <v/>
      </c>
    </row>
    <row r="197" spans="1:8" ht="15" customHeight="1" x14ac:dyDescent="0.2">
      <c r="A197" s="9"/>
      <c r="B197" s="8"/>
      <c r="C197" s="8"/>
      <c r="D197" s="8"/>
      <c r="E197" s="8"/>
      <c r="F197" s="11" t="str">
        <f>IFERROR(INDEX(Reference!$B$23:$B$24,MATCH(D197,Reference!$A$23:$A$24,0)),"")</f>
        <v/>
      </c>
      <c r="G197" s="11" t="str">
        <f t="shared" si="6"/>
        <v/>
      </c>
      <c r="H197" s="10" t="str">
        <f t="shared" si="7"/>
        <v/>
      </c>
    </row>
    <row r="198" spans="1:8" ht="15" customHeight="1" x14ac:dyDescent="0.2">
      <c r="A198" s="9"/>
      <c r="B198" s="8"/>
      <c r="C198" s="8"/>
      <c r="D198" s="8"/>
      <c r="E198" s="8"/>
      <c r="F198" s="11" t="str">
        <f>IFERROR(INDEX(Reference!$B$23:$B$24,MATCH(D198,Reference!$A$23:$A$24,0)),"")</f>
        <v/>
      </c>
      <c r="G198" s="11" t="str">
        <f t="shared" si="6"/>
        <v/>
      </c>
      <c r="H198" s="10" t="str">
        <f t="shared" si="7"/>
        <v/>
      </c>
    </row>
    <row r="199" spans="1:8" ht="15" customHeight="1" x14ac:dyDescent="0.2">
      <c r="A199" s="9"/>
      <c r="B199" s="8"/>
      <c r="C199" s="8"/>
      <c r="D199" s="8"/>
      <c r="E199" s="8"/>
      <c r="F199" s="11" t="str">
        <f>IFERROR(INDEX(Reference!$B$23:$B$24,MATCH(D199,Reference!$A$23:$A$24,0)),"")</f>
        <v/>
      </c>
      <c r="G199" s="11" t="str">
        <f t="shared" si="6"/>
        <v/>
      </c>
      <c r="H199" s="10" t="str">
        <f t="shared" si="7"/>
        <v/>
      </c>
    </row>
    <row r="200" spans="1:8" ht="15" customHeight="1" x14ac:dyDescent="0.2">
      <c r="A200" s="9"/>
      <c r="B200" s="8"/>
      <c r="C200" s="8"/>
      <c r="D200" s="8"/>
      <c r="E200" s="8"/>
      <c r="F200" s="11" t="str">
        <f>IFERROR(INDEX(Reference!$B$23:$B$24,MATCH(D200,Reference!$A$23:$A$24,0)),"")</f>
        <v/>
      </c>
      <c r="G200" s="11" t="str">
        <f t="shared" si="6"/>
        <v/>
      </c>
      <c r="H200" s="10" t="str">
        <f t="shared" si="7"/>
        <v/>
      </c>
    </row>
    <row r="201" spans="1:8" ht="15" customHeight="1" x14ac:dyDescent="0.2">
      <c r="A201" s="9"/>
      <c r="B201" s="8"/>
      <c r="C201" s="8"/>
      <c r="D201" s="8"/>
      <c r="E201" s="8"/>
      <c r="F201" s="11" t="str">
        <f>IFERROR(INDEX(Reference!$B$23:$B$24,MATCH(D201,Reference!$A$23:$A$24,0)),"")</f>
        <v/>
      </c>
      <c r="G201" s="11" t="str">
        <f t="shared" si="6"/>
        <v/>
      </c>
      <c r="H201" s="10" t="str">
        <f t="shared" si="7"/>
        <v/>
      </c>
    </row>
    <row r="202" spans="1:8" ht="15" customHeight="1" x14ac:dyDescent="0.2">
      <c r="A202" s="9"/>
      <c r="B202" s="8"/>
      <c r="C202" s="8"/>
      <c r="D202" s="8"/>
      <c r="E202" s="8"/>
      <c r="F202" s="11" t="str">
        <f>IFERROR(INDEX(Reference!$B$23:$B$24,MATCH(D202,Reference!$A$23:$A$24,0)),"")</f>
        <v/>
      </c>
      <c r="G202" s="11" t="str">
        <f t="shared" si="6"/>
        <v/>
      </c>
      <c r="H202" s="10" t="str">
        <f t="shared" si="7"/>
        <v/>
      </c>
    </row>
    <row r="203" spans="1:8" ht="15" customHeight="1" x14ac:dyDescent="0.2">
      <c r="A203" s="9"/>
      <c r="B203" s="8"/>
      <c r="C203" s="8"/>
      <c r="D203" s="8"/>
      <c r="E203" s="8"/>
      <c r="F203" s="11" t="str">
        <f>IFERROR(INDEX(Reference!$B$23:$B$24,MATCH(D203,Reference!$A$23:$A$24,0)),"")</f>
        <v/>
      </c>
      <c r="G203" s="11" t="str">
        <f t="shared" si="6"/>
        <v/>
      </c>
      <c r="H203" s="10" t="str">
        <f t="shared" si="7"/>
        <v/>
      </c>
    </row>
    <row r="204" spans="1:8" ht="15" customHeight="1" x14ac:dyDescent="0.2">
      <c r="A204" s="9"/>
      <c r="B204" s="8"/>
      <c r="C204" s="8"/>
      <c r="D204" s="8"/>
      <c r="E204" s="8"/>
      <c r="F204" s="11" t="str">
        <f>IFERROR(INDEX(Reference!$B$23:$B$24,MATCH(D204,Reference!$A$23:$A$24,0)),"")</f>
        <v/>
      </c>
      <c r="G204" s="11" t="str">
        <f t="shared" si="6"/>
        <v/>
      </c>
      <c r="H204" s="10" t="str">
        <f t="shared" si="7"/>
        <v/>
      </c>
    </row>
    <row r="205" spans="1:8" ht="15" customHeight="1" x14ac:dyDescent="0.2">
      <c r="A205" s="9"/>
      <c r="B205" s="8"/>
      <c r="C205" s="8"/>
      <c r="D205" s="8"/>
      <c r="E205" s="8"/>
      <c r="F205" s="11" t="str">
        <f>IFERROR(INDEX(Reference!$B$23:$B$24,MATCH(D205,Reference!$A$23:$A$24,0)),"")</f>
        <v/>
      </c>
      <c r="G205" s="11" t="str">
        <f t="shared" si="6"/>
        <v/>
      </c>
      <c r="H205" s="10" t="str">
        <f t="shared" si="7"/>
        <v/>
      </c>
    </row>
    <row r="206" spans="1:8" ht="15" customHeight="1" x14ac:dyDescent="0.2">
      <c r="A206" s="9"/>
      <c r="B206" s="8"/>
      <c r="C206" s="8"/>
      <c r="D206" s="8"/>
      <c r="E206" s="8"/>
      <c r="F206" s="11" t="str">
        <f>IFERROR(INDEX(Reference!$B$23:$B$24,MATCH(D206,Reference!$A$23:$A$24,0)),"")</f>
        <v/>
      </c>
      <c r="G206" s="11" t="str">
        <f t="shared" si="6"/>
        <v/>
      </c>
      <c r="H206" s="10" t="str">
        <f t="shared" si="7"/>
        <v/>
      </c>
    </row>
    <row r="207" spans="1:8" ht="15" customHeight="1" x14ac:dyDescent="0.2">
      <c r="A207" s="9"/>
      <c r="B207" s="8"/>
      <c r="C207" s="8"/>
      <c r="D207" s="8"/>
      <c r="E207" s="8"/>
      <c r="F207" s="11" t="str">
        <f>IFERROR(INDEX(Reference!$B$23:$B$24,MATCH(D207,Reference!$A$23:$A$24,0)),"")</f>
        <v/>
      </c>
      <c r="G207" s="11" t="str">
        <f t="shared" si="6"/>
        <v/>
      </c>
      <c r="H207" s="10" t="str">
        <f t="shared" si="7"/>
        <v/>
      </c>
    </row>
    <row r="208" spans="1:8" ht="15" customHeight="1" x14ac:dyDescent="0.2">
      <c r="A208" s="9"/>
      <c r="B208" s="8"/>
      <c r="C208" s="8"/>
      <c r="D208" s="8"/>
      <c r="E208" s="8"/>
      <c r="F208" s="11" t="str">
        <f>IFERROR(INDEX(Reference!$B$23:$B$24,MATCH(D208,Reference!$A$23:$A$24,0)),"")</f>
        <v/>
      </c>
      <c r="G208" s="11" t="str">
        <f t="shared" si="6"/>
        <v/>
      </c>
      <c r="H208" s="10" t="str">
        <f t="shared" si="7"/>
        <v/>
      </c>
    </row>
    <row r="209" spans="1:8" ht="15" customHeight="1" x14ac:dyDescent="0.2">
      <c r="A209" s="9"/>
      <c r="B209" s="8"/>
      <c r="C209" s="8"/>
      <c r="D209" s="8"/>
      <c r="E209" s="8"/>
      <c r="F209" s="11" t="str">
        <f>IFERROR(INDEX(Reference!$B$23:$B$24,MATCH(D209,Reference!$A$23:$A$24,0)),"")</f>
        <v/>
      </c>
      <c r="G209" s="11" t="str">
        <f t="shared" si="6"/>
        <v/>
      </c>
      <c r="H209" s="10" t="str">
        <f t="shared" si="7"/>
        <v/>
      </c>
    </row>
    <row r="210" spans="1:8" ht="15" customHeight="1" x14ac:dyDescent="0.2">
      <c r="A210" s="9"/>
      <c r="B210" s="8"/>
      <c r="C210" s="8"/>
      <c r="D210" s="8"/>
      <c r="E210" s="8"/>
      <c r="F210" s="11" t="str">
        <f>IFERROR(INDEX(Reference!$B$23:$B$24,MATCH(D210,Reference!$A$23:$A$24,0)),"")</f>
        <v/>
      </c>
      <c r="G210" s="11" t="str">
        <f t="shared" si="6"/>
        <v/>
      </c>
      <c r="H210" s="10" t="str">
        <f t="shared" si="7"/>
        <v/>
      </c>
    </row>
    <row r="211" spans="1:8" ht="15" customHeight="1" x14ac:dyDescent="0.2">
      <c r="A211" s="9"/>
      <c r="B211" s="8"/>
      <c r="C211" s="8"/>
      <c r="D211" s="8"/>
      <c r="E211" s="8"/>
      <c r="F211" s="11" t="str">
        <f>IFERROR(INDEX(Reference!$B$23:$B$24,MATCH(D211,Reference!$A$23:$A$24,0)),"")</f>
        <v/>
      </c>
      <c r="G211" s="11" t="str">
        <f t="shared" si="6"/>
        <v/>
      </c>
      <c r="H211" s="10" t="str">
        <f t="shared" si="7"/>
        <v/>
      </c>
    </row>
    <row r="212" spans="1:8" ht="15" customHeight="1" x14ac:dyDescent="0.2">
      <c r="A212" s="9"/>
      <c r="B212" s="8"/>
      <c r="C212" s="8"/>
      <c r="D212" s="8"/>
      <c r="E212" s="8"/>
      <c r="F212" s="11" t="str">
        <f>IFERROR(INDEX(Reference!$B$23:$B$24,MATCH(D212,Reference!$A$23:$A$24,0)),"")</f>
        <v/>
      </c>
      <c r="G212" s="11" t="str">
        <f t="shared" si="6"/>
        <v/>
      </c>
      <c r="H212" s="10" t="str">
        <f t="shared" si="7"/>
        <v/>
      </c>
    </row>
    <row r="213" spans="1:8" ht="15" customHeight="1" x14ac:dyDescent="0.2">
      <c r="A213" s="9"/>
      <c r="B213" s="8"/>
      <c r="C213" s="8"/>
      <c r="D213" s="8"/>
      <c r="E213" s="8"/>
      <c r="F213" s="11" t="str">
        <f>IFERROR(INDEX(Reference!$B$23:$B$24,MATCH(D213,Reference!$A$23:$A$24,0)),"")</f>
        <v/>
      </c>
      <c r="G213" s="11" t="str">
        <f t="shared" si="6"/>
        <v/>
      </c>
      <c r="H213" s="10" t="str">
        <f t="shared" si="7"/>
        <v/>
      </c>
    </row>
    <row r="214" spans="1:8" ht="15" customHeight="1" x14ac:dyDescent="0.2">
      <c r="A214" s="9"/>
      <c r="B214" s="8"/>
      <c r="C214" s="8"/>
      <c r="D214" s="8"/>
      <c r="E214" s="8"/>
      <c r="F214" s="11" t="str">
        <f>IFERROR(INDEX(Reference!$B$23:$B$24,MATCH(D214,Reference!$A$23:$A$24,0)),"")</f>
        <v/>
      </c>
      <c r="G214" s="11" t="str">
        <f t="shared" si="6"/>
        <v/>
      </c>
      <c r="H214" s="10" t="str">
        <f t="shared" si="7"/>
        <v/>
      </c>
    </row>
    <row r="215" spans="1:8" ht="15" customHeight="1" x14ac:dyDescent="0.2">
      <c r="A215" s="9"/>
      <c r="B215" s="8"/>
      <c r="C215" s="8"/>
      <c r="D215" s="8"/>
      <c r="E215" s="8"/>
      <c r="F215" s="11" t="str">
        <f>IFERROR(INDEX(Reference!$B$23:$B$24,MATCH(D215,Reference!$A$23:$A$24,0)),"")</f>
        <v/>
      </c>
      <c r="G215" s="11" t="str">
        <f t="shared" si="6"/>
        <v/>
      </c>
      <c r="H215" s="10" t="str">
        <f t="shared" si="7"/>
        <v/>
      </c>
    </row>
    <row r="216" spans="1:8" ht="15" customHeight="1" x14ac:dyDescent="0.2">
      <c r="A216" s="9"/>
      <c r="B216" s="8"/>
      <c r="C216" s="8"/>
      <c r="D216" s="8"/>
      <c r="E216" s="8"/>
      <c r="F216" s="11" t="str">
        <f>IFERROR(INDEX(Reference!$B$23:$B$24,MATCH(D216,Reference!$A$23:$A$24,0)),"")</f>
        <v/>
      </c>
      <c r="G216" s="11" t="str">
        <f t="shared" si="6"/>
        <v/>
      </c>
      <c r="H216" s="10" t="str">
        <f t="shared" si="7"/>
        <v/>
      </c>
    </row>
    <row r="217" spans="1:8" ht="15" customHeight="1" x14ac:dyDescent="0.2">
      <c r="A217" s="9"/>
      <c r="B217" s="8"/>
      <c r="C217" s="8"/>
      <c r="D217" s="8"/>
      <c r="E217" s="8"/>
      <c r="F217" s="11" t="str">
        <f>IFERROR(INDEX(Reference!$B$23:$B$24,MATCH(D217,Reference!$A$23:$A$24,0)),"")</f>
        <v/>
      </c>
      <c r="G217" s="11" t="str">
        <f t="shared" si="6"/>
        <v/>
      </c>
      <c r="H217" s="10" t="str">
        <f t="shared" si="7"/>
        <v/>
      </c>
    </row>
    <row r="218" spans="1:8" ht="15" customHeight="1" x14ac:dyDescent="0.2">
      <c r="A218" s="9"/>
      <c r="B218" s="8"/>
      <c r="C218" s="8"/>
      <c r="D218" s="8"/>
      <c r="E218" s="8"/>
      <c r="F218" s="11" t="str">
        <f>IFERROR(INDEX(Reference!$B$23:$B$24,MATCH(D218,Reference!$A$23:$A$24,0)),"")</f>
        <v/>
      </c>
      <c r="G218" s="11" t="str">
        <f t="shared" si="6"/>
        <v/>
      </c>
      <c r="H218" s="10" t="str">
        <f t="shared" si="7"/>
        <v/>
      </c>
    </row>
    <row r="219" spans="1:8" ht="15" customHeight="1" x14ac:dyDescent="0.2">
      <c r="A219" s="9"/>
      <c r="B219" s="8"/>
      <c r="C219" s="8"/>
      <c r="D219" s="8"/>
      <c r="E219" s="8"/>
      <c r="F219" s="11" t="str">
        <f>IFERROR(INDEX(Reference!$B$23:$B$24,MATCH(D219,Reference!$A$23:$A$24,0)),"")</f>
        <v/>
      </c>
      <c r="G219" s="11" t="str">
        <f t="shared" si="6"/>
        <v/>
      </c>
      <c r="H219" s="10" t="str">
        <f t="shared" si="7"/>
        <v/>
      </c>
    </row>
    <row r="220" spans="1:8" ht="15" customHeight="1" x14ac:dyDescent="0.2">
      <c r="A220" s="9"/>
      <c r="B220" s="8"/>
      <c r="C220" s="8"/>
      <c r="D220" s="8"/>
      <c r="E220" s="8"/>
      <c r="F220" s="11" t="str">
        <f>IFERROR(INDEX(Reference!$B$23:$B$24,MATCH(D220,Reference!$A$23:$A$24,0)),"")</f>
        <v/>
      </c>
      <c r="G220" s="11" t="str">
        <f t="shared" si="6"/>
        <v/>
      </c>
      <c r="H220" s="10" t="str">
        <f t="shared" si="7"/>
        <v/>
      </c>
    </row>
    <row r="221" spans="1:8" ht="15" customHeight="1" x14ac:dyDescent="0.2">
      <c r="A221" s="9"/>
      <c r="B221" s="8"/>
      <c r="C221" s="8"/>
      <c r="D221" s="8"/>
      <c r="E221" s="8"/>
      <c r="F221" s="11" t="str">
        <f>IFERROR(INDEX(Reference!$B$23:$B$24,MATCH(D221,Reference!$A$23:$A$24,0)),"")</f>
        <v/>
      </c>
      <c r="G221" s="11" t="str">
        <f t="shared" si="6"/>
        <v/>
      </c>
      <c r="H221" s="10" t="str">
        <f t="shared" si="7"/>
        <v/>
      </c>
    </row>
    <row r="222" spans="1:8" ht="15" customHeight="1" x14ac:dyDescent="0.2">
      <c r="A222" s="9"/>
      <c r="B222" s="8"/>
      <c r="C222" s="8"/>
      <c r="D222" s="8"/>
      <c r="E222" s="8"/>
      <c r="F222" s="11" t="str">
        <f>IFERROR(INDEX(Reference!$B$23:$B$24,MATCH(D222,Reference!$A$23:$A$24,0)),"")</f>
        <v/>
      </c>
      <c r="G222" s="11" t="str">
        <f t="shared" si="6"/>
        <v/>
      </c>
      <c r="H222" s="10" t="str">
        <f t="shared" si="7"/>
        <v/>
      </c>
    </row>
    <row r="223" spans="1:8" ht="15" customHeight="1" x14ac:dyDescent="0.2">
      <c r="A223" s="9"/>
      <c r="B223" s="8"/>
      <c r="C223" s="8"/>
      <c r="D223" s="8"/>
      <c r="E223" s="8"/>
      <c r="F223" s="11" t="str">
        <f>IFERROR(INDEX(Reference!$B$23:$B$24,MATCH(D223,Reference!$A$23:$A$24,0)),"")</f>
        <v/>
      </c>
      <c r="G223" s="11" t="str">
        <f t="shared" si="6"/>
        <v/>
      </c>
      <c r="H223" s="10" t="str">
        <f t="shared" si="7"/>
        <v/>
      </c>
    </row>
    <row r="224" spans="1:8" ht="15" customHeight="1" x14ac:dyDescent="0.2">
      <c r="A224" s="9"/>
      <c r="B224" s="8"/>
      <c r="C224" s="8"/>
      <c r="D224" s="8"/>
      <c r="E224" s="8"/>
      <c r="F224" s="11" t="str">
        <f>IFERROR(INDEX(Reference!$B$23:$B$24,MATCH(D224,Reference!$A$23:$A$24,0)),"")</f>
        <v/>
      </c>
      <c r="G224" s="11" t="str">
        <f t="shared" si="6"/>
        <v/>
      </c>
      <c r="H224" s="10" t="str">
        <f t="shared" si="7"/>
        <v/>
      </c>
    </row>
    <row r="225" spans="1:8" ht="15" customHeight="1" x14ac:dyDescent="0.2">
      <c r="A225" s="9"/>
      <c r="B225" s="8"/>
      <c r="C225" s="8"/>
      <c r="D225" s="8"/>
      <c r="E225" s="8"/>
      <c r="F225" s="11" t="str">
        <f>IFERROR(INDEX(Reference!$B$23:$B$24,MATCH(D225,Reference!$A$23:$A$24,0)),"")</f>
        <v/>
      </c>
      <c r="G225" s="11" t="str">
        <f t="shared" si="6"/>
        <v/>
      </c>
      <c r="H225" s="10" t="str">
        <f t="shared" si="7"/>
        <v/>
      </c>
    </row>
    <row r="226" spans="1:8" ht="15" customHeight="1" x14ac:dyDescent="0.2">
      <c r="A226" s="9"/>
      <c r="B226" s="8"/>
      <c r="C226" s="8"/>
      <c r="D226" s="8"/>
      <c r="E226" s="8"/>
      <c r="F226" s="11" t="str">
        <f>IFERROR(INDEX(Reference!$B$23:$B$24,MATCH(D226,Reference!$A$23:$A$24,0)),"")</f>
        <v/>
      </c>
      <c r="G226" s="11" t="str">
        <f t="shared" si="6"/>
        <v/>
      </c>
      <c r="H226" s="10" t="str">
        <f t="shared" si="7"/>
        <v/>
      </c>
    </row>
    <row r="227" spans="1:8" ht="15" customHeight="1" x14ac:dyDescent="0.2">
      <c r="A227" s="9"/>
      <c r="B227" s="8"/>
      <c r="C227" s="8"/>
      <c r="D227" s="8"/>
      <c r="E227" s="8"/>
      <c r="F227" s="11" t="str">
        <f>IFERROR(INDEX(Reference!$B$23:$B$24,MATCH(D227,Reference!$A$23:$A$24,0)),"")</f>
        <v/>
      </c>
      <c r="G227" s="11" t="str">
        <f t="shared" si="6"/>
        <v/>
      </c>
      <c r="H227" s="10" t="str">
        <f t="shared" si="7"/>
        <v/>
      </c>
    </row>
    <row r="228" spans="1:8" ht="15" customHeight="1" x14ac:dyDescent="0.2">
      <c r="A228" s="9"/>
      <c r="B228" s="8"/>
      <c r="C228" s="8"/>
      <c r="D228" s="8"/>
      <c r="E228" s="8"/>
      <c r="F228" s="11" t="str">
        <f>IFERROR(INDEX(Reference!$B$23:$B$24,MATCH(D228,Reference!$A$23:$A$24,0)),"")</f>
        <v/>
      </c>
      <c r="G228" s="11" t="str">
        <f t="shared" si="6"/>
        <v/>
      </c>
      <c r="H228" s="10" t="str">
        <f t="shared" si="7"/>
        <v/>
      </c>
    </row>
    <row r="229" spans="1:8" ht="15" customHeight="1" x14ac:dyDescent="0.2">
      <c r="A229" s="9"/>
      <c r="B229" s="8"/>
      <c r="C229" s="8"/>
      <c r="D229" s="8"/>
      <c r="E229" s="8"/>
      <c r="F229" s="11" t="str">
        <f>IFERROR(INDEX(Reference!$B$23:$B$24,MATCH(D229,Reference!$A$23:$A$24,0)),"")</f>
        <v/>
      </c>
      <c r="G229" s="11" t="str">
        <f t="shared" si="6"/>
        <v/>
      </c>
      <c r="H229" s="10" t="str">
        <f t="shared" si="7"/>
        <v/>
      </c>
    </row>
    <row r="230" spans="1:8" ht="15" customHeight="1" x14ac:dyDescent="0.2">
      <c r="A230" s="9"/>
      <c r="B230" s="8"/>
      <c r="C230" s="8"/>
      <c r="D230" s="8"/>
      <c r="E230" s="8"/>
      <c r="F230" s="11" t="str">
        <f>IFERROR(INDEX(Reference!$B$23:$B$24,MATCH(D230,Reference!$A$23:$A$24,0)),"")</f>
        <v/>
      </c>
      <c r="G230" s="11" t="str">
        <f t="shared" si="6"/>
        <v/>
      </c>
      <c r="H230" s="10" t="str">
        <f t="shared" si="7"/>
        <v/>
      </c>
    </row>
    <row r="231" spans="1:8" ht="15" customHeight="1" x14ac:dyDescent="0.2">
      <c r="A231" s="9"/>
      <c r="B231" s="8"/>
      <c r="C231" s="8"/>
      <c r="D231" s="8"/>
      <c r="E231" s="8"/>
      <c r="F231" s="11" t="str">
        <f>IFERROR(INDEX(Reference!$B$23:$B$24,MATCH(D231,Reference!$A$23:$A$24,0)),"")</f>
        <v/>
      </c>
      <c r="G231" s="11" t="str">
        <f t="shared" si="6"/>
        <v/>
      </c>
      <c r="H231" s="10" t="str">
        <f t="shared" si="7"/>
        <v/>
      </c>
    </row>
    <row r="232" spans="1:8" ht="15" customHeight="1" x14ac:dyDescent="0.2">
      <c r="A232" s="9"/>
      <c r="B232" s="8"/>
      <c r="C232" s="8"/>
      <c r="D232" s="8"/>
      <c r="E232" s="8"/>
      <c r="F232" s="11" t="str">
        <f>IFERROR(INDEX(Reference!$B$23:$B$24,MATCH(D232,Reference!$A$23:$A$24,0)),"")</f>
        <v/>
      </c>
      <c r="G232" s="11" t="str">
        <f t="shared" si="6"/>
        <v/>
      </c>
      <c r="H232" s="10" t="str">
        <f t="shared" si="7"/>
        <v/>
      </c>
    </row>
    <row r="233" spans="1:8" ht="15" customHeight="1" x14ac:dyDescent="0.2">
      <c r="A233" s="9"/>
      <c r="B233" s="8"/>
      <c r="C233" s="8"/>
      <c r="D233" s="8"/>
      <c r="E233" s="8"/>
      <c r="F233" s="11" t="str">
        <f>IFERROR(INDEX(Reference!$B$23:$B$24,MATCH(D233,Reference!$A$23:$A$24,0)),"")</f>
        <v/>
      </c>
      <c r="G233" s="11" t="str">
        <f t="shared" si="6"/>
        <v/>
      </c>
      <c r="H233" s="10" t="str">
        <f t="shared" si="7"/>
        <v/>
      </c>
    </row>
    <row r="234" spans="1:8" ht="15" customHeight="1" x14ac:dyDescent="0.2">
      <c r="A234" s="9"/>
      <c r="B234" s="8"/>
      <c r="C234" s="8"/>
      <c r="D234" s="8"/>
      <c r="E234" s="8"/>
      <c r="F234" s="11" t="str">
        <f>IFERROR(INDEX(Reference!$B$23:$B$24,MATCH(D234,Reference!$A$23:$A$24,0)),"")</f>
        <v/>
      </c>
      <c r="G234" s="11" t="str">
        <f t="shared" si="6"/>
        <v/>
      </c>
      <c r="H234" s="10" t="str">
        <f t="shared" si="7"/>
        <v/>
      </c>
    </row>
    <row r="235" spans="1:8" ht="15" customHeight="1" x14ac:dyDescent="0.2">
      <c r="A235" s="9"/>
      <c r="B235" s="8"/>
      <c r="C235" s="8"/>
      <c r="D235" s="8"/>
      <c r="E235" s="8"/>
      <c r="F235" s="11" t="str">
        <f>IFERROR(INDEX(Reference!$B$23:$B$24,MATCH(D235,Reference!$A$23:$A$24,0)),"")</f>
        <v/>
      </c>
      <c r="G235" s="11" t="str">
        <f t="shared" si="6"/>
        <v/>
      </c>
      <c r="H235" s="10" t="str">
        <f t="shared" si="7"/>
        <v/>
      </c>
    </row>
    <row r="236" spans="1:8" ht="15" customHeight="1" x14ac:dyDescent="0.2">
      <c r="A236" s="9"/>
      <c r="B236" s="8"/>
      <c r="C236" s="8"/>
      <c r="D236" s="8"/>
      <c r="E236" s="8"/>
      <c r="F236" s="11" t="str">
        <f>IFERROR(INDEX(Reference!$B$23:$B$24,MATCH(D236,Reference!$A$23:$A$24,0)),"")</f>
        <v/>
      </c>
      <c r="G236" s="11" t="str">
        <f t="shared" si="6"/>
        <v/>
      </c>
      <c r="H236" s="10" t="str">
        <f t="shared" si="7"/>
        <v/>
      </c>
    </row>
    <row r="237" spans="1:8" ht="15" customHeight="1" x14ac:dyDescent="0.2">
      <c r="A237" s="9"/>
      <c r="B237" s="8"/>
      <c r="C237" s="8"/>
      <c r="D237" s="8"/>
      <c r="E237" s="8"/>
      <c r="F237" s="11" t="str">
        <f>IFERROR(INDEX(Reference!$B$23:$B$24,MATCH(D237,Reference!$A$23:$A$24,0)),"")</f>
        <v/>
      </c>
      <c r="G237" s="11" t="str">
        <f t="shared" si="6"/>
        <v/>
      </c>
      <c r="H237" s="10" t="str">
        <f t="shared" si="7"/>
        <v/>
      </c>
    </row>
    <row r="238" spans="1:8" ht="15" customHeight="1" x14ac:dyDescent="0.2">
      <c r="A238" s="9"/>
      <c r="B238" s="8"/>
      <c r="C238" s="8"/>
      <c r="D238" s="8"/>
      <c r="E238" s="8"/>
      <c r="F238" s="11" t="str">
        <f>IFERROR(INDEX(Reference!$B$23:$B$24,MATCH(D238,Reference!$A$23:$A$24,0)),"")</f>
        <v/>
      </c>
      <c r="G238" s="11" t="str">
        <f t="shared" si="6"/>
        <v/>
      </c>
      <c r="H238" s="10" t="str">
        <f t="shared" si="7"/>
        <v/>
      </c>
    </row>
    <row r="239" spans="1:8" ht="15" customHeight="1" x14ac:dyDescent="0.2">
      <c r="A239" s="9"/>
      <c r="B239" s="8"/>
      <c r="C239" s="8"/>
      <c r="D239" s="8"/>
      <c r="E239" s="8"/>
      <c r="F239" s="11" t="str">
        <f>IFERROR(INDEX(Reference!$B$23:$B$24,MATCH(D239,Reference!$A$23:$A$24,0)),"")</f>
        <v/>
      </c>
      <c r="G239" s="11" t="str">
        <f t="shared" si="6"/>
        <v/>
      </c>
      <c r="H239" s="10" t="str">
        <f t="shared" si="7"/>
        <v/>
      </c>
    </row>
    <row r="240" spans="1:8" ht="15" customHeight="1" x14ac:dyDescent="0.2">
      <c r="A240" s="9"/>
      <c r="B240" s="8"/>
      <c r="C240" s="8"/>
      <c r="D240" s="8"/>
      <c r="E240" s="8"/>
      <c r="F240" s="11" t="str">
        <f>IFERROR(INDEX(Reference!$B$23:$B$24,MATCH(D240,Reference!$A$23:$A$24,0)),"")</f>
        <v/>
      </c>
      <c r="G240" s="11" t="str">
        <f t="shared" si="6"/>
        <v/>
      </c>
      <c r="H240" s="10" t="str">
        <f t="shared" si="7"/>
        <v/>
      </c>
    </row>
    <row r="241" spans="1:8" ht="15" customHeight="1" x14ac:dyDescent="0.2">
      <c r="A241" s="9"/>
      <c r="B241" s="8"/>
      <c r="C241" s="8"/>
      <c r="D241" s="8"/>
      <c r="E241" s="8"/>
      <c r="F241" s="11" t="str">
        <f>IFERROR(INDEX(Reference!$B$23:$B$24,MATCH(D241,Reference!$A$23:$A$24,0)),"")</f>
        <v/>
      </c>
      <c r="G241" s="11" t="str">
        <f t="shared" si="6"/>
        <v/>
      </c>
      <c r="H241" s="10" t="str">
        <f t="shared" si="7"/>
        <v/>
      </c>
    </row>
    <row r="242" spans="1:8" ht="15" customHeight="1" x14ac:dyDescent="0.2">
      <c r="A242" s="9"/>
      <c r="B242" s="8"/>
      <c r="C242" s="8"/>
      <c r="D242" s="8"/>
      <c r="E242" s="8"/>
      <c r="F242" s="11" t="str">
        <f>IFERROR(INDEX(Reference!$B$23:$B$24,MATCH(D242,Reference!$A$23:$A$24,0)),"")</f>
        <v/>
      </c>
      <c r="G242" s="11" t="str">
        <f t="shared" si="6"/>
        <v/>
      </c>
      <c r="H242" s="10" t="str">
        <f t="shared" si="7"/>
        <v/>
      </c>
    </row>
    <row r="243" spans="1:8" ht="15" customHeight="1" x14ac:dyDescent="0.2">
      <c r="A243" s="9"/>
      <c r="B243" s="8"/>
      <c r="C243" s="8"/>
      <c r="D243" s="8"/>
      <c r="E243" s="8"/>
      <c r="F243" s="11" t="str">
        <f>IFERROR(INDEX(Reference!$B$23:$B$24,MATCH(D243,Reference!$A$23:$A$24,0)),"")</f>
        <v/>
      </c>
      <c r="G243" s="11" t="str">
        <f t="shared" si="6"/>
        <v/>
      </c>
      <c r="H243" s="10" t="str">
        <f t="shared" si="7"/>
        <v/>
      </c>
    </row>
    <row r="244" spans="1:8" ht="15" customHeight="1" x14ac:dyDescent="0.2">
      <c r="A244" s="9"/>
      <c r="B244" s="8"/>
      <c r="C244" s="8"/>
      <c r="D244" s="8"/>
      <c r="E244" s="8"/>
      <c r="F244" s="11" t="str">
        <f>IFERROR(INDEX(Reference!$B$23:$B$24,MATCH(D244,Reference!$A$23:$A$24,0)),"")</f>
        <v/>
      </c>
      <c r="G244" s="11" t="str">
        <f t="shared" si="6"/>
        <v/>
      </c>
      <c r="H244" s="10" t="str">
        <f t="shared" si="7"/>
        <v/>
      </c>
    </row>
    <row r="245" spans="1:8" ht="15" customHeight="1" x14ac:dyDescent="0.2">
      <c r="A245" s="9"/>
      <c r="B245" s="8"/>
      <c r="C245" s="8"/>
      <c r="D245" s="8"/>
      <c r="E245" s="8"/>
      <c r="F245" s="11" t="str">
        <f>IFERROR(INDEX(Reference!$B$23:$B$24,MATCH(D245,Reference!$A$23:$A$24,0)),"")</f>
        <v/>
      </c>
      <c r="G245" s="11" t="str">
        <f t="shared" si="6"/>
        <v/>
      </c>
      <c r="H245" s="10" t="str">
        <f t="shared" si="7"/>
        <v/>
      </c>
    </row>
    <row r="246" spans="1:8" ht="15" customHeight="1" x14ac:dyDescent="0.2">
      <c r="A246" s="9"/>
      <c r="B246" s="8"/>
      <c r="C246" s="8"/>
      <c r="D246" s="8"/>
      <c r="E246" s="8"/>
      <c r="F246" s="11" t="str">
        <f>IFERROR(INDEX(Reference!$B$23:$B$24,MATCH(D246,Reference!$A$23:$A$24,0)),"")</f>
        <v/>
      </c>
      <c r="G246" s="11" t="str">
        <f t="shared" si="6"/>
        <v/>
      </c>
      <c r="H246" s="10" t="str">
        <f t="shared" si="7"/>
        <v/>
      </c>
    </row>
    <row r="247" spans="1:8" ht="15" customHeight="1" x14ac:dyDescent="0.2">
      <c r="A247" s="9"/>
      <c r="B247" s="8"/>
      <c r="C247" s="8"/>
      <c r="D247" s="8"/>
      <c r="E247" s="8"/>
      <c r="F247" s="11" t="str">
        <f>IFERROR(INDEX(Reference!$B$23:$B$24,MATCH(D247,Reference!$A$23:$A$24,0)),"")</f>
        <v/>
      </c>
      <c r="G247" s="11" t="str">
        <f t="shared" si="6"/>
        <v/>
      </c>
      <c r="H247" s="10" t="str">
        <f t="shared" si="7"/>
        <v/>
      </c>
    </row>
    <row r="248" spans="1:8" ht="15" customHeight="1" x14ac:dyDescent="0.2">
      <c r="A248" s="9"/>
      <c r="B248" s="8"/>
      <c r="C248" s="8"/>
      <c r="D248" s="8"/>
      <c r="E248" s="8"/>
      <c r="F248" s="11" t="str">
        <f>IFERROR(INDEX(Reference!$B$23:$B$24,MATCH(D248,Reference!$A$23:$A$24,0)),"")</f>
        <v/>
      </c>
      <c r="G248" s="11" t="str">
        <f t="shared" si="6"/>
        <v/>
      </c>
      <c r="H248" s="10" t="str">
        <f t="shared" si="7"/>
        <v/>
      </c>
    </row>
    <row r="249" spans="1:8" ht="15" customHeight="1" x14ac:dyDescent="0.2">
      <c r="A249" s="9"/>
      <c r="B249" s="8"/>
      <c r="C249" s="8"/>
      <c r="D249" s="8"/>
      <c r="E249" s="8"/>
      <c r="F249" s="11" t="str">
        <f>IFERROR(INDEX(Reference!$B$23:$B$24,MATCH(D249,Reference!$A$23:$A$24,0)),"")</f>
        <v/>
      </c>
      <c r="G249" s="11" t="str">
        <f t="shared" si="6"/>
        <v/>
      </c>
      <c r="H249" s="10" t="str">
        <f t="shared" si="7"/>
        <v/>
      </c>
    </row>
    <row r="250" spans="1:8" ht="15" customHeight="1" x14ac:dyDescent="0.2">
      <c r="A250" s="9"/>
      <c r="B250" s="8"/>
      <c r="C250" s="8"/>
      <c r="D250" s="8"/>
      <c r="E250" s="8"/>
      <c r="F250" s="11" t="str">
        <f>IFERROR(INDEX(Reference!$B$23:$B$24,MATCH(D250,Reference!$A$23:$A$24,0)),"")</f>
        <v/>
      </c>
      <c r="G250" s="11" t="str">
        <f t="shared" si="6"/>
        <v/>
      </c>
      <c r="H250" s="10" t="str">
        <f t="shared" si="7"/>
        <v/>
      </c>
    </row>
    <row r="251" spans="1:8" ht="15" customHeight="1" x14ac:dyDescent="0.2">
      <c r="A251" s="9"/>
      <c r="B251" s="8"/>
      <c r="C251" s="8"/>
      <c r="D251" s="8"/>
      <c r="E251" s="8"/>
      <c r="F251" s="11" t="str">
        <f>IFERROR(INDEX(Reference!$B$23:$B$24,MATCH(D251,Reference!$A$23:$A$24,0)),"")</f>
        <v/>
      </c>
      <c r="G251" s="11" t="str">
        <f t="shared" si="6"/>
        <v/>
      </c>
      <c r="H251" s="10" t="str">
        <f t="shared" si="7"/>
        <v/>
      </c>
    </row>
    <row r="252" spans="1:8" ht="15" customHeight="1" x14ac:dyDescent="0.2">
      <c r="A252" s="9"/>
      <c r="B252" s="8"/>
      <c r="C252" s="8"/>
      <c r="D252" s="8"/>
      <c r="E252" s="8"/>
      <c r="F252" s="11" t="str">
        <f>IFERROR(INDEX(Reference!$B$23:$B$24,MATCH(D252,Reference!$A$23:$A$24,0)),"")</f>
        <v/>
      </c>
      <c r="G252" s="11" t="str">
        <f t="shared" si="6"/>
        <v/>
      </c>
      <c r="H252" s="10" t="str">
        <f t="shared" si="7"/>
        <v/>
      </c>
    </row>
    <row r="253" spans="1:8" ht="15" customHeight="1" x14ac:dyDescent="0.2">
      <c r="A253" s="9"/>
      <c r="B253" s="8"/>
      <c r="C253" s="8"/>
      <c r="D253" s="8"/>
      <c r="E253" s="8"/>
      <c r="F253" s="11" t="str">
        <f>IFERROR(INDEX(Reference!$B$23:$B$24,MATCH(D253,Reference!$A$23:$A$24,0)),"")</f>
        <v/>
      </c>
      <c r="G253" s="11" t="str">
        <f t="shared" si="6"/>
        <v/>
      </c>
      <c r="H253" s="10" t="str">
        <f t="shared" si="7"/>
        <v/>
      </c>
    </row>
    <row r="254" spans="1:8" ht="15" customHeight="1" x14ac:dyDescent="0.2">
      <c r="A254" s="9"/>
      <c r="B254" s="8"/>
      <c r="C254" s="8"/>
      <c r="D254" s="8"/>
      <c r="E254" s="8"/>
      <c r="F254" s="11" t="str">
        <f>IFERROR(INDEX(Reference!$B$23:$B$24,MATCH(D254,Reference!$A$23:$A$24,0)),"")</f>
        <v/>
      </c>
      <c r="G254" s="11" t="str">
        <f t="shared" si="6"/>
        <v/>
      </c>
      <c r="H254" s="10" t="str">
        <f t="shared" si="7"/>
        <v/>
      </c>
    </row>
    <row r="255" spans="1:8" ht="15" customHeight="1" x14ac:dyDescent="0.2">
      <c r="A255" s="9"/>
      <c r="B255" s="8"/>
      <c r="C255" s="8"/>
      <c r="D255" s="8"/>
      <c r="E255" s="8"/>
      <c r="F255" s="11" t="str">
        <f>IFERROR(INDEX(Reference!$B$23:$B$24,MATCH(D255,Reference!$A$23:$A$24,0)),"")</f>
        <v/>
      </c>
      <c r="G255" s="11" t="str">
        <f t="shared" si="6"/>
        <v/>
      </c>
      <c r="H255" s="10" t="str">
        <f t="shared" si="7"/>
        <v/>
      </c>
    </row>
    <row r="256" spans="1:8" ht="15" customHeight="1" x14ac:dyDescent="0.2">
      <c r="A256" s="9"/>
      <c r="B256" s="8"/>
      <c r="C256" s="8"/>
      <c r="D256" s="8"/>
      <c r="E256" s="8"/>
      <c r="F256" s="11" t="str">
        <f>IFERROR(INDEX(Reference!$B$23:$B$24,MATCH(D256,Reference!$A$23:$A$24,0)),"")</f>
        <v/>
      </c>
      <c r="G256" s="11" t="str">
        <f t="shared" si="6"/>
        <v/>
      </c>
      <c r="H256" s="10" t="str">
        <f t="shared" si="7"/>
        <v/>
      </c>
    </row>
    <row r="257" spans="1:8" ht="15" customHeight="1" x14ac:dyDescent="0.2">
      <c r="A257" s="9"/>
      <c r="B257" s="8"/>
      <c r="C257" s="8"/>
      <c r="D257" s="8"/>
      <c r="E257" s="8"/>
      <c r="F257" s="11" t="str">
        <f>IFERROR(INDEX(Reference!$B$23:$B$24,MATCH(D257,Reference!$A$23:$A$24,0)),"")</f>
        <v/>
      </c>
      <c r="G257" s="11" t="str">
        <f t="shared" si="6"/>
        <v/>
      </c>
      <c r="H257" s="10" t="str">
        <f t="shared" si="7"/>
        <v/>
      </c>
    </row>
    <row r="258" spans="1:8" ht="15" customHeight="1" x14ac:dyDescent="0.2">
      <c r="A258" s="9"/>
      <c r="B258" s="8"/>
      <c r="C258" s="8"/>
      <c r="D258" s="8"/>
      <c r="E258" s="8"/>
      <c r="F258" s="11" t="str">
        <f>IFERROR(INDEX(Reference!$B$23:$B$24,MATCH(D258,Reference!$A$23:$A$24,0)),"")</f>
        <v/>
      </c>
      <c r="G258" s="11" t="str">
        <f t="shared" ref="G258:G321" si="8">IF(OR(E258="",F258=""),"",E258*F258)</f>
        <v/>
      </c>
      <c r="H258" s="10" t="str">
        <f t="shared" ref="H258:H321" si="9">IF(A258="","",IF(MONTH(A258)&gt;=8,YEAR(A258)&amp;"-"&amp;RIGHT(YEAR(A258)+1,2),YEAR(A258)-1&amp;"-"&amp;RIGHT(YEAR(A258),2)))</f>
        <v/>
      </c>
    </row>
    <row r="259" spans="1:8" ht="15" customHeight="1" x14ac:dyDescent="0.2">
      <c r="A259" s="9"/>
      <c r="B259" s="8"/>
      <c r="C259" s="8"/>
      <c r="D259" s="8"/>
      <c r="E259" s="8"/>
      <c r="F259" s="11" t="str">
        <f>IFERROR(INDEX(Reference!$B$23:$B$24,MATCH(D259,Reference!$A$23:$A$24,0)),"")</f>
        <v/>
      </c>
      <c r="G259" s="11" t="str">
        <f t="shared" si="8"/>
        <v/>
      </c>
      <c r="H259" s="10" t="str">
        <f t="shared" si="9"/>
        <v/>
      </c>
    </row>
    <row r="260" spans="1:8" ht="15" customHeight="1" x14ac:dyDescent="0.2">
      <c r="A260" s="9"/>
      <c r="B260" s="8"/>
      <c r="C260" s="8"/>
      <c r="D260" s="8"/>
      <c r="E260" s="8"/>
      <c r="F260" s="11" t="str">
        <f>IFERROR(INDEX(Reference!$B$23:$B$24,MATCH(D260,Reference!$A$23:$A$24,0)),"")</f>
        <v/>
      </c>
      <c r="G260" s="11" t="str">
        <f t="shared" si="8"/>
        <v/>
      </c>
      <c r="H260" s="10" t="str">
        <f t="shared" si="9"/>
        <v/>
      </c>
    </row>
    <row r="261" spans="1:8" ht="15" customHeight="1" x14ac:dyDescent="0.2">
      <c r="A261" s="9"/>
      <c r="B261" s="8"/>
      <c r="C261" s="8"/>
      <c r="D261" s="8"/>
      <c r="E261" s="8"/>
      <c r="F261" s="11" t="str">
        <f>IFERROR(INDEX(Reference!$B$23:$B$24,MATCH(D261,Reference!$A$23:$A$24,0)),"")</f>
        <v/>
      </c>
      <c r="G261" s="11" t="str">
        <f t="shared" si="8"/>
        <v/>
      </c>
      <c r="H261" s="10" t="str">
        <f t="shared" si="9"/>
        <v/>
      </c>
    </row>
    <row r="262" spans="1:8" ht="15" customHeight="1" x14ac:dyDescent="0.2">
      <c r="A262" s="9"/>
      <c r="B262" s="8"/>
      <c r="C262" s="8"/>
      <c r="D262" s="8"/>
      <c r="E262" s="8"/>
      <c r="F262" s="11" t="str">
        <f>IFERROR(INDEX(Reference!$B$23:$B$24,MATCH(D262,Reference!$A$23:$A$24,0)),"")</f>
        <v/>
      </c>
      <c r="G262" s="11" t="str">
        <f t="shared" si="8"/>
        <v/>
      </c>
      <c r="H262" s="10" t="str">
        <f t="shared" si="9"/>
        <v/>
      </c>
    </row>
    <row r="263" spans="1:8" ht="15" customHeight="1" x14ac:dyDescent="0.2">
      <c r="A263" s="9"/>
      <c r="B263" s="8"/>
      <c r="C263" s="8"/>
      <c r="D263" s="8"/>
      <c r="E263" s="8"/>
      <c r="F263" s="11" t="str">
        <f>IFERROR(INDEX(Reference!$B$23:$B$24,MATCH(D263,Reference!$A$23:$A$24,0)),"")</f>
        <v/>
      </c>
      <c r="G263" s="11" t="str">
        <f t="shared" si="8"/>
        <v/>
      </c>
      <c r="H263" s="10" t="str">
        <f t="shared" si="9"/>
        <v/>
      </c>
    </row>
    <row r="264" spans="1:8" ht="15" customHeight="1" x14ac:dyDescent="0.2">
      <c r="A264" s="9"/>
      <c r="B264" s="8"/>
      <c r="C264" s="8"/>
      <c r="D264" s="8"/>
      <c r="E264" s="8"/>
      <c r="F264" s="11" t="str">
        <f>IFERROR(INDEX(Reference!$B$23:$B$24,MATCH(D264,Reference!$A$23:$A$24,0)),"")</f>
        <v/>
      </c>
      <c r="G264" s="11" t="str">
        <f t="shared" si="8"/>
        <v/>
      </c>
      <c r="H264" s="10" t="str">
        <f t="shared" si="9"/>
        <v/>
      </c>
    </row>
    <row r="265" spans="1:8" ht="15" customHeight="1" x14ac:dyDescent="0.2">
      <c r="A265" s="9"/>
      <c r="B265" s="8"/>
      <c r="C265" s="8"/>
      <c r="D265" s="8"/>
      <c r="E265" s="8"/>
      <c r="F265" s="11" t="str">
        <f>IFERROR(INDEX(Reference!$B$23:$B$24,MATCH(D265,Reference!$A$23:$A$24,0)),"")</f>
        <v/>
      </c>
      <c r="G265" s="11" t="str">
        <f t="shared" si="8"/>
        <v/>
      </c>
      <c r="H265" s="10" t="str">
        <f t="shared" si="9"/>
        <v/>
      </c>
    </row>
    <row r="266" spans="1:8" ht="15" customHeight="1" x14ac:dyDescent="0.2">
      <c r="A266" s="9"/>
      <c r="B266" s="8"/>
      <c r="C266" s="8"/>
      <c r="D266" s="8"/>
      <c r="E266" s="8"/>
      <c r="F266" s="11" t="str">
        <f>IFERROR(INDEX(Reference!$B$23:$B$24,MATCH(D266,Reference!$A$23:$A$24,0)),"")</f>
        <v/>
      </c>
      <c r="G266" s="11" t="str">
        <f t="shared" si="8"/>
        <v/>
      </c>
      <c r="H266" s="10" t="str">
        <f t="shared" si="9"/>
        <v/>
      </c>
    </row>
    <row r="267" spans="1:8" ht="15" customHeight="1" x14ac:dyDescent="0.2">
      <c r="A267" s="9"/>
      <c r="B267" s="8"/>
      <c r="C267" s="8"/>
      <c r="D267" s="8"/>
      <c r="E267" s="8"/>
      <c r="F267" s="11" t="str">
        <f>IFERROR(INDEX(Reference!$B$23:$B$24,MATCH(D267,Reference!$A$23:$A$24,0)),"")</f>
        <v/>
      </c>
      <c r="G267" s="11" t="str">
        <f t="shared" si="8"/>
        <v/>
      </c>
      <c r="H267" s="10" t="str">
        <f t="shared" si="9"/>
        <v/>
      </c>
    </row>
    <row r="268" spans="1:8" ht="15" customHeight="1" x14ac:dyDescent="0.2">
      <c r="A268" s="9"/>
      <c r="B268" s="8"/>
      <c r="C268" s="8"/>
      <c r="D268" s="8"/>
      <c r="E268" s="8"/>
      <c r="F268" s="11" t="str">
        <f>IFERROR(INDEX(Reference!$B$23:$B$24,MATCH(D268,Reference!$A$23:$A$24,0)),"")</f>
        <v/>
      </c>
      <c r="G268" s="11" t="str">
        <f t="shared" si="8"/>
        <v/>
      </c>
      <c r="H268" s="10" t="str">
        <f t="shared" si="9"/>
        <v/>
      </c>
    </row>
    <row r="269" spans="1:8" ht="15" customHeight="1" x14ac:dyDescent="0.2">
      <c r="A269" s="9"/>
      <c r="B269" s="8"/>
      <c r="C269" s="8"/>
      <c r="D269" s="8"/>
      <c r="E269" s="8"/>
      <c r="F269" s="11" t="str">
        <f>IFERROR(INDEX(Reference!$B$23:$B$24,MATCH(D269,Reference!$A$23:$A$24,0)),"")</f>
        <v/>
      </c>
      <c r="G269" s="11" t="str">
        <f t="shared" si="8"/>
        <v/>
      </c>
      <c r="H269" s="10" t="str">
        <f t="shared" si="9"/>
        <v/>
      </c>
    </row>
    <row r="270" spans="1:8" ht="15" customHeight="1" x14ac:dyDescent="0.2">
      <c r="A270" s="9"/>
      <c r="B270" s="8"/>
      <c r="C270" s="8"/>
      <c r="D270" s="8"/>
      <c r="E270" s="8"/>
      <c r="F270" s="11" t="str">
        <f>IFERROR(INDEX(Reference!$B$23:$B$24,MATCH(D270,Reference!$A$23:$A$24,0)),"")</f>
        <v/>
      </c>
      <c r="G270" s="11" t="str">
        <f t="shared" si="8"/>
        <v/>
      </c>
      <c r="H270" s="10" t="str">
        <f t="shared" si="9"/>
        <v/>
      </c>
    </row>
    <row r="271" spans="1:8" ht="15" customHeight="1" x14ac:dyDescent="0.2">
      <c r="A271" s="9"/>
      <c r="B271" s="8"/>
      <c r="C271" s="8"/>
      <c r="D271" s="8"/>
      <c r="E271" s="8"/>
      <c r="F271" s="11" t="str">
        <f>IFERROR(INDEX(Reference!$B$23:$B$24,MATCH(D271,Reference!$A$23:$A$24,0)),"")</f>
        <v/>
      </c>
      <c r="G271" s="11" t="str">
        <f t="shared" si="8"/>
        <v/>
      </c>
      <c r="H271" s="10" t="str">
        <f t="shared" si="9"/>
        <v/>
      </c>
    </row>
    <row r="272" spans="1:8" ht="15" customHeight="1" x14ac:dyDescent="0.2">
      <c r="A272" s="9"/>
      <c r="B272" s="8"/>
      <c r="C272" s="8"/>
      <c r="D272" s="8"/>
      <c r="E272" s="8"/>
      <c r="F272" s="11" t="str">
        <f>IFERROR(INDEX(Reference!$B$23:$B$24,MATCH(D272,Reference!$A$23:$A$24,0)),"")</f>
        <v/>
      </c>
      <c r="G272" s="11" t="str">
        <f t="shared" si="8"/>
        <v/>
      </c>
      <c r="H272" s="10" t="str">
        <f t="shared" si="9"/>
        <v/>
      </c>
    </row>
    <row r="273" spans="1:8" ht="15" customHeight="1" x14ac:dyDescent="0.2">
      <c r="A273" s="9"/>
      <c r="B273" s="8"/>
      <c r="C273" s="8"/>
      <c r="D273" s="8"/>
      <c r="E273" s="8"/>
      <c r="F273" s="11" t="str">
        <f>IFERROR(INDEX(Reference!$B$23:$B$24,MATCH(D273,Reference!$A$23:$A$24,0)),"")</f>
        <v/>
      </c>
      <c r="G273" s="11" t="str">
        <f t="shared" si="8"/>
        <v/>
      </c>
      <c r="H273" s="10" t="str">
        <f t="shared" si="9"/>
        <v/>
      </c>
    </row>
    <row r="274" spans="1:8" ht="15" customHeight="1" x14ac:dyDescent="0.2">
      <c r="A274" s="9"/>
      <c r="B274" s="8"/>
      <c r="C274" s="8"/>
      <c r="D274" s="8"/>
      <c r="E274" s="8"/>
      <c r="F274" s="11" t="str">
        <f>IFERROR(INDEX(Reference!$B$23:$B$24,MATCH(D274,Reference!$A$23:$A$24,0)),"")</f>
        <v/>
      </c>
      <c r="G274" s="11" t="str">
        <f t="shared" si="8"/>
        <v/>
      </c>
      <c r="H274" s="10" t="str">
        <f t="shared" si="9"/>
        <v/>
      </c>
    </row>
    <row r="275" spans="1:8" ht="15" customHeight="1" x14ac:dyDescent="0.2">
      <c r="A275" s="9"/>
      <c r="B275" s="8"/>
      <c r="C275" s="8"/>
      <c r="D275" s="8"/>
      <c r="E275" s="8"/>
      <c r="F275" s="11" t="str">
        <f>IFERROR(INDEX(Reference!$B$23:$B$24,MATCH(D275,Reference!$A$23:$A$24,0)),"")</f>
        <v/>
      </c>
      <c r="G275" s="11" t="str">
        <f t="shared" si="8"/>
        <v/>
      </c>
      <c r="H275" s="10" t="str">
        <f t="shared" si="9"/>
        <v/>
      </c>
    </row>
    <row r="276" spans="1:8" ht="15" customHeight="1" x14ac:dyDescent="0.2">
      <c r="A276" s="9"/>
      <c r="B276" s="8"/>
      <c r="C276" s="8"/>
      <c r="D276" s="8"/>
      <c r="E276" s="8"/>
      <c r="F276" s="11" t="str">
        <f>IFERROR(INDEX(Reference!$B$23:$B$24,MATCH(D276,Reference!$A$23:$A$24,0)),"")</f>
        <v/>
      </c>
      <c r="G276" s="11" t="str">
        <f t="shared" si="8"/>
        <v/>
      </c>
      <c r="H276" s="10" t="str">
        <f t="shared" si="9"/>
        <v/>
      </c>
    </row>
    <row r="277" spans="1:8" ht="15" customHeight="1" x14ac:dyDescent="0.2">
      <c r="A277" s="9"/>
      <c r="B277" s="8"/>
      <c r="C277" s="8"/>
      <c r="D277" s="8"/>
      <c r="E277" s="8"/>
      <c r="F277" s="11" t="str">
        <f>IFERROR(INDEX(Reference!$B$23:$B$24,MATCH(D277,Reference!$A$23:$A$24,0)),"")</f>
        <v/>
      </c>
      <c r="G277" s="11" t="str">
        <f t="shared" si="8"/>
        <v/>
      </c>
      <c r="H277" s="10" t="str">
        <f t="shared" si="9"/>
        <v/>
      </c>
    </row>
    <row r="278" spans="1:8" ht="15" customHeight="1" x14ac:dyDescent="0.2">
      <c r="A278" s="9"/>
      <c r="B278" s="8"/>
      <c r="C278" s="8"/>
      <c r="D278" s="8"/>
      <c r="E278" s="8"/>
      <c r="F278" s="11" t="str">
        <f>IFERROR(INDEX(Reference!$B$23:$B$24,MATCH(D278,Reference!$A$23:$A$24,0)),"")</f>
        <v/>
      </c>
      <c r="G278" s="11" t="str">
        <f t="shared" si="8"/>
        <v/>
      </c>
      <c r="H278" s="10" t="str">
        <f t="shared" si="9"/>
        <v/>
      </c>
    </row>
    <row r="279" spans="1:8" ht="15" customHeight="1" x14ac:dyDescent="0.2">
      <c r="A279" s="9"/>
      <c r="B279" s="8"/>
      <c r="C279" s="8"/>
      <c r="D279" s="8"/>
      <c r="E279" s="8"/>
      <c r="F279" s="11" t="str">
        <f>IFERROR(INDEX(Reference!$B$23:$B$24,MATCH(D279,Reference!$A$23:$A$24,0)),"")</f>
        <v/>
      </c>
      <c r="G279" s="11" t="str">
        <f t="shared" si="8"/>
        <v/>
      </c>
      <c r="H279" s="10" t="str">
        <f t="shared" si="9"/>
        <v/>
      </c>
    </row>
    <row r="280" spans="1:8" ht="15" customHeight="1" x14ac:dyDescent="0.2">
      <c r="A280" s="9"/>
      <c r="B280" s="8"/>
      <c r="C280" s="8"/>
      <c r="D280" s="8"/>
      <c r="E280" s="8"/>
      <c r="F280" s="11" t="str">
        <f>IFERROR(INDEX(Reference!$B$23:$B$24,MATCH(D280,Reference!$A$23:$A$24,0)),"")</f>
        <v/>
      </c>
      <c r="G280" s="11" t="str">
        <f t="shared" si="8"/>
        <v/>
      </c>
      <c r="H280" s="10" t="str">
        <f t="shared" si="9"/>
        <v/>
      </c>
    </row>
    <row r="281" spans="1:8" ht="15" customHeight="1" x14ac:dyDescent="0.2">
      <c r="A281" s="9"/>
      <c r="B281" s="8"/>
      <c r="C281" s="8"/>
      <c r="D281" s="8"/>
      <c r="E281" s="8"/>
      <c r="F281" s="11" t="str">
        <f>IFERROR(INDEX(Reference!$B$23:$B$24,MATCH(D281,Reference!$A$23:$A$24,0)),"")</f>
        <v/>
      </c>
      <c r="G281" s="11" t="str">
        <f t="shared" si="8"/>
        <v/>
      </c>
      <c r="H281" s="10" t="str">
        <f t="shared" si="9"/>
        <v/>
      </c>
    </row>
    <row r="282" spans="1:8" ht="15" customHeight="1" x14ac:dyDescent="0.2">
      <c r="A282" s="9"/>
      <c r="B282" s="8"/>
      <c r="C282" s="8"/>
      <c r="D282" s="8"/>
      <c r="E282" s="8"/>
      <c r="F282" s="11" t="str">
        <f>IFERROR(INDEX(Reference!$B$23:$B$24,MATCH(D282,Reference!$A$23:$A$24,0)),"")</f>
        <v/>
      </c>
      <c r="G282" s="11" t="str">
        <f t="shared" si="8"/>
        <v/>
      </c>
      <c r="H282" s="10" t="str">
        <f t="shared" si="9"/>
        <v/>
      </c>
    </row>
    <row r="283" spans="1:8" ht="15" customHeight="1" x14ac:dyDescent="0.2">
      <c r="A283" s="9"/>
      <c r="B283" s="8"/>
      <c r="C283" s="8"/>
      <c r="D283" s="8"/>
      <c r="E283" s="8"/>
      <c r="F283" s="11" t="str">
        <f>IFERROR(INDEX(Reference!$B$23:$B$24,MATCH(D283,Reference!$A$23:$A$24,0)),"")</f>
        <v/>
      </c>
      <c r="G283" s="11" t="str">
        <f t="shared" si="8"/>
        <v/>
      </c>
      <c r="H283" s="10" t="str">
        <f t="shared" si="9"/>
        <v/>
      </c>
    </row>
    <row r="284" spans="1:8" ht="15" customHeight="1" x14ac:dyDescent="0.2">
      <c r="A284" s="9"/>
      <c r="B284" s="8"/>
      <c r="C284" s="8"/>
      <c r="D284" s="8"/>
      <c r="E284" s="8"/>
      <c r="F284" s="11" t="str">
        <f>IFERROR(INDEX(Reference!$B$23:$B$24,MATCH(D284,Reference!$A$23:$A$24,0)),"")</f>
        <v/>
      </c>
      <c r="G284" s="11" t="str">
        <f t="shared" si="8"/>
        <v/>
      </c>
      <c r="H284" s="10" t="str">
        <f t="shared" si="9"/>
        <v/>
      </c>
    </row>
    <row r="285" spans="1:8" ht="15" customHeight="1" x14ac:dyDescent="0.2">
      <c r="A285" s="9"/>
      <c r="B285" s="8"/>
      <c r="C285" s="8"/>
      <c r="D285" s="8"/>
      <c r="E285" s="8"/>
      <c r="F285" s="11" t="str">
        <f>IFERROR(INDEX(Reference!$B$23:$B$24,MATCH(D285,Reference!$A$23:$A$24,0)),"")</f>
        <v/>
      </c>
      <c r="G285" s="11" t="str">
        <f t="shared" si="8"/>
        <v/>
      </c>
      <c r="H285" s="10" t="str">
        <f t="shared" si="9"/>
        <v/>
      </c>
    </row>
    <row r="286" spans="1:8" ht="15" customHeight="1" x14ac:dyDescent="0.2">
      <c r="A286" s="9"/>
      <c r="B286" s="8"/>
      <c r="C286" s="8"/>
      <c r="D286" s="8"/>
      <c r="E286" s="8"/>
      <c r="F286" s="11" t="str">
        <f>IFERROR(INDEX(Reference!$B$23:$B$24,MATCH(D286,Reference!$A$23:$A$24,0)),"")</f>
        <v/>
      </c>
      <c r="G286" s="11" t="str">
        <f t="shared" si="8"/>
        <v/>
      </c>
      <c r="H286" s="10" t="str">
        <f t="shared" si="9"/>
        <v/>
      </c>
    </row>
    <row r="287" spans="1:8" ht="15" customHeight="1" x14ac:dyDescent="0.2">
      <c r="A287" s="9"/>
      <c r="B287" s="8"/>
      <c r="C287" s="8"/>
      <c r="D287" s="8"/>
      <c r="E287" s="8"/>
      <c r="F287" s="11" t="str">
        <f>IFERROR(INDEX(Reference!$B$23:$B$24,MATCH(D287,Reference!$A$23:$A$24,0)),"")</f>
        <v/>
      </c>
      <c r="G287" s="11" t="str">
        <f t="shared" si="8"/>
        <v/>
      </c>
      <c r="H287" s="10" t="str">
        <f t="shared" si="9"/>
        <v/>
      </c>
    </row>
    <row r="288" spans="1:8" ht="15" customHeight="1" x14ac:dyDescent="0.2">
      <c r="A288" s="9"/>
      <c r="B288" s="8"/>
      <c r="C288" s="8"/>
      <c r="D288" s="8"/>
      <c r="E288" s="8"/>
      <c r="F288" s="11" t="str">
        <f>IFERROR(INDEX(Reference!$B$23:$B$24,MATCH(D288,Reference!$A$23:$A$24,0)),"")</f>
        <v/>
      </c>
      <c r="G288" s="11" t="str">
        <f t="shared" si="8"/>
        <v/>
      </c>
      <c r="H288" s="10" t="str">
        <f t="shared" si="9"/>
        <v/>
      </c>
    </row>
    <row r="289" spans="1:8" ht="15" customHeight="1" x14ac:dyDescent="0.2">
      <c r="A289" s="9"/>
      <c r="B289" s="8"/>
      <c r="C289" s="8"/>
      <c r="D289" s="8"/>
      <c r="E289" s="8"/>
      <c r="F289" s="11" t="str">
        <f>IFERROR(INDEX(Reference!$B$23:$B$24,MATCH(D289,Reference!$A$23:$A$24,0)),"")</f>
        <v/>
      </c>
      <c r="G289" s="11" t="str">
        <f t="shared" si="8"/>
        <v/>
      </c>
      <c r="H289" s="10" t="str">
        <f t="shared" si="9"/>
        <v/>
      </c>
    </row>
    <row r="290" spans="1:8" ht="15" customHeight="1" x14ac:dyDescent="0.2">
      <c r="A290" s="9"/>
      <c r="B290" s="8"/>
      <c r="C290" s="8"/>
      <c r="D290" s="8"/>
      <c r="E290" s="8"/>
      <c r="F290" s="11" t="str">
        <f>IFERROR(INDEX(Reference!$B$23:$B$24,MATCH(D290,Reference!$A$23:$A$24,0)),"")</f>
        <v/>
      </c>
      <c r="G290" s="11" t="str">
        <f t="shared" si="8"/>
        <v/>
      </c>
      <c r="H290" s="10" t="str">
        <f t="shared" si="9"/>
        <v/>
      </c>
    </row>
    <row r="291" spans="1:8" ht="15" customHeight="1" x14ac:dyDescent="0.2">
      <c r="A291" s="9"/>
      <c r="B291" s="8"/>
      <c r="C291" s="8"/>
      <c r="D291" s="8"/>
      <c r="E291" s="8"/>
      <c r="F291" s="11" t="str">
        <f>IFERROR(INDEX(Reference!$B$23:$B$24,MATCH(D291,Reference!$A$23:$A$24,0)),"")</f>
        <v/>
      </c>
      <c r="G291" s="11" t="str">
        <f t="shared" si="8"/>
        <v/>
      </c>
      <c r="H291" s="10" t="str">
        <f t="shared" si="9"/>
        <v/>
      </c>
    </row>
    <row r="292" spans="1:8" ht="15" customHeight="1" x14ac:dyDescent="0.2">
      <c r="A292" s="9"/>
      <c r="B292" s="8"/>
      <c r="C292" s="8"/>
      <c r="D292" s="8"/>
      <c r="E292" s="8"/>
      <c r="F292" s="11" t="str">
        <f>IFERROR(INDEX(Reference!$B$23:$B$24,MATCH(D292,Reference!$A$23:$A$24,0)),"")</f>
        <v/>
      </c>
      <c r="G292" s="11" t="str">
        <f t="shared" si="8"/>
        <v/>
      </c>
      <c r="H292" s="10" t="str">
        <f t="shared" si="9"/>
        <v/>
      </c>
    </row>
    <row r="293" spans="1:8" ht="15" customHeight="1" x14ac:dyDescent="0.2">
      <c r="A293" s="9"/>
      <c r="B293" s="8"/>
      <c r="C293" s="8"/>
      <c r="D293" s="8"/>
      <c r="E293" s="8"/>
      <c r="F293" s="11" t="str">
        <f>IFERROR(INDEX(Reference!$B$23:$B$24,MATCH(D293,Reference!$A$23:$A$24,0)),"")</f>
        <v/>
      </c>
      <c r="G293" s="11" t="str">
        <f t="shared" si="8"/>
        <v/>
      </c>
      <c r="H293" s="10" t="str">
        <f t="shared" si="9"/>
        <v/>
      </c>
    </row>
    <row r="294" spans="1:8" ht="15" customHeight="1" x14ac:dyDescent="0.2">
      <c r="A294" s="9"/>
      <c r="B294" s="8"/>
      <c r="C294" s="8"/>
      <c r="D294" s="8"/>
      <c r="E294" s="8"/>
      <c r="F294" s="11" t="str">
        <f>IFERROR(INDEX(Reference!$B$23:$B$24,MATCH(D294,Reference!$A$23:$A$24,0)),"")</f>
        <v/>
      </c>
      <c r="G294" s="11" t="str">
        <f t="shared" si="8"/>
        <v/>
      </c>
      <c r="H294" s="10" t="str">
        <f t="shared" si="9"/>
        <v/>
      </c>
    </row>
    <row r="295" spans="1:8" ht="15" customHeight="1" x14ac:dyDescent="0.2">
      <c r="A295" s="9"/>
      <c r="B295" s="8"/>
      <c r="C295" s="8"/>
      <c r="D295" s="8"/>
      <c r="E295" s="8"/>
      <c r="F295" s="11" t="str">
        <f>IFERROR(INDEX(Reference!$B$23:$B$24,MATCH(D295,Reference!$A$23:$A$24,0)),"")</f>
        <v/>
      </c>
      <c r="G295" s="11" t="str">
        <f t="shared" si="8"/>
        <v/>
      </c>
      <c r="H295" s="10" t="str">
        <f t="shared" si="9"/>
        <v/>
      </c>
    </row>
    <row r="296" spans="1:8" ht="15" customHeight="1" x14ac:dyDescent="0.2">
      <c r="A296" s="9"/>
      <c r="B296" s="8"/>
      <c r="C296" s="8"/>
      <c r="D296" s="8"/>
      <c r="E296" s="8"/>
      <c r="F296" s="11" t="str">
        <f>IFERROR(INDEX(Reference!$B$23:$B$24,MATCH(D296,Reference!$A$23:$A$24,0)),"")</f>
        <v/>
      </c>
      <c r="G296" s="11" t="str">
        <f t="shared" si="8"/>
        <v/>
      </c>
      <c r="H296" s="10" t="str">
        <f t="shared" si="9"/>
        <v/>
      </c>
    </row>
    <row r="297" spans="1:8" ht="15" customHeight="1" x14ac:dyDescent="0.2">
      <c r="A297" s="9"/>
      <c r="B297" s="8"/>
      <c r="C297" s="8"/>
      <c r="D297" s="8"/>
      <c r="E297" s="8"/>
      <c r="F297" s="11" t="str">
        <f>IFERROR(INDEX(Reference!$B$23:$B$24,MATCH(D297,Reference!$A$23:$A$24,0)),"")</f>
        <v/>
      </c>
      <c r="G297" s="11" t="str">
        <f t="shared" si="8"/>
        <v/>
      </c>
      <c r="H297" s="10" t="str">
        <f t="shared" si="9"/>
        <v/>
      </c>
    </row>
    <row r="298" spans="1:8" ht="15" customHeight="1" x14ac:dyDescent="0.2">
      <c r="A298" s="9"/>
      <c r="B298" s="8"/>
      <c r="C298" s="8"/>
      <c r="D298" s="8"/>
      <c r="E298" s="8"/>
      <c r="F298" s="11" t="str">
        <f>IFERROR(INDEX(Reference!$B$23:$B$24,MATCH(D298,Reference!$A$23:$A$24,0)),"")</f>
        <v/>
      </c>
      <c r="G298" s="11" t="str">
        <f t="shared" si="8"/>
        <v/>
      </c>
      <c r="H298" s="10" t="str">
        <f t="shared" si="9"/>
        <v/>
      </c>
    </row>
    <row r="299" spans="1:8" ht="15" customHeight="1" x14ac:dyDescent="0.2">
      <c r="A299" s="9"/>
      <c r="B299" s="8"/>
      <c r="C299" s="8"/>
      <c r="D299" s="8"/>
      <c r="E299" s="8"/>
      <c r="F299" s="11" t="str">
        <f>IFERROR(INDEX(Reference!$B$23:$B$24,MATCH(D299,Reference!$A$23:$A$24,0)),"")</f>
        <v/>
      </c>
      <c r="G299" s="11" t="str">
        <f t="shared" si="8"/>
        <v/>
      </c>
      <c r="H299" s="10" t="str">
        <f t="shared" si="9"/>
        <v/>
      </c>
    </row>
    <row r="300" spans="1:8" ht="15" customHeight="1" x14ac:dyDescent="0.2">
      <c r="A300" s="9"/>
      <c r="B300" s="8"/>
      <c r="C300" s="8"/>
      <c r="D300" s="8"/>
      <c r="E300" s="8"/>
      <c r="F300" s="11" t="str">
        <f>IFERROR(INDEX(Reference!$B$23:$B$24,MATCH(D300,Reference!$A$23:$A$24,0)),"")</f>
        <v/>
      </c>
      <c r="G300" s="11" t="str">
        <f t="shared" si="8"/>
        <v/>
      </c>
      <c r="H300" s="10" t="str">
        <f t="shared" si="9"/>
        <v/>
      </c>
    </row>
    <row r="301" spans="1:8" ht="15" customHeight="1" x14ac:dyDescent="0.2">
      <c r="A301" s="9"/>
      <c r="B301" s="8"/>
      <c r="C301" s="8"/>
      <c r="D301" s="8"/>
      <c r="E301" s="8"/>
      <c r="F301" s="11" t="str">
        <f>IFERROR(INDEX(Reference!$B$23:$B$24,MATCH(D301,Reference!$A$23:$A$24,0)),"")</f>
        <v/>
      </c>
      <c r="G301" s="11" t="str">
        <f t="shared" si="8"/>
        <v/>
      </c>
      <c r="H301" s="10" t="str">
        <f t="shared" si="9"/>
        <v/>
      </c>
    </row>
    <row r="302" spans="1:8" ht="15" customHeight="1" x14ac:dyDescent="0.2">
      <c r="A302" s="9"/>
      <c r="B302" s="8"/>
      <c r="C302" s="8"/>
      <c r="D302" s="8"/>
      <c r="E302" s="8"/>
      <c r="F302" s="11" t="str">
        <f>IFERROR(INDEX(Reference!$B$23:$B$24,MATCH(D302,Reference!$A$23:$A$24,0)),"")</f>
        <v/>
      </c>
      <c r="G302" s="11" t="str">
        <f t="shared" si="8"/>
        <v/>
      </c>
      <c r="H302" s="10" t="str">
        <f t="shared" si="9"/>
        <v/>
      </c>
    </row>
    <row r="303" spans="1:8" ht="15" customHeight="1" x14ac:dyDescent="0.2">
      <c r="A303" s="9"/>
      <c r="B303" s="8"/>
      <c r="C303" s="8"/>
      <c r="D303" s="8"/>
      <c r="E303" s="8"/>
      <c r="F303" s="11" t="str">
        <f>IFERROR(INDEX(Reference!$B$23:$B$24,MATCH(D303,Reference!$A$23:$A$24,0)),"")</f>
        <v/>
      </c>
      <c r="G303" s="11" t="str">
        <f t="shared" si="8"/>
        <v/>
      </c>
      <c r="H303" s="10" t="str">
        <f t="shared" si="9"/>
        <v/>
      </c>
    </row>
    <row r="304" spans="1:8" ht="15" customHeight="1" x14ac:dyDescent="0.2">
      <c r="A304" s="9"/>
      <c r="B304" s="8"/>
      <c r="C304" s="8"/>
      <c r="D304" s="8"/>
      <c r="E304" s="8"/>
      <c r="F304" s="11" t="str">
        <f>IFERROR(INDEX(Reference!$B$23:$B$24,MATCH(D304,Reference!$A$23:$A$24,0)),"")</f>
        <v/>
      </c>
      <c r="G304" s="11" t="str">
        <f t="shared" si="8"/>
        <v/>
      </c>
      <c r="H304" s="10" t="str">
        <f t="shared" si="9"/>
        <v/>
      </c>
    </row>
    <row r="305" spans="1:8" ht="15" customHeight="1" x14ac:dyDescent="0.2">
      <c r="A305" s="9"/>
      <c r="B305" s="8"/>
      <c r="C305" s="8"/>
      <c r="D305" s="8"/>
      <c r="E305" s="8"/>
      <c r="F305" s="11" t="str">
        <f>IFERROR(INDEX(Reference!$B$23:$B$24,MATCH(D305,Reference!$A$23:$A$24,0)),"")</f>
        <v/>
      </c>
      <c r="G305" s="11" t="str">
        <f t="shared" si="8"/>
        <v/>
      </c>
      <c r="H305" s="10" t="str">
        <f t="shared" si="9"/>
        <v/>
      </c>
    </row>
    <row r="306" spans="1:8" ht="15" customHeight="1" x14ac:dyDescent="0.2">
      <c r="A306" s="9"/>
      <c r="B306" s="8"/>
      <c r="C306" s="8"/>
      <c r="D306" s="8"/>
      <c r="E306" s="8"/>
      <c r="F306" s="11" t="str">
        <f>IFERROR(INDEX(Reference!$B$23:$B$24,MATCH(D306,Reference!$A$23:$A$24,0)),"")</f>
        <v/>
      </c>
      <c r="G306" s="11" t="str">
        <f t="shared" si="8"/>
        <v/>
      </c>
      <c r="H306" s="10" t="str">
        <f t="shared" si="9"/>
        <v/>
      </c>
    </row>
    <row r="307" spans="1:8" ht="15" customHeight="1" x14ac:dyDescent="0.2">
      <c r="A307" s="9"/>
      <c r="B307" s="8"/>
      <c r="C307" s="8"/>
      <c r="D307" s="8"/>
      <c r="E307" s="8"/>
      <c r="F307" s="11" t="str">
        <f>IFERROR(INDEX(Reference!$B$23:$B$24,MATCH(D307,Reference!$A$23:$A$24,0)),"")</f>
        <v/>
      </c>
      <c r="G307" s="11" t="str">
        <f t="shared" si="8"/>
        <v/>
      </c>
      <c r="H307" s="10" t="str">
        <f t="shared" si="9"/>
        <v/>
      </c>
    </row>
    <row r="308" spans="1:8" ht="15" customHeight="1" x14ac:dyDescent="0.2">
      <c r="A308" s="9"/>
      <c r="B308" s="8"/>
      <c r="C308" s="8"/>
      <c r="D308" s="8"/>
      <c r="E308" s="8"/>
      <c r="F308" s="11" t="str">
        <f>IFERROR(INDEX(Reference!$B$23:$B$24,MATCH(D308,Reference!$A$23:$A$24,0)),"")</f>
        <v/>
      </c>
      <c r="G308" s="11" t="str">
        <f t="shared" si="8"/>
        <v/>
      </c>
      <c r="H308" s="10" t="str">
        <f t="shared" si="9"/>
        <v/>
      </c>
    </row>
    <row r="309" spans="1:8" ht="15" customHeight="1" x14ac:dyDescent="0.2">
      <c r="A309" s="9"/>
      <c r="B309" s="8"/>
      <c r="C309" s="8"/>
      <c r="D309" s="8"/>
      <c r="E309" s="8"/>
      <c r="F309" s="11" t="str">
        <f>IFERROR(INDEX(Reference!$B$23:$B$24,MATCH(D309,Reference!$A$23:$A$24,0)),"")</f>
        <v/>
      </c>
      <c r="G309" s="11" t="str">
        <f t="shared" si="8"/>
        <v/>
      </c>
      <c r="H309" s="10" t="str">
        <f t="shared" si="9"/>
        <v/>
      </c>
    </row>
    <row r="310" spans="1:8" ht="15" customHeight="1" x14ac:dyDescent="0.2">
      <c r="A310" s="9"/>
      <c r="B310" s="8"/>
      <c r="C310" s="8"/>
      <c r="D310" s="8"/>
      <c r="E310" s="8"/>
      <c r="F310" s="11" t="str">
        <f>IFERROR(INDEX(Reference!$B$23:$B$24,MATCH(D310,Reference!$A$23:$A$24,0)),"")</f>
        <v/>
      </c>
      <c r="G310" s="11" t="str">
        <f t="shared" si="8"/>
        <v/>
      </c>
      <c r="H310" s="10" t="str">
        <f t="shared" si="9"/>
        <v/>
      </c>
    </row>
    <row r="311" spans="1:8" ht="15" customHeight="1" x14ac:dyDescent="0.2">
      <c r="A311" s="9"/>
      <c r="B311" s="8"/>
      <c r="C311" s="8"/>
      <c r="D311" s="8"/>
      <c r="E311" s="8"/>
      <c r="F311" s="11" t="str">
        <f>IFERROR(INDEX(Reference!$B$23:$B$24,MATCH(D311,Reference!$A$23:$A$24,0)),"")</f>
        <v/>
      </c>
      <c r="G311" s="11" t="str">
        <f t="shared" si="8"/>
        <v/>
      </c>
      <c r="H311" s="10" t="str">
        <f t="shared" si="9"/>
        <v/>
      </c>
    </row>
    <row r="312" spans="1:8" ht="15" customHeight="1" x14ac:dyDescent="0.2">
      <c r="A312" s="9"/>
      <c r="B312" s="8"/>
      <c r="C312" s="8"/>
      <c r="D312" s="8"/>
      <c r="E312" s="8"/>
      <c r="F312" s="11" t="str">
        <f>IFERROR(INDEX(Reference!$B$23:$B$24,MATCH(D312,Reference!$A$23:$A$24,0)),"")</f>
        <v/>
      </c>
      <c r="G312" s="11" t="str">
        <f t="shared" si="8"/>
        <v/>
      </c>
      <c r="H312" s="10" t="str">
        <f t="shared" si="9"/>
        <v/>
      </c>
    </row>
    <row r="313" spans="1:8" ht="15" customHeight="1" x14ac:dyDescent="0.2">
      <c r="A313" s="9"/>
      <c r="B313" s="8"/>
      <c r="C313" s="8"/>
      <c r="D313" s="8"/>
      <c r="E313" s="8"/>
      <c r="F313" s="11" t="str">
        <f>IFERROR(INDEX(Reference!$B$23:$B$24,MATCH(D313,Reference!$A$23:$A$24,0)),"")</f>
        <v/>
      </c>
      <c r="G313" s="11" t="str">
        <f t="shared" si="8"/>
        <v/>
      </c>
      <c r="H313" s="10" t="str">
        <f t="shared" si="9"/>
        <v/>
      </c>
    </row>
    <row r="314" spans="1:8" ht="15" customHeight="1" x14ac:dyDescent="0.2">
      <c r="A314" s="9"/>
      <c r="B314" s="8"/>
      <c r="C314" s="8"/>
      <c r="D314" s="8"/>
      <c r="E314" s="8"/>
      <c r="F314" s="11" t="str">
        <f>IFERROR(INDEX(Reference!$B$23:$B$24,MATCH(D314,Reference!$A$23:$A$24,0)),"")</f>
        <v/>
      </c>
      <c r="G314" s="11" t="str">
        <f t="shared" si="8"/>
        <v/>
      </c>
      <c r="H314" s="10" t="str">
        <f t="shared" si="9"/>
        <v/>
      </c>
    </row>
    <row r="315" spans="1:8" ht="15" customHeight="1" x14ac:dyDescent="0.2">
      <c r="A315" s="9"/>
      <c r="B315" s="8"/>
      <c r="C315" s="8"/>
      <c r="D315" s="8"/>
      <c r="E315" s="8"/>
      <c r="F315" s="11" t="str">
        <f>IFERROR(INDEX(Reference!$B$23:$B$24,MATCH(D315,Reference!$A$23:$A$24,0)),"")</f>
        <v/>
      </c>
      <c r="G315" s="11" t="str">
        <f t="shared" si="8"/>
        <v/>
      </c>
      <c r="H315" s="10" t="str">
        <f t="shared" si="9"/>
        <v/>
      </c>
    </row>
    <row r="316" spans="1:8" ht="15" customHeight="1" x14ac:dyDescent="0.2">
      <c r="A316" s="9"/>
      <c r="B316" s="8"/>
      <c r="C316" s="8"/>
      <c r="D316" s="8"/>
      <c r="E316" s="8"/>
      <c r="F316" s="11" t="str">
        <f>IFERROR(INDEX(Reference!$B$23:$B$24,MATCH(D316,Reference!$A$23:$A$24,0)),"")</f>
        <v/>
      </c>
      <c r="G316" s="11" t="str">
        <f t="shared" si="8"/>
        <v/>
      </c>
      <c r="H316" s="10" t="str">
        <f t="shared" si="9"/>
        <v/>
      </c>
    </row>
    <row r="317" spans="1:8" ht="15" customHeight="1" x14ac:dyDescent="0.2">
      <c r="A317" s="9"/>
      <c r="B317" s="8"/>
      <c r="C317" s="8"/>
      <c r="D317" s="8"/>
      <c r="E317" s="8"/>
      <c r="F317" s="11" t="str">
        <f>IFERROR(INDEX(Reference!$B$23:$B$24,MATCH(D317,Reference!$A$23:$A$24,0)),"")</f>
        <v/>
      </c>
      <c r="G317" s="11" t="str">
        <f t="shared" si="8"/>
        <v/>
      </c>
      <c r="H317" s="10" t="str">
        <f t="shared" si="9"/>
        <v/>
      </c>
    </row>
    <row r="318" spans="1:8" ht="15" customHeight="1" x14ac:dyDescent="0.2">
      <c r="A318" s="9"/>
      <c r="B318" s="8"/>
      <c r="C318" s="8"/>
      <c r="D318" s="8"/>
      <c r="E318" s="8"/>
      <c r="F318" s="11" t="str">
        <f>IFERROR(INDEX(Reference!$B$23:$B$24,MATCH(D318,Reference!$A$23:$A$24,0)),"")</f>
        <v/>
      </c>
      <c r="G318" s="11" t="str">
        <f t="shared" si="8"/>
        <v/>
      </c>
      <c r="H318" s="10" t="str">
        <f t="shared" si="9"/>
        <v/>
      </c>
    </row>
    <row r="319" spans="1:8" ht="15" customHeight="1" x14ac:dyDescent="0.2">
      <c r="A319" s="9"/>
      <c r="B319" s="8"/>
      <c r="C319" s="8"/>
      <c r="D319" s="8"/>
      <c r="E319" s="8"/>
      <c r="F319" s="11" t="str">
        <f>IFERROR(INDEX(Reference!$B$23:$B$24,MATCH(D319,Reference!$A$23:$A$24,0)),"")</f>
        <v/>
      </c>
      <c r="G319" s="11" t="str">
        <f t="shared" si="8"/>
        <v/>
      </c>
      <c r="H319" s="10" t="str">
        <f t="shared" si="9"/>
        <v/>
      </c>
    </row>
    <row r="320" spans="1:8" ht="15" customHeight="1" x14ac:dyDescent="0.2">
      <c r="A320" s="9"/>
      <c r="B320" s="8"/>
      <c r="C320" s="8"/>
      <c r="D320" s="8"/>
      <c r="E320" s="8"/>
      <c r="F320" s="11" t="str">
        <f>IFERROR(INDEX(Reference!$B$23:$B$24,MATCH(D320,Reference!$A$23:$A$24,0)),"")</f>
        <v/>
      </c>
      <c r="G320" s="11" t="str">
        <f t="shared" si="8"/>
        <v/>
      </c>
      <c r="H320" s="10" t="str">
        <f t="shared" si="9"/>
        <v/>
      </c>
    </row>
    <row r="321" spans="1:8" ht="15" customHeight="1" x14ac:dyDescent="0.2">
      <c r="A321" s="9"/>
      <c r="B321" s="8"/>
      <c r="C321" s="8"/>
      <c r="D321" s="8"/>
      <c r="E321" s="8"/>
      <c r="F321" s="11" t="str">
        <f>IFERROR(INDEX(Reference!$B$23:$B$24,MATCH(D321,Reference!$A$23:$A$24,0)),"")</f>
        <v/>
      </c>
      <c r="G321" s="11" t="str">
        <f t="shared" si="8"/>
        <v/>
      </c>
      <c r="H321" s="10" t="str">
        <f t="shared" si="9"/>
        <v/>
      </c>
    </row>
    <row r="322" spans="1:8" ht="15" customHeight="1" x14ac:dyDescent="0.2">
      <c r="A322" s="9"/>
      <c r="B322" s="8"/>
      <c r="C322" s="8"/>
      <c r="D322" s="8"/>
      <c r="E322" s="8"/>
      <c r="F322" s="11" t="str">
        <f>IFERROR(INDEX(Reference!$B$23:$B$24,MATCH(D322,Reference!$A$23:$A$24,0)),"")</f>
        <v/>
      </c>
      <c r="G322" s="11" t="str">
        <f t="shared" ref="G322:G385" si="10">IF(OR(E322="",F322=""),"",E322*F322)</f>
        <v/>
      </c>
      <c r="H322" s="10" t="str">
        <f t="shared" ref="H322:H385" si="11">IF(A322="","",IF(MONTH(A322)&gt;=8,YEAR(A322)&amp;"-"&amp;RIGHT(YEAR(A322)+1,2),YEAR(A322)-1&amp;"-"&amp;RIGHT(YEAR(A322),2)))</f>
        <v/>
      </c>
    </row>
    <row r="323" spans="1:8" ht="15" customHeight="1" x14ac:dyDescent="0.2">
      <c r="A323" s="9"/>
      <c r="B323" s="8"/>
      <c r="C323" s="8"/>
      <c r="D323" s="8"/>
      <c r="E323" s="8"/>
      <c r="F323" s="11" t="str">
        <f>IFERROR(INDEX(Reference!$B$23:$B$24,MATCH(D323,Reference!$A$23:$A$24,0)),"")</f>
        <v/>
      </c>
      <c r="G323" s="11" t="str">
        <f t="shared" si="10"/>
        <v/>
      </c>
      <c r="H323" s="10" t="str">
        <f t="shared" si="11"/>
        <v/>
      </c>
    </row>
    <row r="324" spans="1:8" ht="15" customHeight="1" x14ac:dyDescent="0.2">
      <c r="A324" s="9"/>
      <c r="B324" s="8"/>
      <c r="C324" s="8"/>
      <c r="D324" s="8"/>
      <c r="E324" s="8"/>
      <c r="F324" s="11" t="str">
        <f>IFERROR(INDEX(Reference!$B$23:$B$24,MATCH(D324,Reference!$A$23:$A$24,0)),"")</f>
        <v/>
      </c>
      <c r="G324" s="11" t="str">
        <f t="shared" si="10"/>
        <v/>
      </c>
      <c r="H324" s="10" t="str">
        <f t="shared" si="11"/>
        <v/>
      </c>
    </row>
    <row r="325" spans="1:8" ht="15" customHeight="1" x14ac:dyDescent="0.2">
      <c r="A325" s="9"/>
      <c r="B325" s="8"/>
      <c r="C325" s="8"/>
      <c r="D325" s="8"/>
      <c r="E325" s="8"/>
      <c r="F325" s="11" t="str">
        <f>IFERROR(INDEX(Reference!$B$23:$B$24,MATCH(D325,Reference!$A$23:$A$24,0)),"")</f>
        <v/>
      </c>
      <c r="G325" s="11" t="str">
        <f t="shared" si="10"/>
        <v/>
      </c>
      <c r="H325" s="10" t="str">
        <f t="shared" si="11"/>
        <v/>
      </c>
    </row>
    <row r="326" spans="1:8" ht="15" customHeight="1" x14ac:dyDescent="0.2">
      <c r="A326" s="9"/>
      <c r="B326" s="8"/>
      <c r="C326" s="8"/>
      <c r="D326" s="8"/>
      <c r="E326" s="8"/>
      <c r="F326" s="11" t="str">
        <f>IFERROR(INDEX(Reference!$B$23:$B$24,MATCH(D326,Reference!$A$23:$A$24,0)),"")</f>
        <v/>
      </c>
      <c r="G326" s="11" t="str">
        <f t="shared" si="10"/>
        <v/>
      </c>
      <c r="H326" s="10" t="str">
        <f t="shared" si="11"/>
        <v/>
      </c>
    </row>
    <row r="327" spans="1:8" ht="15" customHeight="1" x14ac:dyDescent="0.2">
      <c r="A327" s="9"/>
      <c r="B327" s="8"/>
      <c r="C327" s="8"/>
      <c r="D327" s="8"/>
      <c r="E327" s="8"/>
      <c r="F327" s="11" t="str">
        <f>IFERROR(INDEX(Reference!$B$23:$B$24,MATCH(D327,Reference!$A$23:$A$24,0)),"")</f>
        <v/>
      </c>
      <c r="G327" s="11" t="str">
        <f t="shared" si="10"/>
        <v/>
      </c>
      <c r="H327" s="10" t="str">
        <f t="shared" si="11"/>
        <v/>
      </c>
    </row>
    <row r="328" spans="1:8" ht="15" customHeight="1" x14ac:dyDescent="0.2">
      <c r="A328" s="9"/>
      <c r="B328" s="8"/>
      <c r="C328" s="8"/>
      <c r="D328" s="8"/>
      <c r="E328" s="8"/>
      <c r="F328" s="11" t="str">
        <f>IFERROR(INDEX(Reference!$B$23:$B$24,MATCH(D328,Reference!$A$23:$A$24,0)),"")</f>
        <v/>
      </c>
      <c r="G328" s="11" t="str">
        <f t="shared" si="10"/>
        <v/>
      </c>
      <c r="H328" s="10" t="str">
        <f t="shared" si="11"/>
        <v/>
      </c>
    </row>
    <row r="329" spans="1:8" ht="15" customHeight="1" x14ac:dyDescent="0.2">
      <c r="A329" s="9"/>
      <c r="B329" s="8"/>
      <c r="C329" s="8"/>
      <c r="D329" s="8"/>
      <c r="E329" s="8"/>
      <c r="F329" s="11" t="str">
        <f>IFERROR(INDEX(Reference!$B$23:$B$24,MATCH(D329,Reference!$A$23:$A$24,0)),"")</f>
        <v/>
      </c>
      <c r="G329" s="11" t="str">
        <f t="shared" si="10"/>
        <v/>
      </c>
      <c r="H329" s="10" t="str">
        <f t="shared" si="11"/>
        <v/>
      </c>
    </row>
    <row r="330" spans="1:8" ht="15" customHeight="1" x14ac:dyDescent="0.2">
      <c r="A330" s="9"/>
      <c r="B330" s="8"/>
      <c r="C330" s="8"/>
      <c r="D330" s="8"/>
      <c r="E330" s="8"/>
      <c r="F330" s="11" t="str">
        <f>IFERROR(INDEX(Reference!$B$23:$B$24,MATCH(D330,Reference!$A$23:$A$24,0)),"")</f>
        <v/>
      </c>
      <c r="G330" s="11" t="str">
        <f t="shared" si="10"/>
        <v/>
      </c>
      <c r="H330" s="10" t="str">
        <f t="shared" si="11"/>
        <v/>
      </c>
    </row>
    <row r="331" spans="1:8" ht="15" customHeight="1" x14ac:dyDescent="0.2">
      <c r="A331" s="9"/>
      <c r="B331" s="8"/>
      <c r="C331" s="8"/>
      <c r="D331" s="8"/>
      <c r="E331" s="8"/>
      <c r="F331" s="11" t="str">
        <f>IFERROR(INDEX(Reference!$B$23:$B$24,MATCH(D331,Reference!$A$23:$A$24,0)),"")</f>
        <v/>
      </c>
      <c r="G331" s="11" t="str">
        <f t="shared" si="10"/>
        <v/>
      </c>
      <c r="H331" s="10" t="str">
        <f t="shared" si="11"/>
        <v/>
      </c>
    </row>
    <row r="332" spans="1:8" ht="15" customHeight="1" x14ac:dyDescent="0.2">
      <c r="A332" s="9"/>
      <c r="B332" s="8"/>
      <c r="C332" s="8"/>
      <c r="D332" s="8"/>
      <c r="E332" s="8"/>
      <c r="F332" s="11" t="str">
        <f>IFERROR(INDEX(Reference!$B$23:$B$24,MATCH(D332,Reference!$A$23:$A$24,0)),"")</f>
        <v/>
      </c>
      <c r="G332" s="11" t="str">
        <f t="shared" si="10"/>
        <v/>
      </c>
      <c r="H332" s="10" t="str">
        <f t="shared" si="11"/>
        <v/>
      </c>
    </row>
    <row r="333" spans="1:8" ht="15" customHeight="1" x14ac:dyDescent="0.2">
      <c r="A333" s="9"/>
      <c r="B333" s="8"/>
      <c r="C333" s="8"/>
      <c r="D333" s="8"/>
      <c r="E333" s="8"/>
      <c r="F333" s="11" t="str">
        <f>IFERROR(INDEX(Reference!$B$23:$B$24,MATCH(D333,Reference!$A$23:$A$24,0)),"")</f>
        <v/>
      </c>
      <c r="G333" s="11" t="str">
        <f t="shared" si="10"/>
        <v/>
      </c>
      <c r="H333" s="10" t="str">
        <f t="shared" si="11"/>
        <v/>
      </c>
    </row>
    <row r="334" spans="1:8" ht="15" customHeight="1" x14ac:dyDescent="0.2">
      <c r="A334" s="9"/>
      <c r="B334" s="8"/>
      <c r="C334" s="8"/>
      <c r="D334" s="8"/>
      <c r="E334" s="8"/>
      <c r="F334" s="11" t="str">
        <f>IFERROR(INDEX(Reference!$B$23:$B$24,MATCH(D334,Reference!$A$23:$A$24,0)),"")</f>
        <v/>
      </c>
      <c r="G334" s="11" t="str">
        <f t="shared" si="10"/>
        <v/>
      </c>
      <c r="H334" s="10" t="str">
        <f t="shared" si="11"/>
        <v/>
      </c>
    </row>
    <row r="335" spans="1:8" ht="15" customHeight="1" x14ac:dyDescent="0.2">
      <c r="A335" s="9"/>
      <c r="B335" s="8"/>
      <c r="C335" s="8"/>
      <c r="D335" s="8"/>
      <c r="E335" s="8"/>
      <c r="F335" s="11" t="str">
        <f>IFERROR(INDEX(Reference!$B$23:$B$24,MATCH(D335,Reference!$A$23:$A$24,0)),"")</f>
        <v/>
      </c>
      <c r="G335" s="11" t="str">
        <f t="shared" si="10"/>
        <v/>
      </c>
      <c r="H335" s="10" t="str">
        <f t="shared" si="11"/>
        <v/>
      </c>
    </row>
    <row r="336" spans="1:8" ht="15" customHeight="1" x14ac:dyDescent="0.2">
      <c r="A336" s="9"/>
      <c r="B336" s="8"/>
      <c r="C336" s="8"/>
      <c r="D336" s="8"/>
      <c r="E336" s="8"/>
      <c r="F336" s="11" t="str">
        <f>IFERROR(INDEX(Reference!$B$23:$B$24,MATCH(D336,Reference!$A$23:$A$24,0)),"")</f>
        <v/>
      </c>
      <c r="G336" s="11" t="str">
        <f t="shared" si="10"/>
        <v/>
      </c>
      <c r="H336" s="10" t="str">
        <f t="shared" si="11"/>
        <v/>
      </c>
    </row>
    <row r="337" spans="1:8" ht="15" customHeight="1" x14ac:dyDescent="0.2">
      <c r="A337" s="9"/>
      <c r="B337" s="8"/>
      <c r="C337" s="8"/>
      <c r="D337" s="8"/>
      <c r="E337" s="8"/>
      <c r="F337" s="11" t="str">
        <f>IFERROR(INDEX(Reference!$B$23:$B$24,MATCH(D337,Reference!$A$23:$A$24,0)),"")</f>
        <v/>
      </c>
      <c r="G337" s="11" t="str">
        <f t="shared" si="10"/>
        <v/>
      </c>
      <c r="H337" s="10" t="str">
        <f t="shared" si="11"/>
        <v/>
      </c>
    </row>
    <row r="338" spans="1:8" ht="15" customHeight="1" x14ac:dyDescent="0.2">
      <c r="A338" s="9"/>
      <c r="B338" s="8"/>
      <c r="C338" s="8"/>
      <c r="D338" s="8"/>
      <c r="E338" s="8"/>
      <c r="F338" s="11" t="str">
        <f>IFERROR(INDEX(Reference!$B$23:$B$24,MATCH(D338,Reference!$A$23:$A$24,0)),"")</f>
        <v/>
      </c>
      <c r="G338" s="11" t="str">
        <f t="shared" si="10"/>
        <v/>
      </c>
      <c r="H338" s="10" t="str">
        <f t="shared" si="11"/>
        <v/>
      </c>
    </row>
    <row r="339" spans="1:8" ht="15" customHeight="1" x14ac:dyDescent="0.2">
      <c r="A339" s="9"/>
      <c r="B339" s="8"/>
      <c r="C339" s="8"/>
      <c r="D339" s="8"/>
      <c r="E339" s="8"/>
      <c r="F339" s="11" t="str">
        <f>IFERROR(INDEX(Reference!$B$23:$B$24,MATCH(D339,Reference!$A$23:$A$24,0)),"")</f>
        <v/>
      </c>
      <c r="G339" s="11" t="str">
        <f t="shared" si="10"/>
        <v/>
      </c>
      <c r="H339" s="10" t="str">
        <f t="shared" si="11"/>
        <v/>
      </c>
    </row>
    <row r="340" spans="1:8" ht="15" customHeight="1" x14ac:dyDescent="0.2">
      <c r="A340" s="9"/>
      <c r="B340" s="8"/>
      <c r="C340" s="8"/>
      <c r="D340" s="8"/>
      <c r="E340" s="8"/>
      <c r="F340" s="11" t="str">
        <f>IFERROR(INDEX(Reference!$B$23:$B$24,MATCH(D340,Reference!$A$23:$A$24,0)),"")</f>
        <v/>
      </c>
      <c r="G340" s="11" t="str">
        <f t="shared" si="10"/>
        <v/>
      </c>
      <c r="H340" s="10" t="str">
        <f t="shared" si="11"/>
        <v/>
      </c>
    </row>
    <row r="341" spans="1:8" ht="15" customHeight="1" x14ac:dyDescent="0.2">
      <c r="A341" s="9"/>
      <c r="B341" s="8"/>
      <c r="C341" s="8"/>
      <c r="D341" s="8"/>
      <c r="E341" s="8"/>
      <c r="F341" s="11" t="str">
        <f>IFERROR(INDEX(Reference!$B$23:$B$24,MATCH(D341,Reference!$A$23:$A$24,0)),"")</f>
        <v/>
      </c>
      <c r="G341" s="11" t="str">
        <f t="shared" si="10"/>
        <v/>
      </c>
      <c r="H341" s="10" t="str">
        <f t="shared" si="11"/>
        <v/>
      </c>
    </row>
    <row r="342" spans="1:8" ht="15" customHeight="1" x14ac:dyDescent="0.2">
      <c r="A342" s="9"/>
      <c r="B342" s="8"/>
      <c r="C342" s="8"/>
      <c r="D342" s="8"/>
      <c r="E342" s="8"/>
      <c r="F342" s="11" t="str">
        <f>IFERROR(INDEX(Reference!$B$23:$B$24,MATCH(D342,Reference!$A$23:$A$24,0)),"")</f>
        <v/>
      </c>
      <c r="G342" s="11" t="str">
        <f t="shared" si="10"/>
        <v/>
      </c>
      <c r="H342" s="10" t="str">
        <f t="shared" si="11"/>
        <v/>
      </c>
    </row>
    <row r="343" spans="1:8" ht="15" customHeight="1" x14ac:dyDescent="0.2">
      <c r="A343" s="9"/>
      <c r="B343" s="8"/>
      <c r="C343" s="8"/>
      <c r="D343" s="8"/>
      <c r="E343" s="8"/>
      <c r="F343" s="11" t="str">
        <f>IFERROR(INDEX(Reference!$B$23:$B$24,MATCH(D343,Reference!$A$23:$A$24,0)),"")</f>
        <v/>
      </c>
      <c r="G343" s="11" t="str">
        <f t="shared" si="10"/>
        <v/>
      </c>
      <c r="H343" s="10" t="str">
        <f t="shared" si="11"/>
        <v/>
      </c>
    </row>
    <row r="344" spans="1:8" ht="15" customHeight="1" x14ac:dyDescent="0.2">
      <c r="A344" s="9"/>
      <c r="B344" s="8"/>
      <c r="C344" s="8"/>
      <c r="D344" s="8"/>
      <c r="E344" s="8"/>
      <c r="F344" s="11" t="str">
        <f>IFERROR(INDEX(Reference!$B$23:$B$24,MATCH(D344,Reference!$A$23:$A$24,0)),"")</f>
        <v/>
      </c>
      <c r="G344" s="11" t="str">
        <f t="shared" si="10"/>
        <v/>
      </c>
      <c r="H344" s="10" t="str">
        <f t="shared" si="11"/>
        <v/>
      </c>
    </row>
    <row r="345" spans="1:8" ht="15" customHeight="1" x14ac:dyDescent="0.2">
      <c r="A345" s="9"/>
      <c r="B345" s="8"/>
      <c r="C345" s="8"/>
      <c r="D345" s="8"/>
      <c r="E345" s="8"/>
      <c r="F345" s="11" t="str">
        <f>IFERROR(INDEX(Reference!$B$23:$B$24,MATCH(D345,Reference!$A$23:$A$24,0)),"")</f>
        <v/>
      </c>
      <c r="G345" s="11" t="str">
        <f t="shared" si="10"/>
        <v/>
      </c>
      <c r="H345" s="10" t="str">
        <f t="shared" si="11"/>
        <v/>
      </c>
    </row>
    <row r="346" spans="1:8" ht="15" customHeight="1" x14ac:dyDescent="0.2">
      <c r="A346" s="9"/>
      <c r="B346" s="8"/>
      <c r="C346" s="8"/>
      <c r="D346" s="8"/>
      <c r="E346" s="8"/>
      <c r="F346" s="11" t="str">
        <f>IFERROR(INDEX(Reference!$B$23:$B$24,MATCH(D346,Reference!$A$23:$A$24,0)),"")</f>
        <v/>
      </c>
      <c r="G346" s="11" t="str">
        <f t="shared" si="10"/>
        <v/>
      </c>
      <c r="H346" s="10" t="str">
        <f t="shared" si="11"/>
        <v/>
      </c>
    </row>
    <row r="347" spans="1:8" ht="15" customHeight="1" x14ac:dyDescent="0.2">
      <c r="A347" s="9"/>
      <c r="B347" s="8"/>
      <c r="C347" s="8"/>
      <c r="D347" s="8"/>
      <c r="E347" s="8"/>
      <c r="F347" s="11" t="str">
        <f>IFERROR(INDEX(Reference!$B$23:$B$24,MATCH(D347,Reference!$A$23:$A$24,0)),"")</f>
        <v/>
      </c>
      <c r="G347" s="11" t="str">
        <f t="shared" si="10"/>
        <v/>
      </c>
      <c r="H347" s="10" t="str">
        <f t="shared" si="11"/>
        <v/>
      </c>
    </row>
    <row r="348" spans="1:8" ht="15" customHeight="1" x14ac:dyDescent="0.2">
      <c r="A348" s="9"/>
      <c r="B348" s="8"/>
      <c r="C348" s="8"/>
      <c r="D348" s="8"/>
      <c r="E348" s="8"/>
      <c r="F348" s="11" t="str">
        <f>IFERROR(INDEX(Reference!$B$23:$B$24,MATCH(D348,Reference!$A$23:$A$24,0)),"")</f>
        <v/>
      </c>
      <c r="G348" s="11" t="str">
        <f t="shared" si="10"/>
        <v/>
      </c>
      <c r="H348" s="10" t="str">
        <f t="shared" si="11"/>
        <v/>
      </c>
    </row>
    <row r="349" spans="1:8" ht="15" customHeight="1" x14ac:dyDescent="0.2">
      <c r="A349" s="9"/>
      <c r="B349" s="8"/>
      <c r="C349" s="8"/>
      <c r="D349" s="8"/>
      <c r="E349" s="8"/>
      <c r="F349" s="11" t="str">
        <f>IFERROR(INDEX(Reference!$B$23:$B$24,MATCH(D349,Reference!$A$23:$A$24,0)),"")</f>
        <v/>
      </c>
      <c r="G349" s="11" t="str">
        <f t="shared" si="10"/>
        <v/>
      </c>
      <c r="H349" s="10" t="str">
        <f t="shared" si="11"/>
        <v/>
      </c>
    </row>
    <row r="350" spans="1:8" ht="15" customHeight="1" x14ac:dyDescent="0.2">
      <c r="A350" s="9"/>
      <c r="B350" s="8"/>
      <c r="C350" s="8"/>
      <c r="D350" s="8"/>
      <c r="E350" s="8"/>
      <c r="F350" s="11" t="str">
        <f>IFERROR(INDEX(Reference!$B$23:$B$24,MATCH(D350,Reference!$A$23:$A$24,0)),"")</f>
        <v/>
      </c>
      <c r="G350" s="11" t="str">
        <f t="shared" si="10"/>
        <v/>
      </c>
      <c r="H350" s="10" t="str">
        <f t="shared" si="11"/>
        <v/>
      </c>
    </row>
    <row r="351" spans="1:8" ht="15" customHeight="1" x14ac:dyDescent="0.2">
      <c r="A351" s="9"/>
      <c r="B351" s="8"/>
      <c r="C351" s="8"/>
      <c r="D351" s="8"/>
      <c r="E351" s="8"/>
      <c r="F351" s="11" t="str">
        <f>IFERROR(INDEX(Reference!$B$23:$B$24,MATCH(D351,Reference!$A$23:$A$24,0)),"")</f>
        <v/>
      </c>
      <c r="G351" s="11" t="str">
        <f t="shared" si="10"/>
        <v/>
      </c>
      <c r="H351" s="10" t="str">
        <f t="shared" si="11"/>
        <v/>
      </c>
    </row>
    <row r="352" spans="1:8" ht="15" customHeight="1" x14ac:dyDescent="0.2">
      <c r="A352" s="9"/>
      <c r="B352" s="8"/>
      <c r="C352" s="8"/>
      <c r="D352" s="8"/>
      <c r="E352" s="8"/>
      <c r="F352" s="11" t="str">
        <f>IFERROR(INDEX(Reference!$B$23:$B$24,MATCH(D352,Reference!$A$23:$A$24,0)),"")</f>
        <v/>
      </c>
      <c r="G352" s="11" t="str">
        <f t="shared" si="10"/>
        <v/>
      </c>
      <c r="H352" s="10" t="str">
        <f t="shared" si="11"/>
        <v/>
      </c>
    </row>
    <row r="353" spans="1:8" ht="15" customHeight="1" x14ac:dyDescent="0.2">
      <c r="A353" s="9"/>
      <c r="B353" s="8"/>
      <c r="C353" s="8"/>
      <c r="D353" s="8"/>
      <c r="E353" s="8"/>
      <c r="F353" s="11" t="str">
        <f>IFERROR(INDEX(Reference!$B$23:$B$24,MATCH(D353,Reference!$A$23:$A$24,0)),"")</f>
        <v/>
      </c>
      <c r="G353" s="11" t="str">
        <f t="shared" si="10"/>
        <v/>
      </c>
      <c r="H353" s="10" t="str">
        <f t="shared" si="11"/>
        <v/>
      </c>
    </row>
    <row r="354" spans="1:8" ht="15" customHeight="1" x14ac:dyDescent="0.2">
      <c r="A354" s="9"/>
      <c r="B354" s="8"/>
      <c r="C354" s="8"/>
      <c r="D354" s="8"/>
      <c r="E354" s="8"/>
      <c r="F354" s="11" t="str">
        <f>IFERROR(INDEX(Reference!$B$23:$B$24,MATCH(D354,Reference!$A$23:$A$24,0)),"")</f>
        <v/>
      </c>
      <c r="G354" s="11" t="str">
        <f t="shared" si="10"/>
        <v/>
      </c>
      <c r="H354" s="10" t="str">
        <f t="shared" si="11"/>
        <v/>
      </c>
    </row>
    <row r="355" spans="1:8" ht="15" customHeight="1" x14ac:dyDescent="0.2">
      <c r="A355" s="9"/>
      <c r="B355" s="8"/>
      <c r="C355" s="8"/>
      <c r="D355" s="8"/>
      <c r="E355" s="8"/>
      <c r="F355" s="11" t="str">
        <f>IFERROR(INDEX(Reference!$B$23:$B$24,MATCH(D355,Reference!$A$23:$A$24,0)),"")</f>
        <v/>
      </c>
      <c r="G355" s="11" t="str">
        <f t="shared" si="10"/>
        <v/>
      </c>
      <c r="H355" s="10" t="str">
        <f t="shared" si="11"/>
        <v/>
      </c>
    </row>
    <row r="356" spans="1:8" ht="15" customHeight="1" x14ac:dyDescent="0.2">
      <c r="A356" s="9"/>
      <c r="B356" s="8"/>
      <c r="C356" s="8"/>
      <c r="D356" s="8"/>
      <c r="E356" s="8"/>
      <c r="F356" s="11" t="str">
        <f>IFERROR(INDEX(Reference!$B$23:$B$24,MATCH(D356,Reference!$A$23:$A$24,0)),"")</f>
        <v/>
      </c>
      <c r="G356" s="11" t="str">
        <f t="shared" si="10"/>
        <v/>
      </c>
      <c r="H356" s="10" t="str">
        <f t="shared" si="11"/>
        <v/>
      </c>
    </row>
    <row r="357" spans="1:8" ht="15" customHeight="1" x14ac:dyDescent="0.2">
      <c r="A357" s="9"/>
      <c r="B357" s="8"/>
      <c r="C357" s="8"/>
      <c r="D357" s="8"/>
      <c r="E357" s="8"/>
      <c r="F357" s="11" t="str">
        <f>IFERROR(INDEX(Reference!$B$23:$B$24,MATCH(D357,Reference!$A$23:$A$24,0)),"")</f>
        <v/>
      </c>
      <c r="G357" s="11" t="str">
        <f t="shared" si="10"/>
        <v/>
      </c>
      <c r="H357" s="10" t="str">
        <f t="shared" si="11"/>
        <v/>
      </c>
    </row>
    <row r="358" spans="1:8" ht="15" customHeight="1" x14ac:dyDescent="0.2">
      <c r="A358" s="9"/>
      <c r="B358" s="8"/>
      <c r="C358" s="8"/>
      <c r="D358" s="8"/>
      <c r="E358" s="8"/>
      <c r="F358" s="11" t="str">
        <f>IFERROR(INDEX(Reference!$B$23:$B$24,MATCH(D358,Reference!$A$23:$A$24,0)),"")</f>
        <v/>
      </c>
      <c r="G358" s="11" t="str">
        <f t="shared" si="10"/>
        <v/>
      </c>
      <c r="H358" s="10" t="str">
        <f t="shared" si="11"/>
        <v/>
      </c>
    </row>
    <row r="359" spans="1:8" ht="15" customHeight="1" x14ac:dyDescent="0.2">
      <c r="A359" s="9"/>
      <c r="B359" s="8"/>
      <c r="C359" s="8"/>
      <c r="D359" s="8"/>
      <c r="E359" s="8"/>
      <c r="F359" s="11" t="str">
        <f>IFERROR(INDEX(Reference!$B$23:$B$24,MATCH(D359,Reference!$A$23:$A$24,0)),"")</f>
        <v/>
      </c>
      <c r="G359" s="11" t="str">
        <f t="shared" si="10"/>
        <v/>
      </c>
      <c r="H359" s="10" t="str">
        <f t="shared" si="11"/>
        <v/>
      </c>
    </row>
    <row r="360" spans="1:8" ht="15" customHeight="1" x14ac:dyDescent="0.2">
      <c r="A360" s="9"/>
      <c r="B360" s="8"/>
      <c r="C360" s="8"/>
      <c r="D360" s="8"/>
      <c r="E360" s="8"/>
      <c r="F360" s="11" t="str">
        <f>IFERROR(INDEX(Reference!$B$23:$B$24,MATCH(D360,Reference!$A$23:$A$24,0)),"")</f>
        <v/>
      </c>
      <c r="G360" s="11" t="str">
        <f t="shared" si="10"/>
        <v/>
      </c>
      <c r="H360" s="10" t="str">
        <f t="shared" si="11"/>
        <v/>
      </c>
    </row>
    <row r="361" spans="1:8" ht="15" customHeight="1" x14ac:dyDescent="0.2">
      <c r="A361" s="9"/>
      <c r="B361" s="8"/>
      <c r="C361" s="8"/>
      <c r="D361" s="8"/>
      <c r="E361" s="8"/>
      <c r="F361" s="11" t="str">
        <f>IFERROR(INDEX(Reference!$B$23:$B$24,MATCH(D361,Reference!$A$23:$A$24,0)),"")</f>
        <v/>
      </c>
      <c r="G361" s="11" t="str">
        <f t="shared" si="10"/>
        <v/>
      </c>
      <c r="H361" s="10" t="str">
        <f t="shared" si="11"/>
        <v/>
      </c>
    </row>
    <row r="362" spans="1:8" ht="15" customHeight="1" x14ac:dyDescent="0.2">
      <c r="A362" s="9"/>
      <c r="B362" s="8"/>
      <c r="C362" s="8"/>
      <c r="D362" s="8"/>
      <c r="E362" s="8"/>
      <c r="F362" s="11" t="str">
        <f>IFERROR(INDEX(Reference!$B$23:$B$24,MATCH(D362,Reference!$A$23:$A$24,0)),"")</f>
        <v/>
      </c>
      <c r="G362" s="11" t="str">
        <f t="shared" si="10"/>
        <v/>
      </c>
      <c r="H362" s="10" t="str">
        <f t="shared" si="11"/>
        <v/>
      </c>
    </row>
    <row r="363" spans="1:8" ht="15" customHeight="1" x14ac:dyDescent="0.2">
      <c r="A363" s="9"/>
      <c r="B363" s="8"/>
      <c r="C363" s="8"/>
      <c r="D363" s="8"/>
      <c r="E363" s="8"/>
      <c r="F363" s="11" t="str">
        <f>IFERROR(INDEX(Reference!$B$23:$B$24,MATCH(D363,Reference!$A$23:$A$24,0)),"")</f>
        <v/>
      </c>
      <c r="G363" s="11" t="str">
        <f t="shared" si="10"/>
        <v/>
      </c>
      <c r="H363" s="10" t="str">
        <f t="shared" si="11"/>
        <v/>
      </c>
    </row>
    <row r="364" spans="1:8" ht="15" customHeight="1" x14ac:dyDescent="0.2">
      <c r="A364" s="9"/>
      <c r="B364" s="8"/>
      <c r="C364" s="8"/>
      <c r="D364" s="8"/>
      <c r="E364" s="8"/>
      <c r="F364" s="11" t="str">
        <f>IFERROR(INDEX(Reference!$B$23:$B$24,MATCH(D364,Reference!$A$23:$A$24,0)),"")</f>
        <v/>
      </c>
      <c r="G364" s="11" t="str">
        <f t="shared" si="10"/>
        <v/>
      </c>
      <c r="H364" s="10" t="str">
        <f t="shared" si="11"/>
        <v/>
      </c>
    </row>
    <row r="365" spans="1:8" ht="15" customHeight="1" x14ac:dyDescent="0.2">
      <c r="A365" s="9"/>
      <c r="B365" s="8"/>
      <c r="C365" s="8"/>
      <c r="D365" s="8"/>
      <c r="E365" s="8"/>
      <c r="F365" s="11" t="str">
        <f>IFERROR(INDEX(Reference!$B$23:$B$24,MATCH(D365,Reference!$A$23:$A$24,0)),"")</f>
        <v/>
      </c>
      <c r="G365" s="11" t="str">
        <f t="shared" si="10"/>
        <v/>
      </c>
      <c r="H365" s="10" t="str">
        <f t="shared" si="11"/>
        <v/>
      </c>
    </row>
    <row r="366" spans="1:8" ht="15" customHeight="1" x14ac:dyDescent="0.2">
      <c r="A366" s="9"/>
      <c r="B366" s="8"/>
      <c r="C366" s="8"/>
      <c r="D366" s="8"/>
      <c r="E366" s="8"/>
      <c r="F366" s="11" t="str">
        <f>IFERROR(INDEX(Reference!$B$23:$B$24,MATCH(D366,Reference!$A$23:$A$24,0)),"")</f>
        <v/>
      </c>
      <c r="G366" s="11" t="str">
        <f t="shared" si="10"/>
        <v/>
      </c>
      <c r="H366" s="10" t="str">
        <f t="shared" si="11"/>
        <v/>
      </c>
    </row>
    <row r="367" spans="1:8" ht="15" customHeight="1" x14ac:dyDescent="0.2">
      <c r="A367" s="9"/>
      <c r="B367" s="8"/>
      <c r="C367" s="8"/>
      <c r="D367" s="8"/>
      <c r="E367" s="8"/>
      <c r="F367" s="11" t="str">
        <f>IFERROR(INDEX(Reference!$B$23:$B$24,MATCH(D367,Reference!$A$23:$A$24,0)),"")</f>
        <v/>
      </c>
      <c r="G367" s="11" t="str">
        <f t="shared" si="10"/>
        <v/>
      </c>
      <c r="H367" s="10" t="str">
        <f t="shared" si="11"/>
        <v/>
      </c>
    </row>
    <row r="368" spans="1:8" ht="15" customHeight="1" x14ac:dyDescent="0.2">
      <c r="A368" s="9"/>
      <c r="B368" s="8"/>
      <c r="C368" s="8"/>
      <c r="D368" s="8"/>
      <c r="E368" s="8"/>
      <c r="F368" s="11" t="str">
        <f>IFERROR(INDEX(Reference!$B$23:$B$24,MATCH(D368,Reference!$A$23:$A$24,0)),"")</f>
        <v/>
      </c>
      <c r="G368" s="11" t="str">
        <f t="shared" si="10"/>
        <v/>
      </c>
      <c r="H368" s="10" t="str">
        <f t="shared" si="11"/>
        <v/>
      </c>
    </row>
    <row r="369" spans="1:8" ht="15" customHeight="1" x14ac:dyDescent="0.2">
      <c r="A369" s="9"/>
      <c r="B369" s="8"/>
      <c r="C369" s="8"/>
      <c r="D369" s="8"/>
      <c r="E369" s="8"/>
      <c r="F369" s="11" t="str">
        <f>IFERROR(INDEX(Reference!$B$23:$B$24,MATCH(D369,Reference!$A$23:$A$24,0)),"")</f>
        <v/>
      </c>
      <c r="G369" s="11" t="str">
        <f t="shared" si="10"/>
        <v/>
      </c>
      <c r="H369" s="10" t="str">
        <f t="shared" si="11"/>
        <v/>
      </c>
    </row>
    <row r="370" spans="1:8" ht="15" customHeight="1" x14ac:dyDescent="0.2">
      <c r="A370" s="9"/>
      <c r="B370" s="8"/>
      <c r="C370" s="8"/>
      <c r="D370" s="8"/>
      <c r="E370" s="8"/>
      <c r="F370" s="11" t="str">
        <f>IFERROR(INDEX(Reference!$B$23:$B$24,MATCH(D370,Reference!$A$23:$A$24,0)),"")</f>
        <v/>
      </c>
      <c r="G370" s="11" t="str">
        <f t="shared" si="10"/>
        <v/>
      </c>
      <c r="H370" s="10" t="str">
        <f t="shared" si="11"/>
        <v/>
      </c>
    </row>
    <row r="371" spans="1:8" ht="15" customHeight="1" x14ac:dyDescent="0.2">
      <c r="A371" s="9"/>
      <c r="B371" s="8"/>
      <c r="C371" s="8"/>
      <c r="D371" s="8"/>
      <c r="E371" s="8"/>
      <c r="F371" s="11" t="str">
        <f>IFERROR(INDEX(Reference!$B$23:$B$24,MATCH(D371,Reference!$A$23:$A$24,0)),"")</f>
        <v/>
      </c>
      <c r="G371" s="11" t="str">
        <f t="shared" si="10"/>
        <v/>
      </c>
      <c r="H371" s="10" t="str">
        <f t="shared" si="11"/>
        <v/>
      </c>
    </row>
    <row r="372" spans="1:8" ht="15" customHeight="1" x14ac:dyDescent="0.2">
      <c r="A372" s="9"/>
      <c r="B372" s="8"/>
      <c r="C372" s="8"/>
      <c r="D372" s="8"/>
      <c r="E372" s="8"/>
      <c r="F372" s="11" t="str">
        <f>IFERROR(INDEX(Reference!$B$23:$B$24,MATCH(D372,Reference!$A$23:$A$24,0)),"")</f>
        <v/>
      </c>
      <c r="G372" s="11" t="str">
        <f t="shared" si="10"/>
        <v/>
      </c>
      <c r="H372" s="10" t="str">
        <f t="shared" si="11"/>
        <v/>
      </c>
    </row>
    <row r="373" spans="1:8" ht="15" customHeight="1" x14ac:dyDescent="0.2">
      <c r="A373" s="9"/>
      <c r="B373" s="8"/>
      <c r="C373" s="8"/>
      <c r="D373" s="8"/>
      <c r="E373" s="8"/>
      <c r="F373" s="11" t="str">
        <f>IFERROR(INDEX(Reference!$B$23:$B$24,MATCH(D373,Reference!$A$23:$A$24,0)),"")</f>
        <v/>
      </c>
      <c r="G373" s="11" t="str">
        <f t="shared" si="10"/>
        <v/>
      </c>
      <c r="H373" s="10" t="str">
        <f t="shared" si="11"/>
        <v/>
      </c>
    </row>
    <row r="374" spans="1:8" ht="15" customHeight="1" x14ac:dyDescent="0.2">
      <c r="A374" s="9"/>
      <c r="B374" s="8"/>
      <c r="C374" s="8"/>
      <c r="D374" s="8"/>
      <c r="E374" s="8"/>
      <c r="F374" s="11" t="str">
        <f>IFERROR(INDEX(Reference!$B$23:$B$24,MATCH(D374,Reference!$A$23:$A$24,0)),"")</f>
        <v/>
      </c>
      <c r="G374" s="11" t="str">
        <f t="shared" si="10"/>
        <v/>
      </c>
      <c r="H374" s="10" t="str">
        <f t="shared" si="11"/>
        <v/>
      </c>
    </row>
    <row r="375" spans="1:8" ht="15" customHeight="1" x14ac:dyDescent="0.2">
      <c r="A375" s="9"/>
      <c r="B375" s="8"/>
      <c r="C375" s="8"/>
      <c r="D375" s="8"/>
      <c r="E375" s="8"/>
      <c r="F375" s="11" t="str">
        <f>IFERROR(INDEX(Reference!$B$23:$B$24,MATCH(D375,Reference!$A$23:$A$24,0)),"")</f>
        <v/>
      </c>
      <c r="G375" s="11" t="str">
        <f t="shared" si="10"/>
        <v/>
      </c>
      <c r="H375" s="10" t="str">
        <f t="shared" si="11"/>
        <v/>
      </c>
    </row>
    <row r="376" spans="1:8" ht="15" customHeight="1" x14ac:dyDescent="0.2">
      <c r="A376" s="9"/>
      <c r="B376" s="8"/>
      <c r="C376" s="8"/>
      <c r="D376" s="8"/>
      <c r="E376" s="8"/>
      <c r="F376" s="11" t="str">
        <f>IFERROR(INDEX(Reference!$B$23:$B$24,MATCH(D376,Reference!$A$23:$A$24,0)),"")</f>
        <v/>
      </c>
      <c r="G376" s="11" t="str">
        <f t="shared" si="10"/>
        <v/>
      </c>
      <c r="H376" s="10" t="str">
        <f t="shared" si="11"/>
        <v/>
      </c>
    </row>
    <row r="377" spans="1:8" ht="15" customHeight="1" x14ac:dyDescent="0.2">
      <c r="A377" s="9"/>
      <c r="B377" s="8"/>
      <c r="C377" s="8"/>
      <c r="D377" s="8"/>
      <c r="E377" s="8"/>
      <c r="F377" s="11" t="str">
        <f>IFERROR(INDEX(Reference!$B$23:$B$24,MATCH(D377,Reference!$A$23:$A$24,0)),"")</f>
        <v/>
      </c>
      <c r="G377" s="11" t="str">
        <f t="shared" si="10"/>
        <v/>
      </c>
      <c r="H377" s="10" t="str">
        <f t="shared" si="11"/>
        <v/>
      </c>
    </row>
    <row r="378" spans="1:8" ht="15" customHeight="1" x14ac:dyDescent="0.2">
      <c r="A378" s="9"/>
      <c r="B378" s="8"/>
      <c r="C378" s="8"/>
      <c r="D378" s="8"/>
      <c r="E378" s="8"/>
      <c r="F378" s="11" t="str">
        <f>IFERROR(INDEX(Reference!$B$23:$B$24,MATCH(D378,Reference!$A$23:$A$24,0)),"")</f>
        <v/>
      </c>
      <c r="G378" s="11" t="str">
        <f t="shared" si="10"/>
        <v/>
      </c>
      <c r="H378" s="10" t="str">
        <f t="shared" si="11"/>
        <v/>
      </c>
    </row>
    <row r="379" spans="1:8" ht="15" customHeight="1" x14ac:dyDescent="0.2">
      <c r="A379" s="9"/>
      <c r="B379" s="8"/>
      <c r="C379" s="8"/>
      <c r="D379" s="8"/>
      <c r="E379" s="8"/>
      <c r="F379" s="11" t="str">
        <f>IFERROR(INDEX(Reference!$B$23:$B$24,MATCH(D379,Reference!$A$23:$A$24,0)),"")</f>
        <v/>
      </c>
      <c r="G379" s="11" t="str">
        <f t="shared" si="10"/>
        <v/>
      </c>
      <c r="H379" s="10" t="str">
        <f t="shared" si="11"/>
        <v/>
      </c>
    </row>
    <row r="380" spans="1:8" ht="15" customHeight="1" x14ac:dyDescent="0.2">
      <c r="A380" s="9"/>
      <c r="B380" s="8"/>
      <c r="C380" s="8"/>
      <c r="D380" s="8"/>
      <c r="E380" s="8"/>
      <c r="F380" s="11" t="str">
        <f>IFERROR(INDEX(Reference!$B$23:$B$24,MATCH(D380,Reference!$A$23:$A$24,0)),"")</f>
        <v/>
      </c>
      <c r="G380" s="11" t="str">
        <f t="shared" si="10"/>
        <v/>
      </c>
      <c r="H380" s="10" t="str">
        <f t="shared" si="11"/>
        <v/>
      </c>
    </row>
    <row r="381" spans="1:8" ht="15" customHeight="1" x14ac:dyDescent="0.2">
      <c r="A381" s="9"/>
      <c r="B381" s="8"/>
      <c r="C381" s="8"/>
      <c r="D381" s="8"/>
      <c r="E381" s="8"/>
      <c r="F381" s="11" t="str">
        <f>IFERROR(INDEX(Reference!$B$23:$B$24,MATCH(D381,Reference!$A$23:$A$24,0)),"")</f>
        <v/>
      </c>
      <c r="G381" s="11" t="str">
        <f t="shared" si="10"/>
        <v/>
      </c>
      <c r="H381" s="10" t="str">
        <f t="shared" si="11"/>
        <v/>
      </c>
    </row>
    <row r="382" spans="1:8" ht="15" customHeight="1" x14ac:dyDescent="0.2">
      <c r="A382" s="9"/>
      <c r="B382" s="8"/>
      <c r="C382" s="8"/>
      <c r="D382" s="8"/>
      <c r="E382" s="8"/>
      <c r="F382" s="11" t="str">
        <f>IFERROR(INDEX(Reference!$B$23:$B$24,MATCH(D382,Reference!$A$23:$A$24,0)),"")</f>
        <v/>
      </c>
      <c r="G382" s="11" t="str">
        <f t="shared" si="10"/>
        <v/>
      </c>
      <c r="H382" s="10" t="str">
        <f t="shared" si="11"/>
        <v/>
      </c>
    </row>
    <row r="383" spans="1:8" ht="15" customHeight="1" x14ac:dyDescent="0.2">
      <c r="A383" s="9"/>
      <c r="B383" s="8"/>
      <c r="C383" s="8"/>
      <c r="D383" s="8"/>
      <c r="E383" s="8"/>
      <c r="F383" s="11" t="str">
        <f>IFERROR(INDEX(Reference!$B$23:$B$24,MATCH(D383,Reference!$A$23:$A$24,0)),"")</f>
        <v/>
      </c>
      <c r="G383" s="11" t="str">
        <f t="shared" si="10"/>
        <v/>
      </c>
      <c r="H383" s="10" t="str">
        <f t="shared" si="11"/>
        <v/>
      </c>
    </row>
    <row r="384" spans="1:8" ht="15" customHeight="1" x14ac:dyDescent="0.2">
      <c r="A384" s="9"/>
      <c r="B384" s="8"/>
      <c r="C384" s="8"/>
      <c r="D384" s="8"/>
      <c r="E384" s="8"/>
      <c r="F384" s="11" t="str">
        <f>IFERROR(INDEX(Reference!$B$23:$B$24,MATCH(D384,Reference!$A$23:$A$24,0)),"")</f>
        <v/>
      </c>
      <c r="G384" s="11" t="str">
        <f t="shared" si="10"/>
        <v/>
      </c>
      <c r="H384" s="10" t="str">
        <f t="shared" si="11"/>
        <v/>
      </c>
    </row>
    <row r="385" spans="1:8" ht="15" customHeight="1" x14ac:dyDescent="0.2">
      <c r="A385" s="9"/>
      <c r="B385" s="8"/>
      <c r="C385" s="8"/>
      <c r="D385" s="8"/>
      <c r="E385" s="8"/>
      <c r="F385" s="11" t="str">
        <f>IFERROR(INDEX(Reference!$B$23:$B$24,MATCH(D385,Reference!$A$23:$A$24,0)),"")</f>
        <v/>
      </c>
      <c r="G385" s="11" t="str">
        <f t="shared" si="10"/>
        <v/>
      </c>
      <c r="H385" s="10" t="str">
        <f t="shared" si="11"/>
        <v/>
      </c>
    </row>
    <row r="386" spans="1:8" ht="15" customHeight="1" x14ac:dyDescent="0.2">
      <c r="A386" s="9"/>
      <c r="B386" s="8"/>
      <c r="C386" s="8"/>
      <c r="D386" s="8"/>
      <c r="E386" s="8"/>
      <c r="F386" s="11" t="str">
        <f>IFERROR(INDEX(Reference!$B$23:$B$24,MATCH(D386,Reference!$A$23:$A$24,0)),"")</f>
        <v/>
      </c>
      <c r="G386" s="11" t="str">
        <f t="shared" ref="G386:G449" si="12">IF(OR(E386="",F386=""),"",E386*F386)</f>
        <v/>
      </c>
      <c r="H386" s="10" t="str">
        <f t="shared" ref="H386:H449" si="13">IF(A386="","",IF(MONTH(A386)&gt;=8,YEAR(A386)&amp;"-"&amp;RIGHT(YEAR(A386)+1,2),YEAR(A386)-1&amp;"-"&amp;RIGHT(YEAR(A386),2)))</f>
        <v/>
      </c>
    </row>
    <row r="387" spans="1:8" ht="15" customHeight="1" x14ac:dyDescent="0.2">
      <c r="A387" s="9"/>
      <c r="B387" s="8"/>
      <c r="C387" s="8"/>
      <c r="D387" s="8"/>
      <c r="E387" s="8"/>
      <c r="F387" s="11" t="str">
        <f>IFERROR(INDEX(Reference!$B$23:$B$24,MATCH(D387,Reference!$A$23:$A$24,0)),"")</f>
        <v/>
      </c>
      <c r="G387" s="11" t="str">
        <f t="shared" si="12"/>
        <v/>
      </c>
      <c r="H387" s="10" t="str">
        <f t="shared" si="13"/>
        <v/>
      </c>
    </row>
    <row r="388" spans="1:8" ht="15" customHeight="1" x14ac:dyDescent="0.2">
      <c r="A388" s="9"/>
      <c r="B388" s="8"/>
      <c r="C388" s="8"/>
      <c r="D388" s="8"/>
      <c r="E388" s="8"/>
      <c r="F388" s="11" t="str">
        <f>IFERROR(INDEX(Reference!$B$23:$B$24,MATCH(D388,Reference!$A$23:$A$24,0)),"")</f>
        <v/>
      </c>
      <c r="G388" s="11" t="str">
        <f t="shared" si="12"/>
        <v/>
      </c>
      <c r="H388" s="10" t="str">
        <f t="shared" si="13"/>
        <v/>
      </c>
    </row>
    <row r="389" spans="1:8" ht="15" customHeight="1" x14ac:dyDescent="0.2">
      <c r="A389" s="9"/>
      <c r="B389" s="8"/>
      <c r="C389" s="8"/>
      <c r="D389" s="8"/>
      <c r="E389" s="8"/>
      <c r="F389" s="11" t="str">
        <f>IFERROR(INDEX(Reference!$B$23:$B$24,MATCH(D389,Reference!$A$23:$A$24,0)),"")</f>
        <v/>
      </c>
      <c r="G389" s="11" t="str">
        <f t="shared" si="12"/>
        <v/>
      </c>
      <c r="H389" s="10" t="str">
        <f t="shared" si="13"/>
        <v/>
      </c>
    </row>
    <row r="390" spans="1:8" ht="15" customHeight="1" x14ac:dyDescent="0.2">
      <c r="A390" s="9"/>
      <c r="B390" s="8"/>
      <c r="C390" s="8"/>
      <c r="D390" s="8"/>
      <c r="E390" s="8"/>
      <c r="F390" s="11" t="str">
        <f>IFERROR(INDEX(Reference!$B$23:$B$24,MATCH(D390,Reference!$A$23:$A$24,0)),"")</f>
        <v/>
      </c>
      <c r="G390" s="11" t="str">
        <f t="shared" si="12"/>
        <v/>
      </c>
      <c r="H390" s="10" t="str">
        <f t="shared" si="13"/>
        <v/>
      </c>
    </row>
    <row r="391" spans="1:8" ht="15" customHeight="1" x14ac:dyDescent="0.2">
      <c r="A391" s="9"/>
      <c r="B391" s="8"/>
      <c r="C391" s="8"/>
      <c r="D391" s="8"/>
      <c r="E391" s="8"/>
      <c r="F391" s="11" t="str">
        <f>IFERROR(INDEX(Reference!$B$23:$B$24,MATCH(D391,Reference!$A$23:$A$24,0)),"")</f>
        <v/>
      </c>
      <c r="G391" s="11" t="str">
        <f t="shared" si="12"/>
        <v/>
      </c>
      <c r="H391" s="10" t="str">
        <f t="shared" si="13"/>
        <v/>
      </c>
    </row>
    <row r="392" spans="1:8" ht="15" customHeight="1" x14ac:dyDescent="0.2">
      <c r="A392" s="9"/>
      <c r="B392" s="8"/>
      <c r="C392" s="8"/>
      <c r="D392" s="8"/>
      <c r="E392" s="8"/>
      <c r="F392" s="11" t="str">
        <f>IFERROR(INDEX(Reference!$B$23:$B$24,MATCH(D392,Reference!$A$23:$A$24,0)),"")</f>
        <v/>
      </c>
      <c r="G392" s="11" t="str">
        <f t="shared" si="12"/>
        <v/>
      </c>
      <c r="H392" s="10" t="str">
        <f t="shared" si="13"/>
        <v/>
      </c>
    </row>
    <row r="393" spans="1:8" ht="15" customHeight="1" x14ac:dyDescent="0.2">
      <c r="A393" s="9"/>
      <c r="B393" s="8"/>
      <c r="C393" s="8"/>
      <c r="D393" s="8"/>
      <c r="E393" s="8"/>
      <c r="F393" s="11" t="str">
        <f>IFERROR(INDEX(Reference!$B$23:$B$24,MATCH(D393,Reference!$A$23:$A$24,0)),"")</f>
        <v/>
      </c>
      <c r="G393" s="11" t="str">
        <f t="shared" si="12"/>
        <v/>
      </c>
      <c r="H393" s="10" t="str">
        <f t="shared" si="13"/>
        <v/>
      </c>
    </row>
    <row r="394" spans="1:8" ht="15" customHeight="1" x14ac:dyDescent="0.2">
      <c r="A394" s="9"/>
      <c r="B394" s="8"/>
      <c r="C394" s="8"/>
      <c r="D394" s="8"/>
      <c r="E394" s="8"/>
      <c r="F394" s="11" t="str">
        <f>IFERROR(INDEX(Reference!$B$23:$B$24,MATCH(D394,Reference!$A$23:$A$24,0)),"")</f>
        <v/>
      </c>
      <c r="G394" s="11" t="str">
        <f t="shared" si="12"/>
        <v/>
      </c>
      <c r="H394" s="10" t="str">
        <f t="shared" si="13"/>
        <v/>
      </c>
    </row>
    <row r="395" spans="1:8" ht="15" customHeight="1" x14ac:dyDescent="0.2">
      <c r="A395" s="9"/>
      <c r="B395" s="8"/>
      <c r="C395" s="8"/>
      <c r="D395" s="8"/>
      <c r="E395" s="8"/>
      <c r="F395" s="11" t="str">
        <f>IFERROR(INDEX(Reference!$B$23:$B$24,MATCH(D395,Reference!$A$23:$A$24,0)),"")</f>
        <v/>
      </c>
      <c r="G395" s="11" t="str">
        <f t="shared" si="12"/>
        <v/>
      </c>
      <c r="H395" s="10" t="str">
        <f t="shared" si="13"/>
        <v/>
      </c>
    </row>
    <row r="396" spans="1:8" ht="15" customHeight="1" x14ac:dyDescent="0.2">
      <c r="A396" s="9"/>
      <c r="B396" s="8"/>
      <c r="C396" s="8"/>
      <c r="D396" s="8"/>
      <c r="E396" s="8"/>
      <c r="F396" s="11" t="str">
        <f>IFERROR(INDEX(Reference!$B$23:$B$24,MATCH(D396,Reference!$A$23:$A$24,0)),"")</f>
        <v/>
      </c>
      <c r="G396" s="11" t="str">
        <f t="shared" si="12"/>
        <v/>
      </c>
      <c r="H396" s="10" t="str">
        <f t="shared" si="13"/>
        <v/>
      </c>
    </row>
    <row r="397" spans="1:8" ht="15" customHeight="1" x14ac:dyDescent="0.2">
      <c r="A397" s="9"/>
      <c r="B397" s="8"/>
      <c r="C397" s="8"/>
      <c r="D397" s="8"/>
      <c r="E397" s="8"/>
      <c r="F397" s="11" t="str">
        <f>IFERROR(INDEX(Reference!$B$23:$B$24,MATCH(D397,Reference!$A$23:$A$24,0)),"")</f>
        <v/>
      </c>
      <c r="G397" s="11" t="str">
        <f t="shared" si="12"/>
        <v/>
      </c>
      <c r="H397" s="10" t="str">
        <f t="shared" si="13"/>
        <v/>
      </c>
    </row>
    <row r="398" spans="1:8" ht="15" customHeight="1" x14ac:dyDescent="0.2">
      <c r="A398" s="9"/>
      <c r="B398" s="8"/>
      <c r="C398" s="8"/>
      <c r="D398" s="8"/>
      <c r="E398" s="8"/>
      <c r="F398" s="11" t="str">
        <f>IFERROR(INDEX(Reference!$B$23:$B$24,MATCH(D398,Reference!$A$23:$A$24,0)),"")</f>
        <v/>
      </c>
      <c r="G398" s="11" t="str">
        <f t="shared" si="12"/>
        <v/>
      </c>
      <c r="H398" s="10" t="str">
        <f t="shared" si="13"/>
        <v/>
      </c>
    </row>
    <row r="399" spans="1:8" ht="15" customHeight="1" x14ac:dyDescent="0.2">
      <c r="A399" s="9"/>
      <c r="B399" s="8"/>
      <c r="C399" s="8"/>
      <c r="D399" s="8"/>
      <c r="E399" s="8"/>
      <c r="F399" s="11" t="str">
        <f>IFERROR(INDEX(Reference!$B$23:$B$24,MATCH(D399,Reference!$A$23:$A$24,0)),"")</f>
        <v/>
      </c>
      <c r="G399" s="11" t="str">
        <f t="shared" si="12"/>
        <v/>
      </c>
      <c r="H399" s="10" t="str">
        <f t="shared" si="13"/>
        <v/>
      </c>
    </row>
    <row r="400" spans="1:8" ht="15" customHeight="1" x14ac:dyDescent="0.2">
      <c r="A400" s="9"/>
      <c r="B400" s="8"/>
      <c r="C400" s="8"/>
      <c r="D400" s="8"/>
      <c r="E400" s="8"/>
      <c r="F400" s="11" t="str">
        <f>IFERROR(INDEX(Reference!$B$23:$B$24,MATCH(D400,Reference!$A$23:$A$24,0)),"")</f>
        <v/>
      </c>
      <c r="G400" s="11" t="str">
        <f t="shared" si="12"/>
        <v/>
      </c>
      <c r="H400" s="10" t="str">
        <f t="shared" si="13"/>
        <v/>
      </c>
    </row>
    <row r="401" spans="1:8" ht="15" customHeight="1" x14ac:dyDescent="0.2">
      <c r="A401" s="9"/>
      <c r="B401" s="8"/>
      <c r="C401" s="8"/>
      <c r="D401" s="8"/>
      <c r="E401" s="8"/>
      <c r="F401" s="11" t="str">
        <f>IFERROR(INDEX(Reference!$B$23:$B$24,MATCH(D401,Reference!$A$23:$A$24,0)),"")</f>
        <v/>
      </c>
      <c r="G401" s="11" t="str">
        <f t="shared" si="12"/>
        <v/>
      </c>
      <c r="H401" s="10" t="str">
        <f t="shared" si="13"/>
        <v/>
      </c>
    </row>
    <row r="402" spans="1:8" ht="15" customHeight="1" x14ac:dyDescent="0.2">
      <c r="A402" s="9"/>
      <c r="B402" s="8"/>
      <c r="C402" s="8"/>
      <c r="D402" s="8"/>
      <c r="E402" s="8"/>
      <c r="F402" s="11" t="str">
        <f>IFERROR(INDEX(Reference!$B$23:$B$24,MATCH(D402,Reference!$A$23:$A$24,0)),"")</f>
        <v/>
      </c>
      <c r="G402" s="11" t="str">
        <f t="shared" si="12"/>
        <v/>
      </c>
      <c r="H402" s="10" t="str">
        <f t="shared" si="13"/>
        <v/>
      </c>
    </row>
    <row r="403" spans="1:8" ht="15" customHeight="1" x14ac:dyDescent="0.2">
      <c r="A403" s="9"/>
      <c r="B403" s="8"/>
      <c r="C403" s="8"/>
      <c r="D403" s="8"/>
      <c r="E403" s="8"/>
      <c r="F403" s="11" t="str">
        <f>IFERROR(INDEX(Reference!$B$23:$B$24,MATCH(D403,Reference!$A$23:$A$24,0)),"")</f>
        <v/>
      </c>
      <c r="G403" s="11" t="str">
        <f t="shared" si="12"/>
        <v/>
      </c>
      <c r="H403" s="10" t="str">
        <f t="shared" si="13"/>
        <v/>
      </c>
    </row>
    <row r="404" spans="1:8" ht="15" customHeight="1" x14ac:dyDescent="0.2">
      <c r="A404" s="9"/>
      <c r="B404" s="8"/>
      <c r="C404" s="8"/>
      <c r="D404" s="8"/>
      <c r="E404" s="8"/>
      <c r="F404" s="11" t="str">
        <f>IFERROR(INDEX(Reference!$B$23:$B$24,MATCH(D404,Reference!$A$23:$A$24,0)),"")</f>
        <v/>
      </c>
      <c r="G404" s="11" t="str">
        <f t="shared" si="12"/>
        <v/>
      </c>
      <c r="H404" s="10" t="str">
        <f t="shared" si="13"/>
        <v/>
      </c>
    </row>
    <row r="405" spans="1:8" ht="15" customHeight="1" x14ac:dyDescent="0.2">
      <c r="A405" s="9"/>
      <c r="B405" s="8"/>
      <c r="C405" s="8"/>
      <c r="D405" s="8"/>
      <c r="E405" s="8"/>
      <c r="F405" s="11" t="str">
        <f>IFERROR(INDEX(Reference!$B$23:$B$24,MATCH(D405,Reference!$A$23:$A$24,0)),"")</f>
        <v/>
      </c>
      <c r="G405" s="11" t="str">
        <f t="shared" si="12"/>
        <v/>
      </c>
      <c r="H405" s="10" t="str">
        <f t="shared" si="13"/>
        <v/>
      </c>
    </row>
    <row r="406" spans="1:8" ht="15" customHeight="1" x14ac:dyDescent="0.2">
      <c r="A406" s="9"/>
      <c r="B406" s="8"/>
      <c r="C406" s="8"/>
      <c r="D406" s="8"/>
      <c r="E406" s="8"/>
      <c r="F406" s="11" t="str">
        <f>IFERROR(INDEX(Reference!$B$23:$B$24,MATCH(D406,Reference!$A$23:$A$24,0)),"")</f>
        <v/>
      </c>
      <c r="G406" s="11" t="str">
        <f t="shared" si="12"/>
        <v/>
      </c>
      <c r="H406" s="10" t="str">
        <f t="shared" si="13"/>
        <v/>
      </c>
    </row>
    <row r="407" spans="1:8" ht="15" customHeight="1" x14ac:dyDescent="0.2">
      <c r="A407" s="9"/>
      <c r="B407" s="8"/>
      <c r="C407" s="8"/>
      <c r="D407" s="8"/>
      <c r="E407" s="8"/>
      <c r="F407" s="11" t="str">
        <f>IFERROR(INDEX(Reference!$B$23:$B$24,MATCH(D407,Reference!$A$23:$A$24,0)),"")</f>
        <v/>
      </c>
      <c r="G407" s="11" t="str">
        <f t="shared" si="12"/>
        <v/>
      </c>
      <c r="H407" s="10" t="str">
        <f t="shared" si="13"/>
        <v/>
      </c>
    </row>
    <row r="408" spans="1:8" ht="15" customHeight="1" x14ac:dyDescent="0.2">
      <c r="A408" s="9"/>
      <c r="B408" s="8"/>
      <c r="C408" s="8"/>
      <c r="D408" s="8"/>
      <c r="E408" s="8"/>
      <c r="F408" s="11" t="str">
        <f>IFERROR(INDEX(Reference!$B$23:$B$24,MATCH(D408,Reference!$A$23:$A$24,0)),"")</f>
        <v/>
      </c>
      <c r="G408" s="11" t="str">
        <f t="shared" si="12"/>
        <v/>
      </c>
      <c r="H408" s="10" t="str">
        <f t="shared" si="13"/>
        <v/>
      </c>
    </row>
    <row r="409" spans="1:8" ht="15" customHeight="1" x14ac:dyDescent="0.2">
      <c r="A409" s="9"/>
      <c r="B409" s="8"/>
      <c r="C409" s="8"/>
      <c r="D409" s="8"/>
      <c r="E409" s="8"/>
      <c r="F409" s="11" t="str">
        <f>IFERROR(INDEX(Reference!$B$23:$B$24,MATCH(D409,Reference!$A$23:$A$24,0)),"")</f>
        <v/>
      </c>
      <c r="G409" s="11" t="str">
        <f t="shared" si="12"/>
        <v/>
      </c>
      <c r="H409" s="10" t="str">
        <f t="shared" si="13"/>
        <v/>
      </c>
    </row>
    <row r="410" spans="1:8" ht="15" customHeight="1" x14ac:dyDescent="0.2">
      <c r="A410" s="9"/>
      <c r="B410" s="8"/>
      <c r="C410" s="8"/>
      <c r="D410" s="8"/>
      <c r="E410" s="8"/>
      <c r="F410" s="11" t="str">
        <f>IFERROR(INDEX(Reference!$B$23:$B$24,MATCH(D410,Reference!$A$23:$A$24,0)),"")</f>
        <v/>
      </c>
      <c r="G410" s="11" t="str">
        <f t="shared" si="12"/>
        <v/>
      </c>
      <c r="H410" s="10" t="str">
        <f t="shared" si="13"/>
        <v/>
      </c>
    </row>
    <row r="411" spans="1:8" ht="15" customHeight="1" x14ac:dyDescent="0.2">
      <c r="A411" s="9"/>
      <c r="B411" s="8"/>
      <c r="C411" s="8"/>
      <c r="D411" s="8"/>
      <c r="E411" s="8"/>
      <c r="F411" s="11" t="str">
        <f>IFERROR(INDEX(Reference!$B$23:$B$24,MATCH(D411,Reference!$A$23:$A$24,0)),"")</f>
        <v/>
      </c>
      <c r="G411" s="11" t="str">
        <f t="shared" si="12"/>
        <v/>
      </c>
      <c r="H411" s="10" t="str">
        <f t="shared" si="13"/>
        <v/>
      </c>
    </row>
    <row r="412" spans="1:8" ht="15" customHeight="1" x14ac:dyDescent="0.2">
      <c r="A412" s="9"/>
      <c r="B412" s="8"/>
      <c r="C412" s="8"/>
      <c r="D412" s="8"/>
      <c r="E412" s="8"/>
      <c r="F412" s="11" t="str">
        <f>IFERROR(INDEX(Reference!$B$23:$B$24,MATCH(D412,Reference!$A$23:$A$24,0)),"")</f>
        <v/>
      </c>
      <c r="G412" s="11" t="str">
        <f t="shared" si="12"/>
        <v/>
      </c>
      <c r="H412" s="10" t="str">
        <f t="shared" si="13"/>
        <v/>
      </c>
    </row>
    <row r="413" spans="1:8" ht="15" customHeight="1" x14ac:dyDescent="0.2">
      <c r="A413" s="9"/>
      <c r="B413" s="8"/>
      <c r="C413" s="8"/>
      <c r="D413" s="8"/>
      <c r="E413" s="8"/>
      <c r="F413" s="11" t="str">
        <f>IFERROR(INDEX(Reference!$B$23:$B$24,MATCH(D413,Reference!$A$23:$A$24,0)),"")</f>
        <v/>
      </c>
      <c r="G413" s="11" t="str">
        <f t="shared" si="12"/>
        <v/>
      </c>
      <c r="H413" s="10" t="str">
        <f t="shared" si="13"/>
        <v/>
      </c>
    </row>
    <row r="414" spans="1:8" ht="15" customHeight="1" x14ac:dyDescent="0.2">
      <c r="A414" s="9"/>
      <c r="B414" s="8"/>
      <c r="C414" s="8"/>
      <c r="D414" s="8"/>
      <c r="E414" s="8"/>
      <c r="F414" s="11" t="str">
        <f>IFERROR(INDEX(Reference!$B$23:$B$24,MATCH(D414,Reference!$A$23:$A$24,0)),"")</f>
        <v/>
      </c>
      <c r="G414" s="11" t="str">
        <f t="shared" si="12"/>
        <v/>
      </c>
      <c r="H414" s="10" t="str">
        <f t="shared" si="13"/>
        <v/>
      </c>
    </row>
    <row r="415" spans="1:8" ht="15" customHeight="1" x14ac:dyDescent="0.2">
      <c r="A415" s="9"/>
      <c r="B415" s="8"/>
      <c r="C415" s="8"/>
      <c r="D415" s="8"/>
      <c r="E415" s="8"/>
      <c r="F415" s="11" t="str">
        <f>IFERROR(INDEX(Reference!$B$23:$B$24,MATCH(D415,Reference!$A$23:$A$24,0)),"")</f>
        <v/>
      </c>
      <c r="G415" s="11" t="str">
        <f t="shared" si="12"/>
        <v/>
      </c>
      <c r="H415" s="10" t="str">
        <f t="shared" si="13"/>
        <v/>
      </c>
    </row>
    <row r="416" spans="1:8" ht="15" customHeight="1" x14ac:dyDescent="0.2">
      <c r="A416" s="9"/>
      <c r="B416" s="8"/>
      <c r="C416" s="8"/>
      <c r="D416" s="8"/>
      <c r="E416" s="8"/>
      <c r="F416" s="11" t="str">
        <f>IFERROR(INDEX(Reference!$B$23:$B$24,MATCH(D416,Reference!$A$23:$A$24,0)),"")</f>
        <v/>
      </c>
      <c r="G416" s="11" t="str">
        <f t="shared" si="12"/>
        <v/>
      </c>
      <c r="H416" s="10" t="str">
        <f t="shared" si="13"/>
        <v/>
      </c>
    </row>
    <row r="417" spans="1:8" ht="15" customHeight="1" x14ac:dyDescent="0.2">
      <c r="A417" s="9"/>
      <c r="B417" s="8"/>
      <c r="C417" s="8"/>
      <c r="D417" s="8"/>
      <c r="E417" s="8"/>
      <c r="F417" s="11" t="str">
        <f>IFERROR(INDEX(Reference!$B$23:$B$24,MATCH(D417,Reference!$A$23:$A$24,0)),"")</f>
        <v/>
      </c>
      <c r="G417" s="11" t="str">
        <f t="shared" si="12"/>
        <v/>
      </c>
      <c r="H417" s="10" t="str">
        <f t="shared" si="13"/>
        <v/>
      </c>
    </row>
    <row r="418" spans="1:8" ht="15" customHeight="1" x14ac:dyDescent="0.2">
      <c r="A418" s="9"/>
      <c r="B418" s="8"/>
      <c r="C418" s="8"/>
      <c r="D418" s="8"/>
      <c r="E418" s="8"/>
      <c r="F418" s="11" t="str">
        <f>IFERROR(INDEX(Reference!$B$23:$B$24,MATCH(D418,Reference!$A$23:$A$24,0)),"")</f>
        <v/>
      </c>
      <c r="G418" s="11" t="str">
        <f t="shared" si="12"/>
        <v/>
      </c>
      <c r="H418" s="10" t="str">
        <f t="shared" si="13"/>
        <v/>
      </c>
    </row>
    <row r="419" spans="1:8" ht="15" customHeight="1" x14ac:dyDescent="0.2">
      <c r="A419" s="9"/>
      <c r="B419" s="8"/>
      <c r="C419" s="8"/>
      <c r="D419" s="8"/>
      <c r="E419" s="8"/>
      <c r="F419" s="11" t="str">
        <f>IFERROR(INDEX(Reference!$B$23:$B$24,MATCH(D419,Reference!$A$23:$A$24,0)),"")</f>
        <v/>
      </c>
      <c r="G419" s="11" t="str">
        <f t="shared" si="12"/>
        <v/>
      </c>
      <c r="H419" s="10" t="str">
        <f t="shared" si="13"/>
        <v/>
      </c>
    </row>
    <row r="420" spans="1:8" ht="15" customHeight="1" x14ac:dyDescent="0.2">
      <c r="A420" s="9"/>
      <c r="B420" s="8"/>
      <c r="C420" s="8"/>
      <c r="D420" s="8"/>
      <c r="E420" s="8"/>
      <c r="F420" s="11" t="str">
        <f>IFERROR(INDEX(Reference!$B$23:$B$24,MATCH(D420,Reference!$A$23:$A$24,0)),"")</f>
        <v/>
      </c>
      <c r="G420" s="11" t="str">
        <f t="shared" si="12"/>
        <v/>
      </c>
      <c r="H420" s="10" t="str">
        <f t="shared" si="13"/>
        <v/>
      </c>
    </row>
    <row r="421" spans="1:8" ht="15" customHeight="1" x14ac:dyDescent="0.2">
      <c r="A421" s="9"/>
      <c r="B421" s="8"/>
      <c r="C421" s="8"/>
      <c r="D421" s="8"/>
      <c r="E421" s="8"/>
      <c r="F421" s="11" t="str">
        <f>IFERROR(INDEX(Reference!$B$23:$B$24,MATCH(D421,Reference!$A$23:$A$24,0)),"")</f>
        <v/>
      </c>
      <c r="G421" s="11" t="str">
        <f t="shared" si="12"/>
        <v/>
      </c>
      <c r="H421" s="10" t="str">
        <f t="shared" si="13"/>
        <v/>
      </c>
    </row>
    <row r="422" spans="1:8" ht="15" customHeight="1" x14ac:dyDescent="0.2">
      <c r="A422" s="9"/>
      <c r="B422" s="8"/>
      <c r="C422" s="8"/>
      <c r="D422" s="8"/>
      <c r="E422" s="8"/>
      <c r="F422" s="11" t="str">
        <f>IFERROR(INDEX(Reference!$B$23:$B$24,MATCH(D422,Reference!$A$23:$A$24,0)),"")</f>
        <v/>
      </c>
      <c r="G422" s="11" t="str">
        <f t="shared" si="12"/>
        <v/>
      </c>
      <c r="H422" s="10" t="str">
        <f t="shared" si="13"/>
        <v/>
      </c>
    </row>
    <row r="423" spans="1:8" ht="15" customHeight="1" x14ac:dyDescent="0.2">
      <c r="A423" s="9"/>
      <c r="B423" s="8"/>
      <c r="C423" s="8"/>
      <c r="D423" s="8"/>
      <c r="E423" s="8"/>
      <c r="F423" s="11" t="str">
        <f>IFERROR(INDEX(Reference!$B$23:$B$24,MATCH(D423,Reference!$A$23:$A$24,0)),"")</f>
        <v/>
      </c>
      <c r="G423" s="11" t="str">
        <f t="shared" si="12"/>
        <v/>
      </c>
      <c r="H423" s="10" t="str">
        <f t="shared" si="13"/>
        <v/>
      </c>
    </row>
    <row r="424" spans="1:8" ht="15" customHeight="1" x14ac:dyDescent="0.2">
      <c r="A424" s="9"/>
      <c r="B424" s="8"/>
      <c r="C424" s="8"/>
      <c r="D424" s="8"/>
      <c r="E424" s="8"/>
      <c r="F424" s="11" t="str">
        <f>IFERROR(INDEX(Reference!$B$23:$B$24,MATCH(D424,Reference!$A$23:$A$24,0)),"")</f>
        <v/>
      </c>
      <c r="G424" s="11" t="str">
        <f t="shared" si="12"/>
        <v/>
      </c>
      <c r="H424" s="10" t="str">
        <f t="shared" si="13"/>
        <v/>
      </c>
    </row>
    <row r="425" spans="1:8" ht="15" customHeight="1" x14ac:dyDescent="0.2">
      <c r="A425" s="9"/>
      <c r="B425" s="8"/>
      <c r="C425" s="8"/>
      <c r="D425" s="8"/>
      <c r="E425" s="8"/>
      <c r="F425" s="11" t="str">
        <f>IFERROR(INDEX(Reference!$B$23:$B$24,MATCH(D425,Reference!$A$23:$A$24,0)),"")</f>
        <v/>
      </c>
      <c r="G425" s="11" t="str">
        <f t="shared" si="12"/>
        <v/>
      </c>
      <c r="H425" s="10" t="str">
        <f t="shared" si="13"/>
        <v/>
      </c>
    </row>
    <row r="426" spans="1:8" ht="15" customHeight="1" x14ac:dyDescent="0.2">
      <c r="A426" s="9"/>
      <c r="B426" s="8"/>
      <c r="C426" s="8"/>
      <c r="D426" s="8"/>
      <c r="E426" s="8"/>
      <c r="F426" s="11" t="str">
        <f>IFERROR(INDEX(Reference!$B$23:$B$24,MATCH(D426,Reference!$A$23:$A$24,0)),"")</f>
        <v/>
      </c>
      <c r="G426" s="11" t="str">
        <f t="shared" si="12"/>
        <v/>
      </c>
      <c r="H426" s="10" t="str">
        <f t="shared" si="13"/>
        <v/>
      </c>
    </row>
    <row r="427" spans="1:8" ht="15" customHeight="1" x14ac:dyDescent="0.2">
      <c r="A427" s="9"/>
      <c r="B427" s="8"/>
      <c r="C427" s="8"/>
      <c r="D427" s="8"/>
      <c r="E427" s="8"/>
      <c r="F427" s="11" t="str">
        <f>IFERROR(INDEX(Reference!$B$23:$B$24,MATCH(D427,Reference!$A$23:$A$24,0)),"")</f>
        <v/>
      </c>
      <c r="G427" s="11" t="str">
        <f t="shared" si="12"/>
        <v/>
      </c>
      <c r="H427" s="10" t="str">
        <f t="shared" si="13"/>
        <v/>
      </c>
    </row>
    <row r="428" spans="1:8" ht="15" customHeight="1" x14ac:dyDescent="0.2">
      <c r="A428" s="9"/>
      <c r="B428" s="8"/>
      <c r="C428" s="8"/>
      <c r="D428" s="8"/>
      <c r="E428" s="8"/>
      <c r="F428" s="11" t="str">
        <f>IFERROR(INDEX(Reference!$B$23:$B$24,MATCH(D428,Reference!$A$23:$A$24,0)),"")</f>
        <v/>
      </c>
      <c r="G428" s="11" t="str">
        <f t="shared" si="12"/>
        <v/>
      </c>
      <c r="H428" s="10" t="str">
        <f t="shared" si="13"/>
        <v/>
      </c>
    </row>
    <row r="429" spans="1:8" ht="15" customHeight="1" x14ac:dyDescent="0.2">
      <c r="A429" s="9"/>
      <c r="B429" s="8"/>
      <c r="C429" s="8"/>
      <c r="D429" s="8"/>
      <c r="E429" s="8"/>
      <c r="F429" s="11" t="str">
        <f>IFERROR(INDEX(Reference!$B$23:$B$24,MATCH(D429,Reference!$A$23:$A$24,0)),"")</f>
        <v/>
      </c>
      <c r="G429" s="11" t="str">
        <f t="shared" si="12"/>
        <v/>
      </c>
      <c r="H429" s="10" t="str">
        <f t="shared" si="13"/>
        <v/>
      </c>
    </row>
    <row r="430" spans="1:8" ht="15" customHeight="1" x14ac:dyDescent="0.2">
      <c r="A430" s="9"/>
      <c r="B430" s="8"/>
      <c r="C430" s="8"/>
      <c r="D430" s="8"/>
      <c r="E430" s="8"/>
      <c r="F430" s="11" t="str">
        <f>IFERROR(INDEX(Reference!$B$23:$B$24,MATCH(D430,Reference!$A$23:$A$24,0)),"")</f>
        <v/>
      </c>
      <c r="G430" s="11" t="str">
        <f t="shared" si="12"/>
        <v/>
      </c>
      <c r="H430" s="10" t="str">
        <f t="shared" si="13"/>
        <v/>
      </c>
    </row>
    <row r="431" spans="1:8" ht="15" customHeight="1" x14ac:dyDescent="0.2">
      <c r="A431" s="9"/>
      <c r="B431" s="8"/>
      <c r="C431" s="8"/>
      <c r="D431" s="8"/>
      <c r="E431" s="8"/>
      <c r="F431" s="11" t="str">
        <f>IFERROR(INDEX(Reference!$B$23:$B$24,MATCH(D431,Reference!$A$23:$A$24,0)),"")</f>
        <v/>
      </c>
      <c r="G431" s="11" t="str">
        <f t="shared" si="12"/>
        <v/>
      </c>
      <c r="H431" s="10" t="str">
        <f t="shared" si="13"/>
        <v/>
      </c>
    </row>
    <row r="432" spans="1:8" ht="15" customHeight="1" x14ac:dyDescent="0.2">
      <c r="A432" s="9"/>
      <c r="B432" s="8"/>
      <c r="C432" s="8"/>
      <c r="D432" s="8"/>
      <c r="E432" s="8"/>
      <c r="F432" s="11" t="str">
        <f>IFERROR(INDEX(Reference!$B$23:$B$24,MATCH(D432,Reference!$A$23:$A$24,0)),"")</f>
        <v/>
      </c>
      <c r="G432" s="11" t="str">
        <f t="shared" si="12"/>
        <v/>
      </c>
      <c r="H432" s="10" t="str">
        <f t="shared" si="13"/>
        <v/>
      </c>
    </row>
    <row r="433" spans="1:8" ht="15" customHeight="1" x14ac:dyDescent="0.2">
      <c r="A433" s="9"/>
      <c r="B433" s="8"/>
      <c r="C433" s="8"/>
      <c r="D433" s="8"/>
      <c r="E433" s="8"/>
      <c r="F433" s="11" t="str">
        <f>IFERROR(INDEX(Reference!$B$23:$B$24,MATCH(D433,Reference!$A$23:$A$24,0)),"")</f>
        <v/>
      </c>
      <c r="G433" s="11" t="str">
        <f t="shared" si="12"/>
        <v/>
      </c>
      <c r="H433" s="10" t="str">
        <f t="shared" si="13"/>
        <v/>
      </c>
    </row>
    <row r="434" spans="1:8" ht="15" customHeight="1" x14ac:dyDescent="0.2">
      <c r="A434" s="9"/>
      <c r="B434" s="8"/>
      <c r="C434" s="8"/>
      <c r="D434" s="8"/>
      <c r="E434" s="8"/>
      <c r="F434" s="11" t="str">
        <f>IFERROR(INDEX(Reference!$B$23:$B$24,MATCH(D434,Reference!$A$23:$A$24,0)),"")</f>
        <v/>
      </c>
      <c r="G434" s="11" t="str">
        <f t="shared" si="12"/>
        <v/>
      </c>
      <c r="H434" s="10" t="str">
        <f t="shared" si="13"/>
        <v/>
      </c>
    </row>
    <row r="435" spans="1:8" ht="15" customHeight="1" x14ac:dyDescent="0.2">
      <c r="A435" s="9"/>
      <c r="B435" s="8"/>
      <c r="C435" s="8"/>
      <c r="D435" s="8"/>
      <c r="E435" s="8"/>
      <c r="F435" s="11" t="str">
        <f>IFERROR(INDEX(Reference!$B$23:$B$24,MATCH(D435,Reference!$A$23:$A$24,0)),"")</f>
        <v/>
      </c>
      <c r="G435" s="11" t="str">
        <f t="shared" si="12"/>
        <v/>
      </c>
      <c r="H435" s="10" t="str">
        <f t="shared" si="13"/>
        <v/>
      </c>
    </row>
    <row r="436" spans="1:8" ht="15" customHeight="1" x14ac:dyDescent="0.2">
      <c r="A436" s="9"/>
      <c r="B436" s="8"/>
      <c r="C436" s="8"/>
      <c r="D436" s="8"/>
      <c r="E436" s="8"/>
      <c r="F436" s="11" t="str">
        <f>IFERROR(INDEX(Reference!$B$23:$B$24,MATCH(D436,Reference!$A$23:$A$24,0)),"")</f>
        <v/>
      </c>
      <c r="G436" s="11" t="str">
        <f t="shared" si="12"/>
        <v/>
      </c>
      <c r="H436" s="10" t="str">
        <f t="shared" si="13"/>
        <v/>
      </c>
    </row>
    <row r="437" spans="1:8" ht="15" customHeight="1" x14ac:dyDescent="0.2">
      <c r="A437" s="9"/>
      <c r="B437" s="8"/>
      <c r="C437" s="8"/>
      <c r="D437" s="8"/>
      <c r="E437" s="8"/>
      <c r="F437" s="11" t="str">
        <f>IFERROR(INDEX(Reference!$B$23:$B$24,MATCH(D437,Reference!$A$23:$A$24,0)),"")</f>
        <v/>
      </c>
      <c r="G437" s="11" t="str">
        <f t="shared" si="12"/>
        <v/>
      </c>
      <c r="H437" s="10" t="str">
        <f t="shared" si="13"/>
        <v/>
      </c>
    </row>
    <row r="438" spans="1:8" ht="15" customHeight="1" x14ac:dyDescent="0.2">
      <c r="A438" s="9"/>
      <c r="B438" s="8"/>
      <c r="C438" s="8"/>
      <c r="D438" s="8"/>
      <c r="E438" s="8"/>
      <c r="F438" s="11" t="str">
        <f>IFERROR(INDEX(Reference!$B$23:$B$24,MATCH(D438,Reference!$A$23:$A$24,0)),"")</f>
        <v/>
      </c>
      <c r="G438" s="11" t="str">
        <f t="shared" si="12"/>
        <v/>
      </c>
      <c r="H438" s="10" t="str">
        <f t="shared" si="13"/>
        <v/>
      </c>
    </row>
    <row r="439" spans="1:8" ht="15" customHeight="1" x14ac:dyDescent="0.2">
      <c r="A439" s="9"/>
      <c r="B439" s="8"/>
      <c r="C439" s="8"/>
      <c r="D439" s="8"/>
      <c r="E439" s="8"/>
      <c r="F439" s="11" t="str">
        <f>IFERROR(INDEX(Reference!$B$23:$B$24,MATCH(D439,Reference!$A$23:$A$24,0)),"")</f>
        <v/>
      </c>
      <c r="G439" s="11" t="str">
        <f t="shared" si="12"/>
        <v/>
      </c>
      <c r="H439" s="10" t="str">
        <f t="shared" si="13"/>
        <v/>
      </c>
    </row>
    <row r="440" spans="1:8" ht="15" customHeight="1" x14ac:dyDescent="0.2">
      <c r="A440" s="9"/>
      <c r="B440" s="8"/>
      <c r="C440" s="8"/>
      <c r="D440" s="8"/>
      <c r="E440" s="8"/>
      <c r="F440" s="11" t="str">
        <f>IFERROR(INDEX(Reference!$B$23:$B$24,MATCH(D440,Reference!$A$23:$A$24,0)),"")</f>
        <v/>
      </c>
      <c r="G440" s="11" t="str">
        <f t="shared" si="12"/>
        <v/>
      </c>
      <c r="H440" s="10" t="str">
        <f t="shared" si="13"/>
        <v/>
      </c>
    </row>
    <row r="441" spans="1:8" ht="15" customHeight="1" x14ac:dyDescent="0.2">
      <c r="A441" s="9"/>
      <c r="B441" s="8"/>
      <c r="C441" s="8"/>
      <c r="D441" s="8"/>
      <c r="E441" s="8"/>
      <c r="F441" s="11" t="str">
        <f>IFERROR(INDEX(Reference!$B$23:$B$24,MATCH(D441,Reference!$A$23:$A$24,0)),"")</f>
        <v/>
      </c>
      <c r="G441" s="11" t="str">
        <f t="shared" si="12"/>
        <v/>
      </c>
      <c r="H441" s="10" t="str">
        <f t="shared" si="13"/>
        <v/>
      </c>
    </row>
    <row r="442" spans="1:8" ht="15" customHeight="1" x14ac:dyDescent="0.2">
      <c r="A442" s="9"/>
      <c r="B442" s="8"/>
      <c r="C442" s="8"/>
      <c r="D442" s="8"/>
      <c r="E442" s="8"/>
      <c r="F442" s="11" t="str">
        <f>IFERROR(INDEX(Reference!$B$23:$B$24,MATCH(D442,Reference!$A$23:$A$24,0)),"")</f>
        <v/>
      </c>
      <c r="G442" s="11" t="str">
        <f t="shared" si="12"/>
        <v/>
      </c>
      <c r="H442" s="10" t="str">
        <f t="shared" si="13"/>
        <v/>
      </c>
    </row>
    <row r="443" spans="1:8" ht="15" customHeight="1" x14ac:dyDescent="0.2">
      <c r="A443" s="9"/>
      <c r="B443" s="8"/>
      <c r="C443" s="8"/>
      <c r="D443" s="8"/>
      <c r="E443" s="8"/>
      <c r="F443" s="11" t="str">
        <f>IFERROR(INDEX(Reference!$B$23:$B$24,MATCH(D443,Reference!$A$23:$A$24,0)),"")</f>
        <v/>
      </c>
      <c r="G443" s="11" t="str">
        <f t="shared" si="12"/>
        <v/>
      </c>
      <c r="H443" s="10" t="str">
        <f t="shared" si="13"/>
        <v/>
      </c>
    </row>
    <row r="444" spans="1:8" ht="15" customHeight="1" x14ac:dyDescent="0.2">
      <c r="A444" s="9"/>
      <c r="B444" s="8"/>
      <c r="C444" s="8"/>
      <c r="D444" s="8"/>
      <c r="E444" s="8"/>
      <c r="F444" s="11" t="str">
        <f>IFERROR(INDEX(Reference!$B$23:$B$24,MATCH(D444,Reference!$A$23:$A$24,0)),"")</f>
        <v/>
      </c>
      <c r="G444" s="11" t="str">
        <f t="shared" si="12"/>
        <v/>
      </c>
      <c r="H444" s="10" t="str">
        <f t="shared" si="13"/>
        <v/>
      </c>
    </row>
    <row r="445" spans="1:8" ht="15" customHeight="1" x14ac:dyDescent="0.2">
      <c r="A445" s="9"/>
      <c r="B445" s="8"/>
      <c r="C445" s="8"/>
      <c r="D445" s="8"/>
      <c r="E445" s="8"/>
      <c r="F445" s="11" t="str">
        <f>IFERROR(INDEX(Reference!$B$23:$B$24,MATCH(D445,Reference!$A$23:$A$24,0)),"")</f>
        <v/>
      </c>
      <c r="G445" s="11" t="str">
        <f t="shared" si="12"/>
        <v/>
      </c>
      <c r="H445" s="10" t="str">
        <f t="shared" si="13"/>
        <v/>
      </c>
    </row>
    <row r="446" spans="1:8" ht="15" customHeight="1" x14ac:dyDescent="0.2">
      <c r="A446" s="9"/>
      <c r="B446" s="8"/>
      <c r="C446" s="8"/>
      <c r="D446" s="8"/>
      <c r="E446" s="8"/>
      <c r="F446" s="11" t="str">
        <f>IFERROR(INDEX(Reference!$B$23:$B$24,MATCH(D446,Reference!$A$23:$A$24,0)),"")</f>
        <v/>
      </c>
      <c r="G446" s="11" t="str">
        <f t="shared" si="12"/>
        <v/>
      </c>
      <c r="H446" s="10" t="str">
        <f t="shared" si="13"/>
        <v/>
      </c>
    </row>
    <row r="447" spans="1:8" ht="15" customHeight="1" x14ac:dyDescent="0.2">
      <c r="A447" s="9"/>
      <c r="B447" s="8"/>
      <c r="C447" s="8"/>
      <c r="D447" s="8"/>
      <c r="E447" s="8"/>
      <c r="F447" s="11" t="str">
        <f>IFERROR(INDEX(Reference!$B$23:$B$24,MATCH(D447,Reference!$A$23:$A$24,0)),"")</f>
        <v/>
      </c>
      <c r="G447" s="11" t="str">
        <f t="shared" si="12"/>
        <v/>
      </c>
      <c r="H447" s="10" t="str">
        <f t="shared" si="13"/>
        <v/>
      </c>
    </row>
    <row r="448" spans="1:8" ht="15" customHeight="1" x14ac:dyDescent="0.2">
      <c r="A448" s="9"/>
      <c r="B448" s="8"/>
      <c r="C448" s="8"/>
      <c r="D448" s="8"/>
      <c r="E448" s="8"/>
      <c r="F448" s="11" t="str">
        <f>IFERROR(INDEX(Reference!$B$23:$B$24,MATCH(D448,Reference!$A$23:$A$24,0)),"")</f>
        <v/>
      </c>
      <c r="G448" s="11" t="str">
        <f t="shared" si="12"/>
        <v/>
      </c>
      <c r="H448" s="10" t="str">
        <f t="shared" si="13"/>
        <v/>
      </c>
    </row>
    <row r="449" spans="1:8" ht="15" customHeight="1" x14ac:dyDescent="0.2">
      <c r="A449" s="9"/>
      <c r="B449" s="8"/>
      <c r="C449" s="8"/>
      <c r="D449" s="8"/>
      <c r="E449" s="8"/>
      <c r="F449" s="11" t="str">
        <f>IFERROR(INDEX(Reference!$B$23:$B$24,MATCH(D449,Reference!$A$23:$A$24,0)),"")</f>
        <v/>
      </c>
      <c r="G449" s="11" t="str">
        <f t="shared" si="12"/>
        <v/>
      </c>
      <c r="H449" s="10" t="str">
        <f t="shared" si="13"/>
        <v/>
      </c>
    </row>
    <row r="450" spans="1:8" ht="15" customHeight="1" x14ac:dyDescent="0.2">
      <c r="A450" s="9"/>
      <c r="B450" s="8"/>
      <c r="C450" s="8"/>
      <c r="D450" s="8"/>
      <c r="E450" s="8"/>
      <c r="F450" s="11" t="str">
        <f>IFERROR(INDEX(Reference!$B$23:$B$24,MATCH(D450,Reference!$A$23:$A$24,0)),"")</f>
        <v/>
      </c>
      <c r="G450" s="11" t="str">
        <f t="shared" ref="G450:G513" si="14">IF(OR(E450="",F450=""),"",E450*F450)</f>
        <v/>
      </c>
      <c r="H450" s="10" t="str">
        <f t="shared" ref="H450:H513" si="15">IF(A450="","",IF(MONTH(A450)&gt;=8,YEAR(A450)&amp;"-"&amp;RIGHT(YEAR(A450)+1,2),YEAR(A450)-1&amp;"-"&amp;RIGHT(YEAR(A450),2)))</f>
        <v/>
      </c>
    </row>
    <row r="451" spans="1:8" ht="15" customHeight="1" x14ac:dyDescent="0.2">
      <c r="A451" s="9"/>
      <c r="B451" s="8"/>
      <c r="C451" s="8"/>
      <c r="D451" s="8"/>
      <c r="E451" s="8"/>
      <c r="F451" s="11" t="str">
        <f>IFERROR(INDEX(Reference!$B$23:$B$24,MATCH(D451,Reference!$A$23:$A$24,0)),"")</f>
        <v/>
      </c>
      <c r="G451" s="11" t="str">
        <f t="shared" si="14"/>
        <v/>
      </c>
      <c r="H451" s="10" t="str">
        <f t="shared" si="15"/>
        <v/>
      </c>
    </row>
    <row r="452" spans="1:8" ht="15" customHeight="1" x14ac:dyDescent="0.2">
      <c r="A452" s="9"/>
      <c r="B452" s="8"/>
      <c r="C452" s="8"/>
      <c r="D452" s="8"/>
      <c r="E452" s="8"/>
      <c r="F452" s="11" t="str">
        <f>IFERROR(INDEX(Reference!$B$23:$B$24,MATCH(D452,Reference!$A$23:$A$24,0)),"")</f>
        <v/>
      </c>
      <c r="G452" s="11" t="str">
        <f t="shared" si="14"/>
        <v/>
      </c>
      <c r="H452" s="10" t="str">
        <f t="shared" si="15"/>
        <v/>
      </c>
    </row>
    <row r="453" spans="1:8" ht="15" customHeight="1" x14ac:dyDescent="0.2">
      <c r="A453" s="9"/>
      <c r="B453" s="8"/>
      <c r="C453" s="8"/>
      <c r="D453" s="8"/>
      <c r="E453" s="8"/>
      <c r="F453" s="11" t="str">
        <f>IFERROR(INDEX(Reference!$B$23:$B$24,MATCH(D453,Reference!$A$23:$A$24,0)),"")</f>
        <v/>
      </c>
      <c r="G453" s="11" t="str">
        <f t="shared" si="14"/>
        <v/>
      </c>
      <c r="H453" s="10" t="str">
        <f t="shared" si="15"/>
        <v/>
      </c>
    </row>
    <row r="454" spans="1:8" ht="15" customHeight="1" x14ac:dyDescent="0.2">
      <c r="A454" s="9"/>
      <c r="B454" s="8"/>
      <c r="C454" s="8"/>
      <c r="D454" s="8"/>
      <c r="E454" s="8"/>
      <c r="F454" s="11" t="str">
        <f>IFERROR(INDEX(Reference!$B$23:$B$24,MATCH(D454,Reference!$A$23:$A$24,0)),"")</f>
        <v/>
      </c>
      <c r="G454" s="11" t="str">
        <f t="shared" si="14"/>
        <v/>
      </c>
      <c r="H454" s="10" t="str">
        <f t="shared" si="15"/>
        <v/>
      </c>
    </row>
    <row r="455" spans="1:8" ht="15" customHeight="1" x14ac:dyDescent="0.2">
      <c r="A455" s="9"/>
      <c r="B455" s="8"/>
      <c r="C455" s="8"/>
      <c r="D455" s="8"/>
      <c r="E455" s="8"/>
      <c r="F455" s="11" t="str">
        <f>IFERROR(INDEX(Reference!$B$23:$B$24,MATCH(D455,Reference!$A$23:$A$24,0)),"")</f>
        <v/>
      </c>
      <c r="G455" s="11" t="str">
        <f t="shared" si="14"/>
        <v/>
      </c>
      <c r="H455" s="10" t="str">
        <f t="shared" si="15"/>
        <v/>
      </c>
    </row>
    <row r="456" spans="1:8" ht="15" customHeight="1" x14ac:dyDescent="0.2">
      <c r="A456" s="9"/>
      <c r="B456" s="8"/>
      <c r="C456" s="8"/>
      <c r="D456" s="8"/>
      <c r="E456" s="8"/>
      <c r="F456" s="11" t="str">
        <f>IFERROR(INDEX(Reference!$B$23:$B$24,MATCH(D456,Reference!$A$23:$A$24,0)),"")</f>
        <v/>
      </c>
      <c r="G456" s="11" t="str">
        <f t="shared" si="14"/>
        <v/>
      </c>
      <c r="H456" s="10" t="str">
        <f t="shared" si="15"/>
        <v/>
      </c>
    </row>
    <row r="457" spans="1:8" ht="15" customHeight="1" x14ac:dyDescent="0.2">
      <c r="A457" s="9"/>
      <c r="B457" s="8"/>
      <c r="C457" s="8"/>
      <c r="D457" s="8"/>
      <c r="E457" s="8"/>
      <c r="F457" s="11" t="str">
        <f>IFERROR(INDEX(Reference!$B$23:$B$24,MATCH(D457,Reference!$A$23:$A$24,0)),"")</f>
        <v/>
      </c>
      <c r="G457" s="11" t="str">
        <f t="shared" si="14"/>
        <v/>
      </c>
      <c r="H457" s="10" t="str">
        <f t="shared" si="15"/>
        <v/>
      </c>
    </row>
    <row r="458" spans="1:8" ht="15" customHeight="1" x14ac:dyDescent="0.2">
      <c r="A458" s="9"/>
      <c r="B458" s="8"/>
      <c r="C458" s="8"/>
      <c r="D458" s="8"/>
      <c r="E458" s="8"/>
      <c r="F458" s="11" t="str">
        <f>IFERROR(INDEX(Reference!$B$23:$B$24,MATCH(D458,Reference!$A$23:$A$24,0)),"")</f>
        <v/>
      </c>
      <c r="G458" s="11" t="str">
        <f t="shared" si="14"/>
        <v/>
      </c>
      <c r="H458" s="10" t="str">
        <f t="shared" si="15"/>
        <v/>
      </c>
    </row>
    <row r="459" spans="1:8" ht="15" customHeight="1" x14ac:dyDescent="0.2">
      <c r="A459" s="9"/>
      <c r="B459" s="8"/>
      <c r="C459" s="8"/>
      <c r="D459" s="8"/>
      <c r="E459" s="8"/>
      <c r="F459" s="11" t="str">
        <f>IFERROR(INDEX(Reference!$B$23:$B$24,MATCH(D459,Reference!$A$23:$A$24,0)),"")</f>
        <v/>
      </c>
      <c r="G459" s="11" t="str">
        <f t="shared" si="14"/>
        <v/>
      </c>
      <c r="H459" s="10" t="str">
        <f t="shared" si="15"/>
        <v/>
      </c>
    </row>
    <row r="460" spans="1:8" ht="15" customHeight="1" x14ac:dyDescent="0.2">
      <c r="A460" s="9"/>
      <c r="B460" s="8"/>
      <c r="C460" s="8"/>
      <c r="D460" s="8"/>
      <c r="E460" s="8"/>
      <c r="F460" s="11" t="str">
        <f>IFERROR(INDEX(Reference!$B$23:$B$24,MATCH(D460,Reference!$A$23:$A$24,0)),"")</f>
        <v/>
      </c>
      <c r="G460" s="11" t="str">
        <f t="shared" si="14"/>
        <v/>
      </c>
      <c r="H460" s="10" t="str">
        <f t="shared" si="15"/>
        <v/>
      </c>
    </row>
    <row r="461" spans="1:8" ht="15" customHeight="1" x14ac:dyDescent="0.2">
      <c r="A461" s="9"/>
      <c r="B461" s="8"/>
      <c r="C461" s="8"/>
      <c r="D461" s="8"/>
      <c r="E461" s="8"/>
      <c r="F461" s="11" t="str">
        <f>IFERROR(INDEX(Reference!$B$23:$B$24,MATCH(D461,Reference!$A$23:$A$24,0)),"")</f>
        <v/>
      </c>
      <c r="G461" s="11" t="str">
        <f t="shared" si="14"/>
        <v/>
      </c>
      <c r="H461" s="10" t="str">
        <f t="shared" si="15"/>
        <v/>
      </c>
    </row>
    <row r="462" spans="1:8" ht="15" customHeight="1" x14ac:dyDescent="0.2">
      <c r="A462" s="9"/>
      <c r="B462" s="8"/>
      <c r="C462" s="8"/>
      <c r="D462" s="8"/>
      <c r="E462" s="8"/>
      <c r="F462" s="11" t="str">
        <f>IFERROR(INDEX(Reference!$B$23:$B$24,MATCH(D462,Reference!$A$23:$A$24,0)),"")</f>
        <v/>
      </c>
      <c r="G462" s="11" t="str">
        <f t="shared" si="14"/>
        <v/>
      </c>
      <c r="H462" s="10" t="str">
        <f t="shared" si="15"/>
        <v/>
      </c>
    </row>
    <row r="463" spans="1:8" ht="15" customHeight="1" x14ac:dyDescent="0.2">
      <c r="A463" s="9"/>
      <c r="B463" s="8"/>
      <c r="C463" s="8"/>
      <c r="D463" s="8"/>
      <c r="E463" s="8"/>
      <c r="F463" s="11" t="str">
        <f>IFERROR(INDEX(Reference!$B$23:$B$24,MATCH(D463,Reference!$A$23:$A$24,0)),"")</f>
        <v/>
      </c>
      <c r="G463" s="11" t="str">
        <f t="shared" si="14"/>
        <v/>
      </c>
      <c r="H463" s="10" t="str">
        <f t="shared" si="15"/>
        <v/>
      </c>
    </row>
    <row r="464" spans="1:8" ht="15" customHeight="1" x14ac:dyDescent="0.2">
      <c r="A464" s="9"/>
      <c r="B464" s="8"/>
      <c r="C464" s="8"/>
      <c r="D464" s="8"/>
      <c r="E464" s="8"/>
      <c r="F464" s="11" t="str">
        <f>IFERROR(INDEX(Reference!$B$23:$B$24,MATCH(D464,Reference!$A$23:$A$24,0)),"")</f>
        <v/>
      </c>
      <c r="G464" s="11" t="str">
        <f t="shared" si="14"/>
        <v/>
      </c>
      <c r="H464" s="10" t="str">
        <f t="shared" si="15"/>
        <v/>
      </c>
    </row>
    <row r="465" spans="1:8" ht="15" customHeight="1" x14ac:dyDescent="0.2">
      <c r="A465" s="9"/>
      <c r="B465" s="8"/>
      <c r="C465" s="8"/>
      <c r="D465" s="8"/>
      <c r="E465" s="8"/>
      <c r="F465" s="11" t="str">
        <f>IFERROR(INDEX(Reference!$B$23:$B$24,MATCH(D465,Reference!$A$23:$A$24,0)),"")</f>
        <v/>
      </c>
      <c r="G465" s="11" t="str">
        <f t="shared" si="14"/>
        <v/>
      </c>
      <c r="H465" s="10" t="str">
        <f t="shared" si="15"/>
        <v/>
      </c>
    </row>
    <row r="466" spans="1:8" ht="15" customHeight="1" x14ac:dyDescent="0.2">
      <c r="A466" s="9"/>
      <c r="B466" s="8"/>
      <c r="C466" s="8"/>
      <c r="D466" s="8"/>
      <c r="E466" s="8"/>
      <c r="F466" s="11" t="str">
        <f>IFERROR(INDEX(Reference!$B$23:$B$24,MATCH(D466,Reference!$A$23:$A$24,0)),"")</f>
        <v/>
      </c>
      <c r="G466" s="11" t="str">
        <f t="shared" si="14"/>
        <v/>
      </c>
      <c r="H466" s="10" t="str">
        <f t="shared" si="15"/>
        <v/>
      </c>
    </row>
    <row r="467" spans="1:8" ht="15" customHeight="1" x14ac:dyDescent="0.2">
      <c r="A467" s="9"/>
      <c r="B467" s="8"/>
      <c r="C467" s="8"/>
      <c r="D467" s="8"/>
      <c r="E467" s="8"/>
      <c r="F467" s="11" t="str">
        <f>IFERROR(INDEX(Reference!$B$23:$B$24,MATCH(D467,Reference!$A$23:$A$24,0)),"")</f>
        <v/>
      </c>
      <c r="G467" s="11" t="str">
        <f t="shared" si="14"/>
        <v/>
      </c>
      <c r="H467" s="10" t="str">
        <f t="shared" si="15"/>
        <v/>
      </c>
    </row>
    <row r="468" spans="1:8" ht="15" customHeight="1" x14ac:dyDescent="0.2">
      <c r="A468" s="9"/>
      <c r="B468" s="8"/>
      <c r="C468" s="8"/>
      <c r="D468" s="8"/>
      <c r="E468" s="8"/>
      <c r="F468" s="11" t="str">
        <f>IFERROR(INDEX(Reference!$B$23:$B$24,MATCH(D468,Reference!$A$23:$A$24,0)),"")</f>
        <v/>
      </c>
      <c r="G468" s="11" t="str">
        <f t="shared" si="14"/>
        <v/>
      </c>
      <c r="H468" s="10" t="str">
        <f t="shared" si="15"/>
        <v/>
      </c>
    </row>
    <row r="469" spans="1:8" ht="15" customHeight="1" x14ac:dyDescent="0.2">
      <c r="A469" s="9"/>
      <c r="B469" s="8"/>
      <c r="C469" s="8"/>
      <c r="D469" s="8"/>
      <c r="E469" s="8"/>
      <c r="F469" s="11" t="str">
        <f>IFERROR(INDEX(Reference!$B$23:$B$24,MATCH(D469,Reference!$A$23:$A$24,0)),"")</f>
        <v/>
      </c>
      <c r="G469" s="11" t="str">
        <f t="shared" si="14"/>
        <v/>
      </c>
      <c r="H469" s="10" t="str">
        <f t="shared" si="15"/>
        <v/>
      </c>
    </row>
    <row r="470" spans="1:8" ht="15" customHeight="1" x14ac:dyDescent="0.2">
      <c r="A470" s="9"/>
      <c r="B470" s="8"/>
      <c r="C470" s="8"/>
      <c r="D470" s="8"/>
      <c r="E470" s="8"/>
      <c r="F470" s="11" t="str">
        <f>IFERROR(INDEX(Reference!$B$23:$B$24,MATCH(D470,Reference!$A$23:$A$24,0)),"")</f>
        <v/>
      </c>
      <c r="G470" s="11" t="str">
        <f t="shared" si="14"/>
        <v/>
      </c>
      <c r="H470" s="10" t="str">
        <f t="shared" si="15"/>
        <v/>
      </c>
    </row>
    <row r="471" spans="1:8" ht="15" customHeight="1" x14ac:dyDescent="0.2">
      <c r="A471" s="9"/>
      <c r="B471" s="8"/>
      <c r="C471" s="8"/>
      <c r="D471" s="8"/>
      <c r="E471" s="8"/>
      <c r="F471" s="11" t="str">
        <f>IFERROR(INDEX(Reference!$B$23:$B$24,MATCH(D471,Reference!$A$23:$A$24,0)),"")</f>
        <v/>
      </c>
      <c r="G471" s="11" t="str">
        <f t="shared" si="14"/>
        <v/>
      </c>
      <c r="H471" s="10" t="str">
        <f t="shared" si="15"/>
        <v/>
      </c>
    </row>
    <row r="472" spans="1:8" ht="15" customHeight="1" x14ac:dyDescent="0.2">
      <c r="A472" s="9"/>
      <c r="B472" s="8"/>
      <c r="C472" s="8"/>
      <c r="D472" s="8"/>
      <c r="E472" s="8"/>
      <c r="F472" s="11" t="str">
        <f>IFERROR(INDEX(Reference!$B$23:$B$24,MATCH(D472,Reference!$A$23:$A$24,0)),"")</f>
        <v/>
      </c>
      <c r="G472" s="11" t="str">
        <f t="shared" si="14"/>
        <v/>
      </c>
      <c r="H472" s="10" t="str">
        <f t="shared" si="15"/>
        <v/>
      </c>
    </row>
    <row r="473" spans="1:8" ht="15" customHeight="1" x14ac:dyDescent="0.2">
      <c r="A473" s="9"/>
      <c r="B473" s="8"/>
      <c r="C473" s="8"/>
      <c r="D473" s="8"/>
      <c r="E473" s="8"/>
      <c r="F473" s="11" t="str">
        <f>IFERROR(INDEX(Reference!$B$23:$B$24,MATCH(D473,Reference!$A$23:$A$24,0)),"")</f>
        <v/>
      </c>
      <c r="G473" s="11" t="str">
        <f t="shared" si="14"/>
        <v/>
      </c>
      <c r="H473" s="10" t="str">
        <f t="shared" si="15"/>
        <v/>
      </c>
    </row>
    <row r="474" spans="1:8" ht="15" customHeight="1" x14ac:dyDescent="0.2">
      <c r="A474" s="9"/>
      <c r="B474" s="8"/>
      <c r="C474" s="8"/>
      <c r="D474" s="8"/>
      <c r="E474" s="8"/>
      <c r="F474" s="11" t="str">
        <f>IFERROR(INDEX(Reference!$B$23:$B$24,MATCH(D474,Reference!$A$23:$A$24,0)),"")</f>
        <v/>
      </c>
      <c r="G474" s="11" t="str">
        <f t="shared" si="14"/>
        <v/>
      </c>
      <c r="H474" s="10" t="str">
        <f t="shared" si="15"/>
        <v/>
      </c>
    </row>
    <row r="475" spans="1:8" ht="15" customHeight="1" x14ac:dyDescent="0.2">
      <c r="A475" s="9"/>
      <c r="B475" s="8"/>
      <c r="C475" s="8"/>
      <c r="D475" s="8"/>
      <c r="E475" s="8"/>
      <c r="F475" s="11" t="str">
        <f>IFERROR(INDEX(Reference!$B$23:$B$24,MATCH(D475,Reference!$A$23:$A$24,0)),"")</f>
        <v/>
      </c>
      <c r="G475" s="11" t="str">
        <f t="shared" si="14"/>
        <v/>
      </c>
      <c r="H475" s="10" t="str">
        <f t="shared" si="15"/>
        <v/>
      </c>
    </row>
    <row r="476" spans="1:8" ht="15" customHeight="1" x14ac:dyDescent="0.2">
      <c r="A476" s="9"/>
      <c r="B476" s="8"/>
      <c r="C476" s="8"/>
      <c r="D476" s="8"/>
      <c r="E476" s="8"/>
      <c r="F476" s="11" t="str">
        <f>IFERROR(INDEX(Reference!$B$23:$B$24,MATCH(D476,Reference!$A$23:$A$24,0)),"")</f>
        <v/>
      </c>
      <c r="G476" s="11" t="str">
        <f t="shared" si="14"/>
        <v/>
      </c>
      <c r="H476" s="10" t="str">
        <f t="shared" si="15"/>
        <v/>
      </c>
    </row>
    <row r="477" spans="1:8" ht="15" customHeight="1" x14ac:dyDescent="0.2">
      <c r="A477" s="9"/>
      <c r="B477" s="8"/>
      <c r="C477" s="8"/>
      <c r="D477" s="8"/>
      <c r="E477" s="8"/>
      <c r="F477" s="11" t="str">
        <f>IFERROR(INDEX(Reference!$B$23:$B$24,MATCH(D477,Reference!$A$23:$A$24,0)),"")</f>
        <v/>
      </c>
      <c r="G477" s="11" t="str">
        <f t="shared" si="14"/>
        <v/>
      </c>
      <c r="H477" s="10" t="str">
        <f t="shared" si="15"/>
        <v/>
      </c>
    </row>
    <row r="478" spans="1:8" ht="15" customHeight="1" x14ac:dyDescent="0.2">
      <c r="A478" s="9"/>
      <c r="B478" s="8"/>
      <c r="C478" s="8"/>
      <c r="D478" s="8"/>
      <c r="E478" s="8"/>
      <c r="F478" s="11" t="str">
        <f>IFERROR(INDEX(Reference!$B$23:$B$24,MATCH(D478,Reference!$A$23:$A$24,0)),"")</f>
        <v/>
      </c>
      <c r="G478" s="11" t="str">
        <f t="shared" si="14"/>
        <v/>
      </c>
      <c r="H478" s="10" t="str">
        <f t="shared" si="15"/>
        <v/>
      </c>
    </row>
    <row r="479" spans="1:8" ht="15" customHeight="1" x14ac:dyDescent="0.2">
      <c r="A479" s="9"/>
      <c r="B479" s="8"/>
      <c r="C479" s="8"/>
      <c r="D479" s="8"/>
      <c r="E479" s="8"/>
      <c r="F479" s="11" t="str">
        <f>IFERROR(INDEX(Reference!$B$23:$B$24,MATCH(D479,Reference!$A$23:$A$24,0)),"")</f>
        <v/>
      </c>
      <c r="G479" s="11" t="str">
        <f t="shared" si="14"/>
        <v/>
      </c>
      <c r="H479" s="10" t="str">
        <f t="shared" si="15"/>
        <v/>
      </c>
    </row>
    <row r="480" spans="1:8" ht="15" customHeight="1" x14ac:dyDescent="0.2">
      <c r="A480" s="9"/>
      <c r="B480" s="8"/>
      <c r="C480" s="8"/>
      <c r="D480" s="8"/>
      <c r="E480" s="8"/>
      <c r="F480" s="11" t="str">
        <f>IFERROR(INDEX(Reference!$B$23:$B$24,MATCH(D480,Reference!$A$23:$A$24,0)),"")</f>
        <v/>
      </c>
      <c r="G480" s="11" t="str">
        <f t="shared" si="14"/>
        <v/>
      </c>
      <c r="H480" s="10" t="str">
        <f t="shared" si="15"/>
        <v/>
      </c>
    </row>
    <row r="481" spans="1:8" ht="15" customHeight="1" x14ac:dyDescent="0.2">
      <c r="A481" s="9"/>
      <c r="B481" s="8"/>
      <c r="C481" s="8"/>
      <c r="D481" s="8"/>
      <c r="E481" s="8"/>
      <c r="F481" s="11" t="str">
        <f>IFERROR(INDEX(Reference!$B$23:$B$24,MATCH(D481,Reference!$A$23:$A$24,0)),"")</f>
        <v/>
      </c>
      <c r="G481" s="11" t="str">
        <f t="shared" si="14"/>
        <v/>
      </c>
      <c r="H481" s="10" t="str">
        <f t="shared" si="15"/>
        <v/>
      </c>
    </row>
    <row r="482" spans="1:8" ht="15" customHeight="1" x14ac:dyDescent="0.2">
      <c r="A482" s="9"/>
      <c r="B482" s="8"/>
      <c r="C482" s="8"/>
      <c r="D482" s="8"/>
      <c r="E482" s="8"/>
      <c r="F482" s="11" t="str">
        <f>IFERROR(INDEX(Reference!$B$23:$B$24,MATCH(D482,Reference!$A$23:$A$24,0)),"")</f>
        <v/>
      </c>
      <c r="G482" s="11" t="str">
        <f t="shared" si="14"/>
        <v/>
      </c>
      <c r="H482" s="10" t="str">
        <f t="shared" si="15"/>
        <v/>
      </c>
    </row>
    <row r="483" spans="1:8" ht="15" customHeight="1" x14ac:dyDescent="0.2">
      <c r="A483" s="9"/>
      <c r="B483" s="8"/>
      <c r="C483" s="8"/>
      <c r="D483" s="8"/>
      <c r="E483" s="8"/>
      <c r="F483" s="11" t="str">
        <f>IFERROR(INDEX(Reference!$B$23:$B$24,MATCH(D483,Reference!$A$23:$A$24,0)),"")</f>
        <v/>
      </c>
      <c r="G483" s="11" t="str">
        <f t="shared" si="14"/>
        <v/>
      </c>
      <c r="H483" s="10" t="str">
        <f t="shared" si="15"/>
        <v/>
      </c>
    </row>
    <row r="484" spans="1:8" ht="15" customHeight="1" x14ac:dyDescent="0.2">
      <c r="A484" s="9"/>
      <c r="B484" s="8"/>
      <c r="C484" s="8"/>
      <c r="D484" s="8"/>
      <c r="E484" s="8"/>
      <c r="F484" s="11" t="str">
        <f>IFERROR(INDEX(Reference!$B$23:$B$24,MATCH(D484,Reference!$A$23:$A$24,0)),"")</f>
        <v/>
      </c>
      <c r="G484" s="11" t="str">
        <f t="shared" si="14"/>
        <v/>
      </c>
      <c r="H484" s="10" t="str">
        <f t="shared" si="15"/>
        <v/>
      </c>
    </row>
    <row r="485" spans="1:8" ht="15" customHeight="1" x14ac:dyDescent="0.2">
      <c r="A485" s="9"/>
      <c r="B485" s="8"/>
      <c r="C485" s="8"/>
      <c r="D485" s="8"/>
      <c r="E485" s="8"/>
      <c r="F485" s="11" t="str">
        <f>IFERROR(INDEX(Reference!$B$23:$B$24,MATCH(D485,Reference!$A$23:$A$24,0)),"")</f>
        <v/>
      </c>
      <c r="G485" s="11" t="str">
        <f t="shared" si="14"/>
        <v/>
      </c>
      <c r="H485" s="10" t="str">
        <f t="shared" si="15"/>
        <v/>
      </c>
    </row>
    <row r="486" spans="1:8" ht="15" customHeight="1" x14ac:dyDescent="0.2">
      <c r="A486" s="9"/>
      <c r="B486" s="8"/>
      <c r="C486" s="8"/>
      <c r="D486" s="8"/>
      <c r="E486" s="8"/>
      <c r="F486" s="11" t="str">
        <f>IFERROR(INDEX(Reference!$B$23:$B$24,MATCH(D486,Reference!$A$23:$A$24,0)),"")</f>
        <v/>
      </c>
      <c r="G486" s="11" t="str">
        <f t="shared" si="14"/>
        <v/>
      </c>
      <c r="H486" s="10" t="str">
        <f t="shared" si="15"/>
        <v/>
      </c>
    </row>
    <row r="487" spans="1:8" ht="15" customHeight="1" x14ac:dyDescent="0.2">
      <c r="A487" s="9"/>
      <c r="B487" s="8"/>
      <c r="C487" s="8"/>
      <c r="D487" s="8"/>
      <c r="E487" s="8"/>
      <c r="F487" s="11" t="str">
        <f>IFERROR(INDEX(Reference!$B$23:$B$24,MATCH(D487,Reference!$A$23:$A$24,0)),"")</f>
        <v/>
      </c>
      <c r="G487" s="11" t="str">
        <f t="shared" si="14"/>
        <v/>
      </c>
      <c r="H487" s="10" t="str">
        <f t="shared" si="15"/>
        <v/>
      </c>
    </row>
    <row r="488" spans="1:8" ht="15" customHeight="1" x14ac:dyDescent="0.2">
      <c r="A488" s="9"/>
      <c r="B488" s="8"/>
      <c r="C488" s="8"/>
      <c r="D488" s="8"/>
      <c r="E488" s="8"/>
      <c r="F488" s="11" t="str">
        <f>IFERROR(INDEX(Reference!$B$23:$B$24,MATCH(D488,Reference!$A$23:$A$24,0)),"")</f>
        <v/>
      </c>
      <c r="G488" s="11" t="str">
        <f t="shared" si="14"/>
        <v/>
      </c>
      <c r="H488" s="10" t="str">
        <f t="shared" si="15"/>
        <v/>
      </c>
    </row>
    <row r="489" spans="1:8" ht="15" customHeight="1" x14ac:dyDescent="0.2">
      <c r="A489" s="9"/>
      <c r="B489" s="8"/>
      <c r="C489" s="8"/>
      <c r="D489" s="8"/>
      <c r="E489" s="8"/>
      <c r="F489" s="11" t="str">
        <f>IFERROR(INDEX(Reference!$B$23:$B$24,MATCH(D489,Reference!$A$23:$A$24,0)),"")</f>
        <v/>
      </c>
      <c r="G489" s="11" t="str">
        <f t="shared" si="14"/>
        <v/>
      </c>
      <c r="H489" s="10" t="str">
        <f t="shared" si="15"/>
        <v/>
      </c>
    </row>
    <row r="490" spans="1:8" ht="15" customHeight="1" x14ac:dyDescent="0.2">
      <c r="A490" s="9"/>
      <c r="B490" s="8"/>
      <c r="C490" s="8"/>
      <c r="D490" s="8"/>
      <c r="E490" s="8"/>
      <c r="F490" s="11" t="str">
        <f>IFERROR(INDEX(Reference!$B$23:$B$24,MATCH(D490,Reference!$A$23:$A$24,0)),"")</f>
        <v/>
      </c>
      <c r="G490" s="11" t="str">
        <f t="shared" si="14"/>
        <v/>
      </c>
      <c r="H490" s="10" t="str">
        <f t="shared" si="15"/>
        <v/>
      </c>
    </row>
    <row r="491" spans="1:8" ht="15" customHeight="1" x14ac:dyDescent="0.2">
      <c r="A491" s="9"/>
      <c r="B491" s="8"/>
      <c r="C491" s="8"/>
      <c r="D491" s="8"/>
      <c r="E491" s="8"/>
      <c r="F491" s="11" t="str">
        <f>IFERROR(INDEX(Reference!$B$23:$B$24,MATCH(D491,Reference!$A$23:$A$24,0)),"")</f>
        <v/>
      </c>
      <c r="G491" s="11" t="str">
        <f t="shared" si="14"/>
        <v/>
      </c>
      <c r="H491" s="10" t="str">
        <f t="shared" si="15"/>
        <v/>
      </c>
    </row>
    <row r="492" spans="1:8" ht="15" customHeight="1" x14ac:dyDescent="0.2">
      <c r="A492" s="9"/>
      <c r="B492" s="8"/>
      <c r="C492" s="8"/>
      <c r="D492" s="8"/>
      <c r="E492" s="8"/>
      <c r="F492" s="11" t="str">
        <f>IFERROR(INDEX(Reference!$B$23:$B$24,MATCH(D492,Reference!$A$23:$A$24,0)),"")</f>
        <v/>
      </c>
      <c r="G492" s="11" t="str">
        <f t="shared" si="14"/>
        <v/>
      </c>
      <c r="H492" s="10" t="str">
        <f t="shared" si="15"/>
        <v/>
      </c>
    </row>
    <row r="493" spans="1:8" ht="15" customHeight="1" x14ac:dyDescent="0.2">
      <c r="A493" s="9"/>
      <c r="B493" s="8"/>
      <c r="C493" s="8"/>
      <c r="D493" s="8"/>
      <c r="E493" s="8"/>
      <c r="F493" s="11" t="str">
        <f>IFERROR(INDEX(Reference!$B$23:$B$24,MATCH(D493,Reference!$A$23:$A$24,0)),"")</f>
        <v/>
      </c>
      <c r="G493" s="11" t="str">
        <f t="shared" si="14"/>
        <v/>
      </c>
      <c r="H493" s="10" t="str">
        <f t="shared" si="15"/>
        <v/>
      </c>
    </row>
    <row r="494" spans="1:8" ht="15" customHeight="1" x14ac:dyDescent="0.2">
      <c r="A494" s="9"/>
      <c r="B494" s="8"/>
      <c r="C494" s="8"/>
      <c r="D494" s="8"/>
      <c r="E494" s="8"/>
      <c r="F494" s="11" t="str">
        <f>IFERROR(INDEX(Reference!$B$23:$B$24,MATCH(D494,Reference!$A$23:$A$24,0)),"")</f>
        <v/>
      </c>
      <c r="G494" s="11" t="str">
        <f t="shared" si="14"/>
        <v/>
      </c>
      <c r="H494" s="10" t="str">
        <f t="shared" si="15"/>
        <v/>
      </c>
    </row>
    <row r="495" spans="1:8" ht="15" customHeight="1" x14ac:dyDescent="0.2">
      <c r="A495" s="9"/>
      <c r="B495" s="8"/>
      <c r="C495" s="8"/>
      <c r="D495" s="8"/>
      <c r="E495" s="8"/>
      <c r="F495" s="11" t="str">
        <f>IFERROR(INDEX(Reference!$B$23:$B$24,MATCH(D495,Reference!$A$23:$A$24,0)),"")</f>
        <v/>
      </c>
      <c r="G495" s="11" t="str">
        <f t="shared" si="14"/>
        <v/>
      </c>
      <c r="H495" s="10" t="str">
        <f t="shared" si="15"/>
        <v/>
      </c>
    </row>
    <row r="496" spans="1:8" ht="15" customHeight="1" x14ac:dyDescent="0.2">
      <c r="A496" s="9"/>
      <c r="B496" s="8"/>
      <c r="C496" s="8"/>
      <c r="D496" s="8"/>
      <c r="E496" s="8"/>
      <c r="F496" s="11" t="str">
        <f>IFERROR(INDEX(Reference!$B$23:$B$24,MATCH(D496,Reference!$A$23:$A$24,0)),"")</f>
        <v/>
      </c>
      <c r="G496" s="11" t="str">
        <f t="shared" si="14"/>
        <v/>
      </c>
      <c r="H496" s="10" t="str">
        <f t="shared" si="15"/>
        <v/>
      </c>
    </row>
    <row r="497" spans="1:8" ht="15" customHeight="1" x14ac:dyDescent="0.2">
      <c r="A497" s="9"/>
      <c r="B497" s="8"/>
      <c r="C497" s="8"/>
      <c r="D497" s="8"/>
      <c r="E497" s="8"/>
      <c r="F497" s="11" t="str">
        <f>IFERROR(INDEX(Reference!$B$23:$B$24,MATCH(D497,Reference!$A$23:$A$24,0)),"")</f>
        <v/>
      </c>
      <c r="G497" s="11" t="str">
        <f t="shared" si="14"/>
        <v/>
      </c>
      <c r="H497" s="10" t="str">
        <f t="shared" si="15"/>
        <v/>
      </c>
    </row>
    <row r="498" spans="1:8" ht="15" customHeight="1" x14ac:dyDescent="0.2">
      <c r="A498" s="9"/>
      <c r="B498" s="8"/>
      <c r="C498" s="8"/>
      <c r="D498" s="8"/>
      <c r="E498" s="8"/>
      <c r="F498" s="11" t="str">
        <f>IFERROR(INDEX(Reference!$B$23:$B$24,MATCH(D498,Reference!$A$23:$A$24,0)),"")</f>
        <v/>
      </c>
      <c r="G498" s="11" t="str">
        <f t="shared" si="14"/>
        <v/>
      </c>
      <c r="H498" s="10" t="str">
        <f t="shared" si="15"/>
        <v/>
      </c>
    </row>
    <row r="499" spans="1:8" ht="15" customHeight="1" x14ac:dyDescent="0.2">
      <c r="A499" s="9"/>
      <c r="B499" s="8"/>
      <c r="C499" s="8"/>
      <c r="D499" s="8"/>
      <c r="E499" s="8"/>
      <c r="F499" s="11" t="str">
        <f>IFERROR(INDEX(Reference!$B$23:$B$24,MATCH(D499,Reference!$A$23:$A$24,0)),"")</f>
        <v/>
      </c>
      <c r="G499" s="11" t="str">
        <f t="shared" si="14"/>
        <v/>
      </c>
      <c r="H499" s="10" t="str">
        <f t="shared" si="15"/>
        <v/>
      </c>
    </row>
    <row r="500" spans="1:8" ht="15" customHeight="1" x14ac:dyDescent="0.2">
      <c r="A500" s="9"/>
      <c r="B500" s="8"/>
      <c r="C500" s="8"/>
      <c r="D500" s="8"/>
      <c r="E500" s="8"/>
      <c r="F500" s="11" t="str">
        <f>IFERROR(INDEX(Reference!$B$23:$B$24,MATCH(D500,Reference!$A$23:$A$24,0)),"")</f>
        <v/>
      </c>
      <c r="G500" s="11" t="str">
        <f t="shared" si="14"/>
        <v/>
      </c>
      <c r="H500" s="10" t="str">
        <f t="shared" si="15"/>
        <v/>
      </c>
    </row>
    <row r="501" spans="1:8" ht="15" customHeight="1" x14ac:dyDescent="0.2">
      <c r="A501" s="9"/>
      <c r="B501" s="8"/>
      <c r="C501" s="8"/>
      <c r="D501" s="8"/>
      <c r="E501" s="8"/>
      <c r="F501" s="11" t="str">
        <f>IFERROR(INDEX(Reference!$B$23:$B$24,MATCH(D501,Reference!$A$23:$A$24,0)),"")</f>
        <v/>
      </c>
      <c r="G501" s="11" t="str">
        <f t="shared" si="14"/>
        <v/>
      </c>
      <c r="H501" s="10" t="str">
        <f t="shared" si="15"/>
        <v/>
      </c>
    </row>
    <row r="502" spans="1:8" ht="15" customHeight="1" x14ac:dyDescent="0.2">
      <c r="A502" s="9"/>
      <c r="B502" s="8"/>
      <c r="C502" s="8"/>
      <c r="D502" s="8"/>
      <c r="E502" s="8"/>
      <c r="F502" s="11" t="str">
        <f>IFERROR(INDEX(Reference!$B$23:$B$24,MATCH(D502,Reference!$A$23:$A$24,0)),"")</f>
        <v/>
      </c>
      <c r="G502" s="11" t="str">
        <f t="shared" si="14"/>
        <v/>
      </c>
      <c r="H502" s="10" t="str">
        <f t="shared" si="15"/>
        <v/>
      </c>
    </row>
    <row r="503" spans="1:8" ht="15" customHeight="1" x14ac:dyDescent="0.2">
      <c r="A503" s="9"/>
      <c r="B503" s="8"/>
      <c r="C503" s="8"/>
      <c r="D503" s="8"/>
      <c r="E503" s="8"/>
      <c r="F503" s="11" t="str">
        <f>IFERROR(INDEX(Reference!$B$23:$B$24,MATCH(D503,Reference!$A$23:$A$24,0)),"")</f>
        <v/>
      </c>
      <c r="G503" s="11" t="str">
        <f t="shared" si="14"/>
        <v/>
      </c>
      <c r="H503" s="10" t="str">
        <f t="shared" si="15"/>
        <v/>
      </c>
    </row>
    <row r="504" spans="1:8" ht="15" customHeight="1" x14ac:dyDescent="0.2">
      <c r="A504" s="9"/>
      <c r="B504" s="8"/>
      <c r="C504" s="8"/>
      <c r="D504" s="8"/>
      <c r="E504" s="8"/>
      <c r="F504" s="11" t="str">
        <f>IFERROR(INDEX(Reference!$B$23:$B$24,MATCH(D504,Reference!$A$23:$A$24,0)),"")</f>
        <v/>
      </c>
      <c r="G504" s="11" t="str">
        <f t="shared" si="14"/>
        <v/>
      </c>
      <c r="H504" s="10" t="str">
        <f t="shared" si="15"/>
        <v/>
      </c>
    </row>
    <row r="505" spans="1:8" ht="15" customHeight="1" x14ac:dyDescent="0.2">
      <c r="A505" s="9"/>
      <c r="B505" s="8"/>
      <c r="C505" s="8"/>
      <c r="D505" s="8"/>
      <c r="E505" s="8"/>
      <c r="F505" s="11" t="str">
        <f>IFERROR(INDEX(Reference!$B$23:$B$24,MATCH(D505,Reference!$A$23:$A$24,0)),"")</f>
        <v/>
      </c>
      <c r="G505" s="11" t="str">
        <f t="shared" si="14"/>
        <v/>
      </c>
      <c r="H505" s="10" t="str">
        <f t="shared" si="15"/>
        <v/>
      </c>
    </row>
    <row r="506" spans="1:8" ht="15" customHeight="1" x14ac:dyDescent="0.2">
      <c r="A506" s="9"/>
      <c r="B506" s="8"/>
      <c r="C506" s="8"/>
      <c r="D506" s="8"/>
      <c r="E506" s="8"/>
      <c r="F506" s="11" t="str">
        <f>IFERROR(INDEX(Reference!$B$23:$B$24,MATCH(D506,Reference!$A$23:$A$24,0)),"")</f>
        <v/>
      </c>
      <c r="G506" s="11" t="str">
        <f t="shared" si="14"/>
        <v/>
      </c>
      <c r="H506" s="10" t="str">
        <f t="shared" si="15"/>
        <v/>
      </c>
    </row>
    <row r="507" spans="1:8" ht="15" customHeight="1" x14ac:dyDescent="0.2">
      <c r="A507" s="9"/>
      <c r="B507" s="8"/>
      <c r="C507" s="8"/>
      <c r="D507" s="8"/>
      <c r="E507" s="8"/>
      <c r="F507" s="11" t="str">
        <f>IFERROR(INDEX(Reference!$B$23:$B$24,MATCH(D507,Reference!$A$23:$A$24,0)),"")</f>
        <v/>
      </c>
      <c r="G507" s="11" t="str">
        <f t="shared" si="14"/>
        <v/>
      </c>
      <c r="H507" s="10" t="str">
        <f t="shared" si="15"/>
        <v/>
      </c>
    </row>
    <row r="508" spans="1:8" ht="15" customHeight="1" x14ac:dyDescent="0.2">
      <c r="A508" s="9"/>
      <c r="B508" s="8"/>
      <c r="C508" s="8"/>
      <c r="D508" s="8"/>
      <c r="E508" s="8"/>
      <c r="F508" s="11" t="str">
        <f>IFERROR(INDEX(Reference!$B$23:$B$24,MATCH(D508,Reference!$A$23:$A$24,0)),"")</f>
        <v/>
      </c>
      <c r="G508" s="11" t="str">
        <f t="shared" si="14"/>
        <v/>
      </c>
      <c r="H508" s="10" t="str">
        <f t="shared" si="15"/>
        <v/>
      </c>
    </row>
    <row r="509" spans="1:8" ht="15" customHeight="1" x14ac:dyDescent="0.2">
      <c r="A509" s="9"/>
      <c r="B509" s="8"/>
      <c r="C509" s="8"/>
      <c r="D509" s="8"/>
      <c r="E509" s="8"/>
      <c r="F509" s="11" t="str">
        <f>IFERROR(INDEX(Reference!$B$23:$B$24,MATCH(D509,Reference!$A$23:$A$24,0)),"")</f>
        <v/>
      </c>
      <c r="G509" s="11" t="str">
        <f t="shared" si="14"/>
        <v/>
      </c>
      <c r="H509" s="10" t="str">
        <f t="shared" si="15"/>
        <v/>
      </c>
    </row>
    <row r="510" spans="1:8" ht="15" customHeight="1" x14ac:dyDescent="0.2">
      <c r="A510" s="9"/>
      <c r="B510" s="8"/>
      <c r="C510" s="8"/>
      <c r="D510" s="8"/>
      <c r="E510" s="8"/>
      <c r="F510" s="11" t="str">
        <f>IFERROR(INDEX(Reference!$B$23:$B$24,MATCH(D510,Reference!$A$23:$A$24,0)),"")</f>
        <v/>
      </c>
      <c r="G510" s="11" t="str">
        <f t="shared" si="14"/>
        <v/>
      </c>
      <c r="H510" s="10" t="str">
        <f t="shared" si="15"/>
        <v/>
      </c>
    </row>
    <row r="511" spans="1:8" ht="15" customHeight="1" x14ac:dyDescent="0.2">
      <c r="A511" s="9"/>
      <c r="B511" s="8"/>
      <c r="C511" s="8"/>
      <c r="D511" s="8"/>
      <c r="E511" s="8"/>
      <c r="F511" s="11" t="str">
        <f>IFERROR(INDEX(Reference!$B$23:$B$24,MATCH(D511,Reference!$A$23:$A$24,0)),"")</f>
        <v/>
      </c>
      <c r="G511" s="11" t="str">
        <f t="shared" si="14"/>
        <v/>
      </c>
      <c r="H511" s="10" t="str">
        <f t="shared" si="15"/>
        <v/>
      </c>
    </row>
    <row r="512" spans="1:8" ht="15" customHeight="1" x14ac:dyDescent="0.2">
      <c r="A512" s="9"/>
      <c r="B512" s="8"/>
      <c r="C512" s="8"/>
      <c r="D512" s="8"/>
      <c r="E512" s="8"/>
      <c r="F512" s="11" t="str">
        <f>IFERROR(INDEX(Reference!$B$23:$B$24,MATCH(D512,Reference!$A$23:$A$24,0)),"")</f>
        <v/>
      </c>
      <c r="G512" s="11" t="str">
        <f t="shared" si="14"/>
        <v/>
      </c>
      <c r="H512" s="10" t="str">
        <f t="shared" si="15"/>
        <v/>
      </c>
    </row>
    <row r="513" spans="1:8" ht="15" customHeight="1" x14ac:dyDescent="0.2">
      <c r="A513" s="9"/>
      <c r="B513" s="8"/>
      <c r="C513" s="8"/>
      <c r="D513" s="8"/>
      <c r="E513" s="8"/>
      <c r="F513" s="11" t="str">
        <f>IFERROR(INDEX(Reference!$B$23:$B$24,MATCH(D513,Reference!$A$23:$A$24,0)),"")</f>
        <v/>
      </c>
      <c r="G513" s="11" t="str">
        <f t="shared" si="14"/>
        <v/>
      </c>
      <c r="H513" s="10" t="str">
        <f t="shared" si="15"/>
        <v/>
      </c>
    </row>
    <row r="514" spans="1:8" ht="15" customHeight="1" x14ac:dyDescent="0.2">
      <c r="A514" s="9"/>
      <c r="B514" s="8"/>
      <c r="C514" s="8"/>
      <c r="D514" s="8"/>
      <c r="E514" s="8"/>
      <c r="F514" s="11" t="str">
        <f>IFERROR(INDEX(Reference!$B$23:$B$24,MATCH(D514,Reference!$A$23:$A$24,0)),"")</f>
        <v/>
      </c>
      <c r="G514" s="11" t="str">
        <f t="shared" ref="G514:G577" si="16">IF(OR(E514="",F514=""),"",E514*F514)</f>
        <v/>
      </c>
      <c r="H514" s="10" t="str">
        <f t="shared" ref="H514:H577" si="17">IF(A514="","",IF(MONTH(A514)&gt;=8,YEAR(A514)&amp;"-"&amp;RIGHT(YEAR(A514)+1,2),YEAR(A514)-1&amp;"-"&amp;RIGHT(YEAR(A514),2)))</f>
        <v/>
      </c>
    </row>
    <row r="515" spans="1:8" ht="15" customHeight="1" x14ac:dyDescent="0.2">
      <c r="A515" s="9"/>
      <c r="B515" s="8"/>
      <c r="C515" s="8"/>
      <c r="D515" s="8"/>
      <c r="E515" s="8"/>
      <c r="F515" s="11" t="str">
        <f>IFERROR(INDEX(Reference!$B$23:$B$24,MATCH(D515,Reference!$A$23:$A$24,0)),"")</f>
        <v/>
      </c>
      <c r="G515" s="11" t="str">
        <f t="shared" si="16"/>
        <v/>
      </c>
      <c r="H515" s="10" t="str">
        <f t="shared" si="17"/>
        <v/>
      </c>
    </row>
    <row r="516" spans="1:8" ht="15" customHeight="1" x14ac:dyDescent="0.2">
      <c r="A516" s="9"/>
      <c r="B516" s="8"/>
      <c r="C516" s="8"/>
      <c r="D516" s="8"/>
      <c r="E516" s="8"/>
      <c r="F516" s="11" t="str">
        <f>IFERROR(INDEX(Reference!$B$23:$B$24,MATCH(D516,Reference!$A$23:$A$24,0)),"")</f>
        <v/>
      </c>
      <c r="G516" s="11" t="str">
        <f t="shared" si="16"/>
        <v/>
      </c>
      <c r="H516" s="10" t="str">
        <f t="shared" si="17"/>
        <v/>
      </c>
    </row>
    <row r="517" spans="1:8" ht="15" customHeight="1" x14ac:dyDescent="0.2">
      <c r="A517" s="9"/>
      <c r="B517" s="8"/>
      <c r="C517" s="8"/>
      <c r="D517" s="8"/>
      <c r="E517" s="8"/>
      <c r="F517" s="11" t="str">
        <f>IFERROR(INDEX(Reference!$B$23:$B$24,MATCH(D517,Reference!$A$23:$A$24,0)),"")</f>
        <v/>
      </c>
      <c r="G517" s="11" t="str">
        <f t="shared" si="16"/>
        <v/>
      </c>
      <c r="H517" s="10" t="str">
        <f t="shared" si="17"/>
        <v/>
      </c>
    </row>
    <row r="518" spans="1:8" ht="15" customHeight="1" x14ac:dyDescent="0.2">
      <c r="A518" s="9"/>
      <c r="B518" s="8"/>
      <c r="C518" s="8"/>
      <c r="D518" s="8"/>
      <c r="E518" s="8"/>
      <c r="F518" s="11" t="str">
        <f>IFERROR(INDEX(Reference!$B$23:$B$24,MATCH(D518,Reference!$A$23:$A$24,0)),"")</f>
        <v/>
      </c>
      <c r="G518" s="11" t="str">
        <f t="shared" si="16"/>
        <v/>
      </c>
      <c r="H518" s="10" t="str">
        <f t="shared" si="17"/>
        <v/>
      </c>
    </row>
    <row r="519" spans="1:8" ht="15" customHeight="1" x14ac:dyDescent="0.2">
      <c r="A519" s="9"/>
      <c r="B519" s="8"/>
      <c r="C519" s="8"/>
      <c r="D519" s="8"/>
      <c r="E519" s="8"/>
      <c r="F519" s="11" t="str">
        <f>IFERROR(INDEX(Reference!$B$23:$B$24,MATCH(D519,Reference!$A$23:$A$24,0)),"")</f>
        <v/>
      </c>
      <c r="G519" s="11" t="str">
        <f t="shared" si="16"/>
        <v/>
      </c>
      <c r="H519" s="10" t="str">
        <f t="shared" si="17"/>
        <v/>
      </c>
    </row>
    <row r="520" spans="1:8" ht="15" customHeight="1" x14ac:dyDescent="0.2">
      <c r="A520" s="9"/>
      <c r="B520" s="8"/>
      <c r="C520" s="8"/>
      <c r="D520" s="8"/>
      <c r="E520" s="8"/>
      <c r="F520" s="11" t="str">
        <f>IFERROR(INDEX(Reference!$B$23:$B$24,MATCH(D520,Reference!$A$23:$A$24,0)),"")</f>
        <v/>
      </c>
      <c r="G520" s="11" t="str">
        <f t="shared" si="16"/>
        <v/>
      </c>
      <c r="H520" s="10" t="str">
        <f t="shared" si="17"/>
        <v/>
      </c>
    </row>
    <row r="521" spans="1:8" ht="15" customHeight="1" x14ac:dyDescent="0.2">
      <c r="A521" s="9"/>
      <c r="B521" s="8"/>
      <c r="C521" s="8"/>
      <c r="D521" s="8"/>
      <c r="E521" s="8"/>
      <c r="F521" s="11" t="str">
        <f>IFERROR(INDEX(Reference!$B$23:$B$24,MATCH(D521,Reference!$A$23:$A$24,0)),"")</f>
        <v/>
      </c>
      <c r="G521" s="11" t="str">
        <f t="shared" si="16"/>
        <v/>
      </c>
      <c r="H521" s="10" t="str">
        <f t="shared" si="17"/>
        <v/>
      </c>
    </row>
    <row r="522" spans="1:8" ht="15" customHeight="1" x14ac:dyDescent="0.2">
      <c r="A522" s="9"/>
      <c r="B522" s="8"/>
      <c r="C522" s="8"/>
      <c r="D522" s="8"/>
      <c r="E522" s="8"/>
      <c r="F522" s="11" t="str">
        <f>IFERROR(INDEX(Reference!$B$23:$B$24,MATCH(D522,Reference!$A$23:$A$24,0)),"")</f>
        <v/>
      </c>
      <c r="G522" s="11" t="str">
        <f t="shared" si="16"/>
        <v/>
      </c>
      <c r="H522" s="10" t="str">
        <f t="shared" si="17"/>
        <v/>
      </c>
    </row>
    <row r="523" spans="1:8" ht="15" customHeight="1" x14ac:dyDescent="0.2">
      <c r="A523" s="9"/>
      <c r="B523" s="8"/>
      <c r="C523" s="8"/>
      <c r="D523" s="8"/>
      <c r="E523" s="8"/>
      <c r="F523" s="11" t="str">
        <f>IFERROR(INDEX(Reference!$B$23:$B$24,MATCH(D523,Reference!$A$23:$A$24,0)),"")</f>
        <v/>
      </c>
      <c r="G523" s="11" t="str">
        <f t="shared" si="16"/>
        <v/>
      </c>
      <c r="H523" s="10" t="str">
        <f t="shared" si="17"/>
        <v/>
      </c>
    </row>
    <row r="524" spans="1:8" ht="15" customHeight="1" x14ac:dyDescent="0.2">
      <c r="A524" s="9"/>
      <c r="B524" s="8"/>
      <c r="C524" s="8"/>
      <c r="D524" s="8"/>
      <c r="E524" s="8"/>
      <c r="F524" s="11" t="str">
        <f>IFERROR(INDEX(Reference!$B$23:$B$24,MATCH(D524,Reference!$A$23:$A$24,0)),"")</f>
        <v/>
      </c>
      <c r="G524" s="11" t="str">
        <f t="shared" si="16"/>
        <v/>
      </c>
      <c r="H524" s="10" t="str">
        <f t="shared" si="17"/>
        <v/>
      </c>
    </row>
    <row r="525" spans="1:8" ht="15" customHeight="1" x14ac:dyDescent="0.2">
      <c r="A525" s="9"/>
      <c r="B525" s="8"/>
      <c r="C525" s="8"/>
      <c r="D525" s="8"/>
      <c r="E525" s="8"/>
      <c r="F525" s="11" t="str">
        <f>IFERROR(INDEX(Reference!$B$23:$B$24,MATCH(D525,Reference!$A$23:$A$24,0)),"")</f>
        <v/>
      </c>
      <c r="G525" s="11" t="str">
        <f t="shared" si="16"/>
        <v/>
      </c>
      <c r="H525" s="10" t="str">
        <f t="shared" si="17"/>
        <v/>
      </c>
    </row>
    <row r="526" spans="1:8" ht="15" customHeight="1" x14ac:dyDescent="0.2">
      <c r="A526" s="9"/>
      <c r="B526" s="8"/>
      <c r="C526" s="8"/>
      <c r="D526" s="8"/>
      <c r="E526" s="8"/>
      <c r="F526" s="11" t="str">
        <f>IFERROR(INDEX(Reference!$B$23:$B$24,MATCH(D526,Reference!$A$23:$A$24,0)),"")</f>
        <v/>
      </c>
      <c r="G526" s="11" t="str">
        <f t="shared" si="16"/>
        <v/>
      </c>
      <c r="H526" s="10" t="str">
        <f t="shared" si="17"/>
        <v/>
      </c>
    </row>
    <row r="527" spans="1:8" ht="15" customHeight="1" x14ac:dyDescent="0.2">
      <c r="A527" s="9"/>
      <c r="B527" s="8"/>
      <c r="C527" s="8"/>
      <c r="D527" s="8"/>
      <c r="E527" s="8"/>
      <c r="F527" s="11" t="str">
        <f>IFERROR(INDEX(Reference!$B$23:$B$24,MATCH(D527,Reference!$A$23:$A$24,0)),"")</f>
        <v/>
      </c>
      <c r="G527" s="11" t="str">
        <f t="shared" si="16"/>
        <v/>
      </c>
      <c r="H527" s="10" t="str">
        <f t="shared" si="17"/>
        <v/>
      </c>
    </row>
    <row r="528" spans="1:8" ht="15" customHeight="1" x14ac:dyDescent="0.2">
      <c r="A528" s="9"/>
      <c r="B528" s="8"/>
      <c r="C528" s="8"/>
      <c r="D528" s="8"/>
      <c r="E528" s="8"/>
      <c r="F528" s="11" t="str">
        <f>IFERROR(INDEX(Reference!$B$23:$B$24,MATCH(D528,Reference!$A$23:$A$24,0)),"")</f>
        <v/>
      </c>
      <c r="G528" s="11" t="str">
        <f t="shared" si="16"/>
        <v/>
      </c>
      <c r="H528" s="10" t="str">
        <f t="shared" si="17"/>
        <v/>
      </c>
    </row>
    <row r="529" spans="1:8" ht="15" customHeight="1" x14ac:dyDescent="0.2">
      <c r="A529" s="9"/>
      <c r="B529" s="8"/>
      <c r="C529" s="8"/>
      <c r="D529" s="8"/>
      <c r="E529" s="8"/>
      <c r="F529" s="11" t="str">
        <f>IFERROR(INDEX(Reference!$B$23:$B$24,MATCH(D529,Reference!$A$23:$A$24,0)),"")</f>
        <v/>
      </c>
      <c r="G529" s="11" t="str">
        <f t="shared" si="16"/>
        <v/>
      </c>
      <c r="H529" s="10" t="str">
        <f t="shared" si="17"/>
        <v/>
      </c>
    </row>
    <row r="530" spans="1:8" ht="15" customHeight="1" x14ac:dyDescent="0.2">
      <c r="A530" s="9"/>
      <c r="B530" s="8"/>
      <c r="C530" s="8"/>
      <c r="D530" s="8"/>
      <c r="E530" s="8"/>
      <c r="F530" s="11" t="str">
        <f>IFERROR(INDEX(Reference!$B$23:$B$24,MATCH(D530,Reference!$A$23:$A$24,0)),"")</f>
        <v/>
      </c>
      <c r="G530" s="11" t="str">
        <f t="shared" si="16"/>
        <v/>
      </c>
      <c r="H530" s="10" t="str">
        <f t="shared" si="17"/>
        <v/>
      </c>
    </row>
    <row r="531" spans="1:8" ht="15" customHeight="1" x14ac:dyDescent="0.2">
      <c r="A531" s="9"/>
      <c r="B531" s="8"/>
      <c r="C531" s="8"/>
      <c r="D531" s="8"/>
      <c r="E531" s="8"/>
      <c r="F531" s="11" t="str">
        <f>IFERROR(INDEX(Reference!$B$23:$B$24,MATCH(D531,Reference!$A$23:$A$24,0)),"")</f>
        <v/>
      </c>
      <c r="G531" s="11" t="str">
        <f t="shared" si="16"/>
        <v/>
      </c>
      <c r="H531" s="10" t="str">
        <f t="shared" si="17"/>
        <v/>
      </c>
    </row>
    <row r="532" spans="1:8" ht="15" customHeight="1" x14ac:dyDescent="0.2">
      <c r="A532" s="9"/>
      <c r="B532" s="8"/>
      <c r="C532" s="8"/>
      <c r="D532" s="8"/>
      <c r="E532" s="8"/>
      <c r="F532" s="11" t="str">
        <f>IFERROR(INDEX(Reference!$B$23:$B$24,MATCH(D532,Reference!$A$23:$A$24,0)),"")</f>
        <v/>
      </c>
      <c r="G532" s="11" t="str">
        <f t="shared" si="16"/>
        <v/>
      </c>
      <c r="H532" s="10" t="str">
        <f t="shared" si="17"/>
        <v/>
      </c>
    </row>
    <row r="533" spans="1:8" ht="15" customHeight="1" x14ac:dyDescent="0.2">
      <c r="A533" s="9"/>
      <c r="B533" s="8"/>
      <c r="C533" s="8"/>
      <c r="D533" s="8"/>
      <c r="E533" s="8"/>
      <c r="F533" s="11" t="str">
        <f>IFERROR(INDEX(Reference!$B$23:$B$24,MATCH(D533,Reference!$A$23:$A$24,0)),"")</f>
        <v/>
      </c>
      <c r="G533" s="11" t="str">
        <f t="shared" si="16"/>
        <v/>
      </c>
      <c r="H533" s="10" t="str">
        <f t="shared" si="17"/>
        <v/>
      </c>
    </row>
    <row r="534" spans="1:8" ht="15" customHeight="1" x14ac:dyDescent="0.2">
      <c r="A534" s="9"/>
      <c r="B534" s="8"/>
      <c r="C534" s="8"/>
      <c r="D534" s="8"/>
      <c r="E534" s="8"/>
      <c r="F534" s="11" t="str">
        <f>IFERROR(INDEX(Reference!$B$23:$B$24,MATCH(D534,Reference!$A$23:$A$24,0)),"")</f>
        <v/>
      </c>
      <c r="G534" s="11" t="str">
        <f t="shared" si="16"/>
        <v/>
      </c>
      <c r="H534" s="10" t="str">
        <f t="shared" si="17"/>
        <v/>
      </c>
    </row>
    <row r="535" spans="1:8" ht="15" customHeight="1" x14ac:dyDescent="0.2">
      <c r="A535" s="9"/>
      <c r="B535" s="8"/>
      <c r="C535" s="8"/>
      <c r="D535" s="8"/>
      <c r="E535" s="8"/>
      <c r="F535" s="11" t="str">
        <f>IFERROR(INDEX(Reference!$B$23:$B$24,MATCH(D535,Reference!$A$23:$A$24,0)),"")</f>
        <v/>
      </c>
      <c r="G535" s="11" t="str">
        <f t="shared" si="16"/>
        <v/>
      </c>
      <c r="H535" s="10" t="str">
        <f t="shared" si="17"/>
        <v/>
      </c>
    </row>
    <row r="536" spans="1:8" ht="15" customHeight="1" x14ac:dyDescent="0.2">
      <c r="A536" s="9"/>
      <c r="B536" s="8"/>
      <c r="C536" s="8"/>
      <c r="D536" s="8"/>
      <c r="E536" s="8"/>
      <c r="F536" s="11" t="str">
        <f>IFERROR(INDEX(Reference!$B$23:$B$24,MATCH(D536,Reference!$A$23:$A$24,0)),"")</f>
        <v/>
      </c>
      <c r="G536" s="11" t="str">
        <f t="shared" si="16"/>
        <v/>
      </c>
      <c r="H536" s="10" t="str">
        <f t="shared" si="17"/>
        <v/>
      </c>
    </row>
    <row r="537" spans="1:8" ht="15" customHeight="1" x14ac:dyDescent="0.2">
      <c r="A537" s="9"/>
      <c r="B537" s="8"/>
      <c r="C537" s="8"/>
      <c r="D537" s="8"/>
      <c r="E537" s="8"/>
      <c r="F537" s="11" t="str">
        <f>IFERROR(INDEX(Reference!$B$23:$B$24,MATCH(D537,Reference!$A$23:$A$24,0)),"")</f>
        <v/>
      </c>
      <c r="G537" s="11" t="str">
        <f t="shared" si="16"/>
        <v/>
      </c>
      <c r="H537" s="10" t="str">
        <f t="shared" si="17"/>
        <v/>
      </c>
    </row>
    <row r="538" spans="1:8" ht="15" customHeight="1" x14ac:dyDescent="0.2">
      <c r="A538" s="9"/>
      <c r="B538" s="8"/>
      <c r="C538" s="8"/>
      <c r="D538" s="8"/>
      <c r="E538" s="8"/>
      <c r="F538" s="11" t="str">
        <f>IFERROR(INDEX(Reference!$B$23:$B$24,MATCH(D538,Reference!$A$23:$A$24,0)),"")</f>
        <v/>
      </c>
      <c r="G538" s="11" t="str">
        <f t="shared" si="16"/>
        <v/>
      </c>
      <c r="H538" s="10" t="str">
        <f t="shared" si="17"/>
        <v/>
      </c>
    </row>
    <row r="539" spans="1:8" ht="15" customHeight="1" x14ac:dyDescent="0.2">
      <c r="A539" s="9"/>
      <c r="B539" s="8"/>
      <c r="C539" s="8"/>
      <c r="D539" s="8"/>
      <c r="E539" s="8"/>
      <c r="F539" s="11" t="str">
        <f>IFERROR(INDEX(Reference!$B$23:$B$24,MATCH(D539,Reference!$A$23:$A$24,0)),"")</f>
        <v/>
      </c>
      <c r="G539" s="11" t="str">
        <f t="shared" si="16"/>
        <v/>
      </c>
      <c r="H539" s="10" t="str">
        <f t="shared" si="17"/>
        <v/>
      </c>
    </row>
    <row r="540" spans="1:8" ht="15" customHeight="1" x14ac:dyDescent="0.2">
      <c r="A540" s="9"/>
      <c r="B540" s="8"/>
      <c r="C540" s="8"/>
      <c r="D540" s="8"/>
      <c r="E540" s="8"/>
      <c r="F540" s="11" t="str">
        <f>IFERROR(INDEX(Reference!$B$23:$B$24,MATCH(D540,Reference!$A$23:$A$24,0)),"")</f>
        <v/>
      </c>
      <c r="G540" s="11" t="str">
        <f t="shared" si="16"/>
        <v/>
      </c>
      <c r="H540" s="10" t="str">
        <f t="shared" si="17"/>
        <v/>
      </c>
    </row>
    <row r="541" spans="1:8" ht="15" customHeight="1" x14ac:dyDescent="0.2">
      <c r="A541" s="9"/>
      <c r="B541" s="8"/>
      <c r="C541" s="8"/>
      <c r="D541" s="8"/>
      <c r="E541" s="8"/>
      <c r="F541" s="11" t="str">
        <f>IFERROR(INDEX(Reference!$B$23:$B$24,MATCH(D541,Reference!$A$23:$A$24,0)),"")</f>
        <v/>
      </c>
      <c r="G541" s="11" t="str">
        <f t="shared" si="16"/>
        <v/>
      </c>
      <c r="H541" s="10" t="str">
        <f t="shared" si="17"/>
        <v/>
      </c>
    </row>
    <row r="542" spans="1:8" ht="15" customHeight="1" x14ac:dyDescent="0.2">
      <c r="A542" s="9"/>
      <c r="B542" s="8"/>
      <c r="C542" s="8"/>
      <c r="D542" s="8"/>
      <c r="E542" s="8"/>
      <c r="F542" s="11" t="str">
        <f>IFERROR(INDEX(Reference!$B$23:$B$24,MATCH(D542,Reference!$A$23:$A$24,0)),"")</f>
        <v/>
      </c>
      <c r="G542" s="11" t="str">
        <f t="shared" si="16"/>
        <v/>
      </c>
      <c r="H542" s="10" t="str">
        <f t="shared" si="17"/>
        <v/>
      </c>
    </row>
    <row r="543" spans="1:8" ht="15" customHeight="1" x14ac:dyDescent="0.2">
      <c r="A543" s="9"/>
      <c r="B543" s="8"/>
      <c r="C543" s="8"/>
      <c r="D543" s="8"/>
      <c r="E543" s="8"/>
      <c r="F543" s="11" t="str">
        <f>IFERROR(INDEX(Reference!$B$23:$B$24,MATCH(D543,Reference!$A$23:$A$24,0)),"")</f>
        <v/>
      </c>
      <c r="G543" s="11" t="str">
        <f t="shared" si="16"/>
        <v/>
      </c>
      <c r="H543" s="10" t="str">
        <f t="shared" si="17"/>
        <v/>
      </c>
    </row>
    <row r="544" spans="1:8" ht="15" customHeight="1" x14ac:dyDescent="0.2">
      <c r="A544" s="9"/>
      <c r="B544" s="8"/>
      <c r="C544" s="8"/>
      <c r="D544" s="8"/>
      <c r="E544" s="8"/>
      <c r="F544" s="11" t="str">
        <f>IFERROR(INDEX(Reference!$B$23:$B$24,MATCH(D544,Reference!$A$23:$A$24,0)),"")</f>
        <v/>
      </c>
      <c r="G544" s="11" t="str">
        <f t="shared" si="16"/>
        <v/>
      </c>
      <c r="H544" s="10" t="str">
        <f t="shared" si="17"/>
        <v/>
      </c>
    </row>
    <row r="545" spans="1:8" ht="15" customHeight="1" x14ac:dyDescent="0.2">
      <c r="A545" s="9"/>
      <c r="B545" s="8"/>
      <c r="C545" s="8"/>
      <c r="D545" s="8"/>
      <c r="E545" s="8"/>
      <c r="F545" s="11" t="str">
        <f>IFERROR(INDEX(Reference!$B$23:$B$24,MATCH(D545,Reference!$A$23:$A$24,0)),"")</f>
        <v/>
      </c>
      <c r="G545" s="11" t="str">
        <f t="shared" si="16"/>
        <v/>
      </c>
      <c r="H545" s="10" t="str">
        <f t="shared" si="17"/>
        <v/>
      </c>
    </row>
    <row r="546" spans="1:8" ht="15" customHeight="1" x14ac:dyDescent="0.2">
      <c r="A546" s="9"/>
      <c r="B546" s="8"/>
      <c r="C546" s="8"/>
      <c r="D546" s="8"/>
      <c r="E546" s="8"/>
      <c r="F546" s="11" t="str">
        <f>IFERROR(INDEX(Reference!$B$23:$B$24,MATCH(D546,Reference!$A$23:$A$24,0)),"")</f>
        <v/>
      </c>
      <c r="G546" s="11" t="str">
        <f t="shared" si="16"/>
        <v/>
      </c>
      <c r="H546" s="10" t="str">
        <f t="shared" si="17"/>
        <v/>
      </c>
    </row>
    <row r="547" spans="1:8" ht="15" customHeight="1" x14ac:dyDescent="0.2">
      <c r="A547" s="9"/>
      <c r="B547" s="8"/>
      <c r="C547" s="8"/>
      <c r="D547" s="8"/>
      <c r="E547" s="8"/>
      <c r="F547" s="11" t="str">
        <f>IFERROR(INDEX(Reference!$B$23:$B$24,MATCH(D547,Reference!$A$23:$A$24,0)),"")</f>
        <v/>
      </c>
      <c r="G547" s="11" t="str">
        <f t="shared" si="16"/>
        <v/>
      </c>
      <c r="H547" s="10" t="str">
        <f t="shared" si="17"/>
        <v/>
      </c>
    </row>
    <row r="548" spans="1:8" ht="15" customHeight="1" x14ac:dyDescent="0.2">
      <c r="A548" s="9"/>
      <c r="B548" s="8"/>
      <c r="C548" s="8"/>
      <c r="D548" s="8"/>
      <c r="E548" s="8"/>
      <c r="F548" s="11" t="str">
        <f>IFERROR(INDEX(Reference!$B$23:$B$24,MATCH(D548,Reference!$A$23:$A$24,0)),"")</f>
        <v/>
      </c>
      <c r="G548" s="11" t="str">
        <f t="shared" si="16"/>
        <v/>
      </c>
      <c r="H548" s="10" t="str">
        <f t="shared" si="17"/>
        <v/>
      </c>
    </row>
    <row r="549" spans="1:8" ht="15" customHeight="1" x14ac:dyDescent="0.2">
      <c r="A549" s="9"/>
      <c r="B549" s="8"/>
      <c r="C549" s="8"/>
      <c r="D549" s="8"/>
      <c r="E549" s="8"/>
      <c r="F549" s="11" t="str">
        <f>IFERROR(INDEX(Reference!$B$23:$B$24,MATCH(D549,Reference!$A$23:$A$24,0)),"")</f>
        <v/>
      </c>
      <c r="G549" s="11" t="str">
        <f t="shared" si="16"/>
        <v/>
      </c>
      <c r="H549" s="10" t="str">
        <f t="shared" si="17"/>
        <v/>
      </c>
    </row>
    <row r="550" spans="1:8" ht="15" customHeight="1" x14ac:dyDescent="0.2">
      <c r="A550" s="9"/>
      <c r="B550" s="8"/>
      <c r="C550" s="8"/>
      <c r="D550" s="8"/>
      <c r="E550" s="8"/>
      <c r="F550" s="11" t="str">
        <f>IFERROR(INDEX(Reference!$B$23:$B$24,MATCH(D550,Reference!$A$23:$A$24,0)),"")</f>
        <v/>
      </c>
      <c r="G550" s="11" t="str">
        <f t="shared" si="16"/>
        <v/>
      </c>
      <c r="H550" s="10" t="str">
        <f t="shared" si="17"/>
        <v/>
      </c>
    </row>
    <row r="551" spans="1:8" ht="15" customHeight="1" x14ac:dyDescent="0.2">
      <c r="A551" s="9"/>
      <c r="B551" s="8"/>
      <c r="C551" s="8"/>
      <c r="D551" s="8"/>
      <c r="E551" s="8"/>
      <c r="F551" s="11" t="str">
        <f>IFERROR(INDEX(Reference!$B$23:$B$24,MATCH(D551,Reference!$A$23:$A$24,0)),"")</f>
        <v/>
      </c>
      <c r="G551" s="11" t="str">
        <f t="shared" si="16"/>
        <v/>
      </c>
      <c r="H551" s="10" t="str">
        <f t="shared" si="17"/>
        <v/>
      </c>
    </row>
    <row r="552" spans="1:8" ht="15" customHeight="1" x14ac:dyDescent="0.2">
      <c r="A552" s="9"/>
      <c r="B552" s="8"/>
      <c r="C552" s="8"/>
      <c r="D552" s="8"/>
      <c r="E552" s="8"/>
      <c r="F552" s="11" t="str">
        <f>IFERROR(INDEX(Reference!$B$23:$B$24,MATCH(D552,Reference!$A$23:$A$24,0)),"")</f>
        <v/>
      </c>
      <c r="G552" s="11" t="str">
        <f t="shared" si="16"/>
        <v/>
      </c>
      <c r="H552" s="10" t="str">
        <f t="shared" si="17"/>
        <v/>
      </c>
    </row>
    <row r="553" spans="1:8" ht="15" customHeight="1" x14ac:dyDescent="0.2">
      <c r="A553" s="9"/>
      <c r="B553" s="8"/>
      <c r="C553" s="8"/>
      <c r="D553" s="8"/>
      <c r="E553" s="8"/>
      <c r="F553" s="11" t="str">
        <f>IFERROR(INDEX(Reference!$B$23:$B$24,MATCH(D553,Reference!$A$23:$A$24,0)),"")</f>
        <v/>
      </c>
      <c r="G553" s="11" t="str">
        <f t="shared" si="16"/>
        <v/>
      </c>
      <c r="H553" s="10" t="str">
        <f t="shared" si="17"/>
        <v/>
      </c>
    </row>
    <row r="554" spans="1:8" ht="15" customHeight="1" x14ac:dyDescent="0.2">
      <c r="A554" s="9"/>
      <c r="B554" s="8"/>
      <c r="C554" s="8"/>
      <c r="D554" s="8"/>
      <c r="E554" s="8"/>
      <c r="F554" s="11" t="str">
        <f>IFERROR(INDEX(Reference!$B$23:$B$24,MATCH(D554,Reference!$A$23:$A$24,0)),"")</f>
        <v/>
      </c>
      <c r="G554" s="11" t="str">
        <f t="shared" si="16"/>
        <v/>
      </c>
      <c r="H554" s="10" t="str">
        <f t="shared" si="17"/>
        <v/>
      </c>
    </row>
    <row r="555" spans="1:8" ht="15" customHeight="1" x14ac:dyDescent="0.2">
      <c r="A555" s="9"/>
      <c r="B555" s="8"/>
      <c r="C555" s="8"/>
      <c r="D555" s="8"/>
      <c r="E555" s="8"/>
      <c r="F555" s="11" t="str">
        <f>IFERROR(INDEX(Reference!$B$23:$B$24,MATCH(D555,Reference!$A$23:$A$24,0)),"")</f>
        <v/>
      </c>
      <c r="G555" s="11" t="str">
        <f t="shared" si="16"/>
        <v/>
      </c>
      <c r="H555" s="10" t="str">
        <f t="shared" si="17"/>
        <v/>
      </c>
    </row>
    <row r="556" spans="1:8" ht="15" customHeight="1" x14ac:dyDescent="0.2">
      <c r="A556" s="9"/>
      <c r="B556" s="8"/>
      <c r="C556" s="8"/>
      <c r="D556" s="8"/>
      <c r="E556" s="8"/>
      <c r="F556" s="11" t="str">
        <f>IFERROR(INDEX(Reference!$B$23:$B$24,MATCH(D556,Reference!$A$23:$A$24,0)),"")</f>
        <v/>
      </c>
      <c r="G556" s="11" t="str">
        <f t="shared" si="16"/>
        <v/>
      </c>
      <c r="H556" s="10" t="str">
        <f t="shared" si="17"/>
        <v/>
      </c>
    </row>
    <row r="557" spans="1:8" ht="15" customHeight="1" x14ac:dyDescent="0.2">
      <c r="A557" s="9"/>
      <c r="B557" s="8"/>
      <c r="C557" s="8"/>
      <c r="D557" s="8"/>
      <c r="E557" s="8"/>
      <c r="F557" s="11" t="str">
        <f>IFERROR(INDEX(Reference!$B$23:$B$24,MATCH(D557,Reference!$A$23:$A$24,0)),"")</f>
        <v/>
      </c>
      <c r="G557" s="11" t="str">
        <f t="shared" si="16"/>
        <v/>
      </c>
      <c r="H557" s="10" t="str">
        <f t="shared" si="17"/>
        <v/>
      </c>
    </row>
    <row r="558" spans="1:8" ht="15" customHeight="1" x14ac:dyDescent="0.2">
      <c r="A558" s="9"/>
      <c r="B558" s="8"/>
      <c r="C558" s="8"/>
      <c r="D558" s="8"/>
      <c r="E558" s="8"/>
      <c r="F558" s="11" t="str">
        <f>IFERROR(INDEX(Reference!$B$23:$B$24,MATCH(D558,Reference!$A$23:$A$24,0)),"")</f>
        <v/>
      </c>
      <c r="G558" s="11" t="str">
        <f t="shared" si="16"/>
        <v/>
      </c>
      <c r="H558" s="10" t="str">
        <f t="shared" si="17"/>
        <v/>
      </c>
    </row>
    <row r="559" spans="1:8" ht="15" customHeight="1" x14ac:dyDescent="0.2">
      <c r="A559" s="9"/>
      <c r="B559" s="8"/>
      <c r="C559" s="8"/>
      <c r="D559" s="8"/>
      <c r="E559" s="8"/>
      <c r="F559" s="11" t="str">
        <f>IFERROR(INDEX(Reference!$B$23:$B$24,MATCH(D559,Reference!$A$23:$A$24,0)),"")</f>
        <v/>
      </c>
      <c r="G559" s="11" t="str">
        <f t="shared" si="16"/>
        <v/>
      </c>
      <c r="H559" s="10" t="str">
        <f t="shared" si="17"/>
        <v/>
      </c>
    </row>
    <row r="560" spans="1:8" ht="15" customHeight="1" x14ac:dyDescent="0.2">
      <c r="A560" s="9"/>
      <c r="B560" s="8"/>
      <c r="C560" s="8"/>
      <c r="D560" s="8"/>
      <c r="E560" s="8"/>
      <c r="F560" s="11" t="str">
        <f>IFERROR(INDEX(Reference!$B$23:$B$24,MATCH(D560,Reference!$A$23:$A$24,0)),"")</f>
        <v/>
      </c>
      <c r="G560" s="11" t="str">
        <f t="shared" si="16"/>
        <v/>
      </c>
      <c r="H560" s="10" t="str">
        <f t="shared" si="17"/>
        <v/>
      </c>
    </row>
    <row r="561" spans="1:8" ht="15" customHeight="1" x14ac:dyDescent="0.2">
      <c r="A561" s="9"/>
      <c r="B561" s="8"/>
      <c r="C561" s="8"/>
      <c r="D561" s="8"/>
      <c r="E561" s="8"/>
      <c r="F561" s="11" t="str">
        <f>IFERROR(INDEX(Reference!$B$23:$B$24,MATCH(D561,Reference!$A$23:$A$24,0)),"")</f>
        <v/>
      </c>
      <c r="G561" s="11" t="str">
        <f t="shared" si="16"/>
        <v/>
      </c>
      <c r="H561" s="10" t="str">
        <f t="shared" si="17"/>
        <v/>
      </c>
    </row>
    <row r="562" spans="1:8" ht="15" customHeight="1" x14ac:dyDescent="0.2">
      <c r="A562" s="9"/>
      <c r="B562" s="8"/>
      <c r="C562" s="8"/>
      <c r="D562" s="8"/>
      <c r="E562" s="8"/>
      <c r="F562" s="11" t="str">
        <f>IFERROR(INDEX(Reference!$B$23:$B$24,MATCH(D562,Reference!$A$23:$A$24,0)),"")</f>
        <v/>
      </c>
      <c r="G562" s="11" t="str">
        <f t="shared" si="16"/>
        <v/>
      </c>
      <c r="H562" s="10" t="str">
        <f t="shared" si="17"/>
        <v/>
      </c>
    </row>
    <row r="563" spans="1:8" ht="15" customHeight="1" x14ac:dyDescent="0.2">
      <c r="A563" s="9"/>
      <c r="B563" s="8"/>
      <c r="C563" s="8"/>
      <c r="D563" s="8"/>
      <c r="E563" s="8"/>
      <c r="F563" s="11" t="str">
        <f>IFERROR(INDEX(Reference!$B$23:$B$24,MATCH(D563,Reference!$A$23:$A$24,0)),"")</f>
        <v/>
      </c>
      <c r="G563" s="11" t="str">
        <f t="shared" si="16"/>
        <v/>
      </c>
      <c r="H563" s="10" t="str">
        <f t="shared" si="17"/>
        <v/>
      </c>
    </row>
    <row r="564" spans="1:8" ht="15" customHeight="1" x14ac:dyDescent="0.2">
      <c r="A564" s="9"/>
      <c r="B564" s="8"/>
      <c r="C564" s="8"/>
      <c r="D564" s="8"/>
      <c r="E564" s="8"/>
      <c r="F564" s="11" t="str">
        <f>IFERROR(INDEX(Reference!$B$23:$B$24,MATCH(D564,Reference!$A$23:$A$24,0)),"")</f>
        <v/>
      </c>
      <c r="G564" s="11" t="str">
        <f t="shared" si="16"/>
        <v/>
      </c>
      <c r="H564" s="10" t="str">
        <f t="shared" si="17"/>
        <v/>
      </c>
    </row>
    <row r="565" spans="1:8" ht="15" customHeight="1" x14ac:dyDescent="0.2">
      <c r="A565" s="9"/>
      <c r="B565" s="8"/>
      <c r="C565" s="8"/>
      <c r="D565" s="8"/>
      <c r="E565" s="8"/>
      <c r="F565" s="11" t="str">
        <f>IFERROR(INDEX(Reference!$B$23:$B$24,MATCH(D565,Reference!$A$23:$A$24,0)),"")</f>
        <v/>
      </c>
      <c r="G565" s="11" t="str">
        <f t="shared" si="16"/>
        <v/>
      </c>
      <c r="H565" s="10" t="str">
        <f t="shared" si="17"/>
        <v/>
      </c>
    </row>
    <row r="566" spans="1:8" ht="15" customHeight="1" x14ac:dyDescent="0.2">
      <c r="A566" s="9"/>
      <c r="B566" s="8"/>
      <c r="C566" s="8"/>
      <c r="D566" s="8"/>
      <c r="E566" s="8"/>
      <c r="F566" s="11" t="str">
        <f>IFERROR(INDEX(Reference!$B$23:$B$24,MATCH(D566,Reference!$A$23:$A$24,0)),"")</f>
        <v/>
      </c>
      <c r="G566" s="11" t="str">
        <f t="shared" si="16"/>
        <v/>
      </c>
      <c r="H566" s="10" t="str">
        <f t="shared" si="17"/>
        <v/>
      </c>
    </row>
    <row r="567" spans="1:8" ht="15" customHeight="1" x14ac:dyDescent="0.2">
      <c r="A567" s="9"/>
      <c r="B567" s="8"/>
      <c r="C567" s="8"/>
      <c r="D567" s="8"/>
      <c r="E567" s="8"/>
      <c r="F567" s="11" t="str">
        <f>IFERROR(INDEX(Reference!$B$23:$B$24,MATCH(D567,Reference!$A$23:$A$24,0)),"")</f>
        <v/>
      </c>
      <c r="G567" s="11" t="str">
        <f t="shared" si="16"/>
        <v/>
      </c>
      <c r="H567" s="10" t="str">
        <f t="shared" si="17"/>
        <v/>
      </c>
    </row>
    <row r="568" spans="1:8" ht="15" customHeight="1" x14ac:dyDescent="0.2">
      <c r="A568" s="9"/>
      <c r="B568" s="8"/>
      <c r="C568" s="8"/>
      <c r="D568" s="8"/>
      <c r="E568" s="8"/>
      <c r="F568" s="11" t="str">
        <f>IFERROR(INDEX(Reference!$B$23:$B$24,MATCH(D568,Reference!$A$23:$A$24,0)),"")</f>
        <v/>
      </c>
      <c r="G568" s="11" t="str">
        <f t="shared" si="16"/>
        <v/>
      </c>
      <c r="H568" s="10" t="str">
        <f t="shared" si="17"/>
        <v/>
      </c>
    </row>
    <row r="569" spans="1:8" ht="15" customHeight="1" x14ac:dyDescent="0.2">
      <c r="A569" s="9"/>
      <c r="B569" s="8"/>
      <c r="C569" s="8"/>
      <c r="D569" s="8"/>
      <c r="E569" s="8"/>
      <c r="F569" s="11" t="str">
        <f>IFERROR(INDEX(Reference!$B$23:$B$24,MATCH(D569,Reference!$A$23:$A$24,0)),"")</f>
        <v/>
      </c>
      <c r="G569" s="11" t="str">
        <f t="shared" si="16"/>
        <v/>
      </c>
      <c r="H569" s="10" t="str">
        <f t="shared" si="17"/>
        <v/>
      </c>
    </row>
    <row r="570" spans="1:8" ht="15" customHeight="1" x14ac:dyDescent="0.2">
      <c r="A570" s="9"/>
      <c r="B570" s="8"/>
      <c r="C570" s="8"/>
      <c r="D570" s="8"/>
      <c r="E570" s="8"/>
      <c r="F570" s="11" t="str">
        <f>IFERROR(INDEX(Reference!$B$23:$B$24,MATCH(D570,Reference!$A$23:$A$24,0)),"")</f>
        <v/>
      </c>
      <c r="G570" s="11" t="str">
        <f t="shared" si="16"/>
        <v/>
      </c>
      <c r="H570" s="10" t="str">
        <f t="shared" si="17"/>
        <v/>
      </c>
    </row>
    <row r="571" spans="1:8" ht="15" customHeight="1" x14ac:dyDescent="0.2">
      <c r="A571" s="9"/>
      <c r="B571" s="8"/>
      <c r="C571" s="8"/>
      <c r="D571" s="8"/>
      <c r="E571" s="8"/>
      <c r="F571" s="11" t="str">
        <f>IFERROR(INDEX(Reference!$B$23:$B$24,MATCH(D571,Reference!$A$23:$A$24,0)),"")</f>
        <v/>
      </c>
      <c r="G571" s="11" t="str">
        <f t="shared" si="16"/>
        <v/>
      </c>
      <c r="H571" s="10" t="str">
        <f t="shared" si="17"/>
        <v/>
      </c>
    </row>
    <row r="572" spans="1:8" ht="15" customHeight="1" x14ac:dyDescent="0.2">
      <c r="A572" s="9"/>
      <c r="B572" s="8"/>
      <c r="C572" s="8"/>
      <c r="D572" s="8"/>
      <c r="E572" s="8"/>
      <c r="F572" s="11" t="str">
        <f>IFERROR(INDEX(Reference!$B$23:$B$24,MATCH(D572,Reference!$A$23:$A$24,0)),"")</f>
        <v/>
      </c>
      <c r="G572" s="11" t="str">
        <f t="shared" si="16"/>
        <v/>
      </c>
      <c r="H572" s="10" t="str">
        <f t="shared" si="17"/>
        <v/>
      </c>
    </row>
    <row r="573" spans="1:8" ht="15" customHeight="1" x14ac:dyDescent="0.2">
      <c r="A573" s="9"/>
      <c r="B573" s="8"/>
      <c r="C573" s="8"/>
      <c r="D573" s="8"/>
      <c r="E573" s="8"/>
      <c r="F573" s="11" t="str">
        <f>IFERROR(INDEX(Reference!$B$23:$B$24,MATCH(D573,Reference!$A$23:$A$24,0)),"")</f>
        <v/>
      </c>
      <c r="G573" s="11" t="str">
        <f t="shared" si="16"/>
        <v/>
      </c>
      <c r="H573" s="10" t="str">
        <f t="shared" si="17"/>
        <v/>
      </c>
    </row>
    <row r="574" spans="1:8" ht="15" customHeight="1" x14ac:dyDescent="0.2">
      <c r="A574" s="9"/>
      <c r="B574" s="8"/>
      <c r="C574" s="8"/>
      <c r="D574" s="8"/>
      <c r="E574" s="8"/>
      <c r="F574" s="11" t="str">
        <f>IFERROR(INDEX(Reference!$B$23:$B$24,MATCH(D574,Reference!$A$23:$A$24,0)),"")</f>
        <v/>
      </c>
      <c r="G574" s="11" t="str">
        <f t="shared" si="16"/>
        <v/>
      </c>
      <c r="H574" s="10" t="str">
        <f t="shared" si="17"/>
        <v/>
      </c>
    </row>
    <row r="575" spans="1:8" ht="15" customHeight="1" x14ac:dyDescent="0.2">
      <c r="A575" s="9"/>
      <c r="B575" s="8"/>
      <c r="C575" s="8"/>
      <c r="D575" s="8"/>
      <c r="E575" s="8"/>
      <c r="F575" s="11" t="str">
        <f>IFERROR(INDEX(Reference!$B$23:$B$24,MATCH(D575,Reference!$A$23:$A$24,0)),"")</f>
        <v/>
      </c>
      <c r="G575" s="11" t="str">
        <f t="shared" si="16"/>
        <v/>
      </c>
      <c r="H575" s="10" t="str">
        <f t="shared" si="17"/>
        <v/>
      </c>
    </row>
    <row r="576" spans="1:8" ht="15" customHeight="1" x14ac:dyDescent="0.2">
      <c r="A576" s="9"/>
      <c r="B576" s="8"/>
      <c r="C576" s="8"/>
      <c r="D576" s="8"/>
      <c r="E576" s="8"/>
      <c r="F576" s="11" t="str">
        <f>IFERROR(INDEX(Reference!$B$23:$B$24,MATCH(D576,Reference!$A$23:$A$24,0)),"")</f>
        <v/>
      </c>
      <c r="G576" s="11" t="str">
        <f t="shared" si="16"/>
        <v/>
      </c>
      <c r="H576" s="10" t="str">
        <f t="shared" si="17"/>
        <v/>
      </c>
    </row>
    <row r="577" spans="1:8" ht="15" customHeight="1" x14ac:dyDescent="0.2">
      <c r="A577" s="9"/>
      <c r="B577" s="8"/>
      <c r="C577" s="8"/>
      <c r="D577" s="8"/>
      <c r="E577" s="8"/>
      <c r="F577" s="11" t="str">
        <f>IFERROR(INDEX(Reference!$B$23:$B$24,MATCH(D577,Reference!$A$23:$A$24,0)),"")</f>
        <v/>
      </c>
      <c r="G577" s="11" t="str">
        <f t="shared" si="16"/>
        <v/>
      </c>
      <c r="H577" s="10" t="str">
        <f t="shared" si="17"/>
        <v/>
      </c>
    </row>
    <row r="578" spans="1:8" ht="15" customHeight="1" x14ac:dyDescent="0.2">
      <c r="A578" s="9"/>
      <c r="B578" s="8"/>
      <c r="C578" s="8"/>
      <c r="D578" s="8"/>
      <c r="E578" s="8"/>
      <c r="F578" s="11" t="str">
        <f>IFERROR(INDEX(Reference!$B$23:$B$24,MATCH(D578,Reference!$A$23:$A$24,0)),"")</f>
        <v/>
      </c>
      <c r="G578" s="11" t="str">
        <f t="shared" ref="G578:G641" si="18">IF(OR(E578="",F578=""),"",E578*F578)</f>
        <v/>
      </c>
      <c r="H578" s="10" t="str">
        <f t="shared" ref="H578:H641" si="19">IF(A578="","",IF(MONTH(A578)&gt;=8,YEAR(A578)&amp;"-"&amp;RIGHT(YEAR(A578)+1,2),YEAR(A578)-1&amp;"-"&amp;RIGHT(YEAR(A578),2)))</f>
        <v/>
      </c>
    </row>
    <row r="579" spans="1:8" ht="15" customHeight="1" x14ac:dyDescent="0.2">
      <c r="A579" s="9"/>
      <c r="B579" s="8"/>
      <c r="C579" s="8"/>
      <c r="D579" s="8"/>
      <c r="E579" s="8"/>
      <c r="F579" s="11" t="str">
        <f>IFERROR(INDEX(Reference!$B$23:$B$24,MATCH(D579,Reference!$A$23:$A$24,0)),"")</f>
        <v/>
      </c>
      <c r="G579" s="11" t="str">
        <f t="shared" si="18"/>
        <v/>
      </c>
      <c r="H579" s="10" t="str">
        <f t="shared" si="19"/>
        <v/>
      </c>
    </row>
    <row r="580" spans="1:8" ht="15" customHeight="1" x14ac:dyDescent="0.2">
      <c r="A580" s="9"/>
      <c r="B580" s="8"/>
      <c r="C580" s="8"/>
      <c r="D580" s="8"/>
      <c r="E580" s="8"/>
      <c r="F580" s="11" t="str">
        <f>IFERROR(INDEX(Reference!$B$23:$B$24,MATCH(D580,Reference!$A$23:$A$24,0)),"")</f>
        <v/>
      </c>
      <c r="G580" s="11" t="str">
        <f t="shared" si="18"/>
        <v/>
      </c>
      <c r="H580" s="10" t="str">
        <f t="shared" si="19"/>
        <v/>
      </c>
    </row>
    <row r="581" spans="1:8" ht="15" customHeight="1" x14ac:dyDescent="0.2">
      <c r="A581" s="9"/>
      <c r="B581" s="8"/>
      <c r="C581" s="8"/>
      <c r="D581" s="8"/>
      <c r="E581" s="8"/>
      <c r="F581" s="11" t="str">
        <f>IFERROR(INDEX(Reference!$B$23:$B$24,MATCH(D581,Reference!$A$23:$A$24,0)),"")</f>
        <v/>
      </c>
      <c r="G581" s="11" t="str">
        <f t="shared" si="18"/>
        <v/>
      </c>
      <c r="H581" s="10" t="str">
        <f t="shared" si="19"/>
        <v/>
      </c>
    </row>
    <row r="582" spans="1:8" ht="15" customHeight="1" x14ac:dyDescent="0.2">
      <c r="A582" s="9"/>
      <c r="B582" s="8"/>
      <c r="C582" s="8"/>
      <c r="D582" s="8"/>
      <c r="E582" s="8"/>
      <c r="F582" s="11" t="str">
        <f>IFERROR(INDEX(Reference!$B$23:$B$24,MATCH(D582,Reference!$A$23:$A$24,0)),"")</f>
        <v/>
      </c>
      <c r="G582" s="11" t="str">
        <f t="shared" si="18"/>
        <v/>
      </c>
      <c r="H582" s="10" t="str">
        <f t="shared" si="19"/>
        <v/>
      </c>
    </row>
    <row r="583" spans="1:8" ht="15" customHeight="1" x14ac:dyDescent="0.2">
      <c r="A583" s="9"/>
      <c r="B583" s="8"/>
      <c r="C583" s="8"/>
      <c r="D583" s="8"/>
      <c r="E583" s="8"/>
      <c r="F583" s="11" t="str">
        <f>IFERROR(INDEX(Reference!$B$23:$B$24,MATCH(D583,Reference!$A$23:$A$24,0)),"")</f>
        <v/>
      </c>
      <c r="G583" s="11" t="str">
        <f t="shared" si="18"/>
        <v/>
      </c>
      <c r="H583" s="10" t="str">
        <f t="shared" si="19"/>
        <v/>
      </c>
    </row>
    <row r="584" spans="1:8" ht="15" customHeight="1" x14ac:dyDescent="0.2">
      <c r="A584" s="9"/>
      <c r="B584" s="8"/>
      <c r="C584" s="8"/>
      <c r="D584" s="8"/>
      <c r="E584" s="8"/>
      <c r="F584" s="11" t="str">
        <f>IFERROR(INDEX(Reference!$B$23:$B$24,MATCH(D584,Reference!$A$23:$A$24,0)),"")</f>
        <v/>
      </c>
      <c r="G584" s="11" t="str">
        <f t="shared" si="18"/>
        <v/>
      </c>
      <c r="H584" s="10" t="str">
        <f t="shared" si="19"/>
        <v/>
      </c>
    </row>
    <row r="585" spans="1:8" ht="15" customHeight="1" x14ac:dyDescent="0.2">
      <c r="A585" s="9"/>
      <c r="B585" s="8"/>
      <c r="C585" s="8"/>
      <c r="D585" s="8"/>
      <c r="E585" s="8"/>
      <c r="F585" s="11" t="str">
        <f>IFERROR(INDEX(Reference!$B$23:$B$24,MATCH(D585,Reference!$A$23:$A$24,0)),"")</f>
        <v/>
      </c>
      <c r="G585" s="11" t="str">
        <f t="shared" si="18"/>
        <v/>
      </c>
      <c r="H585" s="10" t="str">
        <f t="shared" si="19"/>
        <v/>
      </c>
    </row>
    <row r="586" spans="1:8" ht="15" customHeight="1" x14ac:dyDescent="0.2">
      <c r="A586" s="9"/>
      <c r="B586" s="8"/>
      <c r="C586" s="8"/>
      <c r="D586" s="8"/>
      <c r="E586" s="8"/>
      <c r="F586" s="11" t="str">
        <f>IFERROR(INDEX(Reference!$B$23:$B$24,MATCH(D586,Reference!$A$23:$A$24,0)),"")</f>
        <v/>
      </c>
      <c r="G586" s="11" t="str">
        <f t="shared" si="18"/>
        <v/>
      </c>
      <c r="H586" s="10" t="str">
        <f t="shared" si="19"/>
        <v/>
      </c>
    </row>
    <row r="587" spans="1:8" ht="15" customHeight="1" x14ac:dyDescent="0.2">
      <c r="A587" s="9"/>
      <c r="B587" s="8"/>
      <c r="C587" s="8"/>
      <c r="D587" s="8"/>
      <c r="E587" s="8"/>
      <c r="F587" s="11" t="str">
        <f>IFERROR(INDEX(Reference!$B$23:$B$24,MATCH(D587,Reference!$A$23:$A$24,0)),"")</f>
        <v/>
      </c>
      <c r="G587" s="11" t="str">
        <f t="shared" si="18"/>
        <v/>
      </c>
      <c r="H587" s="10" t="str">
        <f t="shared" si="19"/>
        <v/>
      </c>
    </row>
    <row r="588" spans="1:8" ht="15" customHeight="1" x14ac:dyDescent="0.2">
      <c r="A588" s="9"/>
      <c r="B588" s="8"/>
      <c r="C588" s="8"/>
      <c r="D588" s="8"/>
      <c r="E588" s="8"/>
      <c r="F588" s="11" t="str">
        <f>IFERROR(INDEX(Reference!$B$23:$B$24,MATCH(D588,Reference!$A$23:$A$24,0)),"")</f>
        <v/>
      </c>
      <c r="G588" s="11" t="str">
        <f t="shared" si="18"/>
        <v/>
      </c>
      <c r="H588" s="10" t="str">
        <f t="shared" si="19"/>
        <v/>
      </c>
    </row>
    <row r="589" spans="1:8" ht="15" customHeight="1" x14ac:dyDescent="0.2">
      <c r="A589" s="9"/>
      <c r="B589" s="8"/>
      <c r="C589" s="8"/>
      <c r="D589" s="8"/>
      <c r="E589" s="8"/>
      <c r="F589" s="11" t="str">
        <f>IFERROR(INDEX(Reference!$B$23:$B$24,MATCH(D589,Reference!$A$23:$A$24,0)),"")</f>
        <v/>
      </c>
      <c r="G589" s="11" t="str">
        <f t="shared" si="18"/>
        <v/>
      </c>
      <c r="H589" s="10" t="str">
        <f t="shared" si="19"/>
        <v/>
      </c>
    </row>
    <row r="590" spans="1:8" ht="15" customHeight="1" x14ac:dyDescent="0.2">
      <c r="A590" s="9"/>
      <c r="B590" s="8"/>
      <c r="C590" s="8"/>
      <c r="D590" s="8"/>
      <c r="E590" s="8"/>
      <c r="F590" s="11" t="str">
        <f>IFERROR(INDEX(Reference!$B$23:$B$24,MATCH(D590,Reference!$A$23:$A$24,0)),"")</f>
        <v/>
      </c>
      <c r="G590" s="11" t="str">
        <f t="shared" si="18"/>
        <v/>
      </c>
      <c r="H590" s="10" t="str">
        <f t="shared" si="19"/>
        <v/>
      </c>
    </row>
    <row r="591" spans="1:8" ht="15" customHeight="1" x14ac:dyDescent="0.2">
      <c r="A591" s="9"/>
      <c r="B591" s="8"/>
      <c r="C591" s="8"/>
      <c r="D591" s="8"/>
      <c r="E591" s="8"/>
      <c r="F591" s="11" t="str">
        <f>IFERROR(INDEX(Reference!$B$23:$B$24,MATCH(D591,Reference!$A$23:$A$24,0)),"")</f>
        <v/>
      </c>
      <c r="G591" s="11" t="str">
        <f t="shared" si="18"/>
        <v/>
      </c>
      <c r="H591" s="10" t="str">
        <f t="shared" si="19"/>
        <v/>
      </c>
    </row>
    <row r="592" spans="1:8" ht="15" customHeight="1" x14ac:dyDescent="0.2">
      <c r="A592" s="9"/>
      <c r="B592" s="8"/>
      <c r="C592" s="8"/>
      <c r="D592" s="8"/>
      <c r="E592" s="8"/>
      <c r="F592" s="11" t="str">
        <f>IFERROR(INDEX(Reference!$B$23:$B$24,MATCH(D592,Reference!$A$23:$A$24,0)),"")</f>
        <v/>
      </c>
      <c r="G592" s="11" t="str">
        <f t="shared" si="18"/>
        <v/>
      </c>
      <c r="H592" s="10" t="str">
        <f t="shared" si="19"/>
        <v/>
      </c>
    </row>
    <row r="593" spans="1:8" ht="15" customHeight="1" x14ac:dyDescent="0.2">
      <c r="A593" s="9"/>
      <c r="B593" s="8"/>
      <c r="C593" s="8"/>
      <c r="D593" s="8"/>
      <c r="E593" s="8"/>
      <c r="F593" s="11" t="str">
        <f>IFERROR(INDEX(Reference!$B$23:$B$24,MATCH(D593,Reference!$A$23:$A$24,0)),"")</f>
        <v/>
      </c>
      <c r="G593" s="11" t="str">
        <f t="shared" si="18"/>
        <v/>
      </c>
      <c r="H593" s="10" t="str">
        <f t="shared" si="19"/>
        <v/>
      </c>
    </row>
    <row r="594" spans="1:8" ht="15" customHeight="1" x14ac:dyDescent="0.2">
      <c r="A594" s="9"/>
      <c r="B594" s="8"/>
      <c r="C594" s="8"/>
      <c r="D594" s="8"/>
      <c r="E594" s="8"/>
      <c r="F594" s="11" t="str">
        <f>IFERROR(INDEX(Reference!$B$23:$B$24,MATCH(D594,Reference!$A$23:$A$24,0)),"")</f>
        <v/>
      </c>
      <c r="G594" s="11" t="str">
        <f t="shared" si="18"/>
        <v/>
      </c>
      <c r="H594" s="10" t="str">
        <f t="shared" si="19"/>
        <v/>
      </c>
    </row>
    <row r="595" spans="1:8" ht="15" customHeight="1" x14ac:dyDescent="0.2">
      <c r="A595" s="9"/>
      <c r="B595" s="8"/>
      <c r="C595" s="8"/>
      <c r="D595" s="8"/>
      <c r="E595" s="8"/>
      <c r="F595" s="11" t="str">
        <f>IFERROR(INDEX(Reference!$B$23:$B$24,MATCH(D595,Reference!$A$23:$A$24,0)),"")</f>
        <v/>
      </c>
      <c r="G595" s="11" t="str">
        <f t="shared" si="18"/>
        <v/>
      </c>
      <c r="H595" s="10" t="str">
        <f t="shared" si="19"/>
        <v/>
      </c>
    </row>
    <row r="596" spans="1:8" ht="15" customHeight="1" x14ac:dyDescent="0.2">
      <c r="A596" s="9"/>
      <c r="B596" s="8"/>
      <c r="C596" s="8"/>
      <c r="D596" s="8"/>
      <c r="E596" s="8"/>
      <c r="F596" s="11" t="str">
        <f>IFERROR(INDEX(Reference!$B$23:$B$24,MATCH(D596,Reference!$A$23:$A$24,0)),"")</f>
        <v/>
      </c>
      <c r="G596" s="11" t="str">
        <f t="shared" si="18"/>
        <v/>
      </c>
      <c r="H596" s="10" t="str">
        <f t="shared" si="19"/>
        <v/>
      </c>
    </row>
    <row r="597" spans="1:8" ht="15" customHeight="1" x14ac:dyDescent="0.2">
      <c r="A597" s="9"/>
      <c r="B597" s="8"/>
      <c r="C597" s="8"/>
      <c r="D597" s="8"/>
      <c r="E597" s="8"/>
      <c r="F597" s="11" t="str">
        <f>IFERROR(INDEX(Reference!$B$23:$B$24,MATCH(D597,Reference!$A$23:$A$24,0)),"")</f>
        <v/>
      </c>
      <c r="G597" s="11" t="str">
        <f t="shared" si="18"/>
        <v/>
      </c>
      <c r="H597" s="10" t="str">
        <f t="shared" si="19"/>
        <v/>
      </c>
    </row>
    <row r="598" spans="1:8" ht="15" customHeight="1" x14ac:dyDescent="0.2">
      <c r="A598" s="9"/>
      <c r="B598" s="8"/>
      <c r="C598" s="8"/>
      <c r="D598" s="8"/>
      <c r="E598" s="8"/>
      <c r="F598" s="11" t="str">
        <f>IFERROR(INDEX(Reference!$B$23:$B$24,MATCH(D598,Reference!$A$23:$A$24,0)),"")</f>
        <v/>
      </c>
      <c r="G598" s="11" t="str">
        <f t="shared" si="18"/>
        <v/>
      </c>
      <c r="H598" s="10" t="str">
        <f t="shared" si="19"/>
        <v/>
      </c>
    </row>
    <row r="599" spans="1:8" ht="15" customHeight="1" x14ac:dyDescent="0.2">
      <c r="A599" s="9"/>
      <c r="B599" s="8"/>
      <c r="C599" s="8"/>
      <c r="D599" s="8"/>
      <c r="E599" s="8"/>
      <c r="F599" s="11" t="str">
        <f>IFERROR(INDEX(Reference!$B$23:$B$24,MATCH(D599,Reference!$A$23:$A$24,0)),"")</f>
        <v/>
      </c>
      <c r="G599" s="11" t="str">
        <f t="shared" si="18"/>
        <v/>
      </c>
      <c r="H599" s="10" t="str">
        <f t="shared" si="19"/>
        <v/>
      </c>
    </row>
    <row r="600" spans="1:8" ht="15" customHeight="1" x14ac:dyDescent="0.2">
      <c r="A600" s="9"/>
      <c r="B600" s="8"/>
      <c r="C600" s="8"/>
      <c r="D600" s="8"/>
      <c r="E600" s="8"/>
      <c r="F600" s="11" t="str">
        <f>IFERROR(INDEX(Reference!$B$23:$B$24,MATCH(D600,Reference!$A$23:$A$24,0)),"")</f>
        <v/>
      </c>
      <c r="G600" s="11" t="str">
        <f t="shared" si="18"/>
        <v/>
      </c>
      <c r="H600" s="10" t="str">
        <f t="shared" si="19"/>
        <v/>
      </c>
    </row>
    <row r="601" spans="1:8" ht="15" customHeight="1" x14ac:dyDescent="0.2">
      <c r="A601" s="9"/>
      <c r="B601" s="8"/>
      <c r="C601" s="8"/>
      <c r="D601" s="8"/>
      <c r="E601" s="8"/>
      <c r="F601" s="11" t="str">
        <f>IFERROR(INDEX(Reference!$B$23:$B$24,MATCH(D601,Reference!$A$23:$A$24,0)),"")</f>
        <v/>
      </c>
      <c r="G601" s="11" t="str">
        <f t="shared" si="18"/>
        <v/>
      </c>
      <c r="H601" s="10" t="str">
        <f t="shared" si="19"/>
        <v/>
      </c>
    </row>
    <row r="602" spans="1:8" ht="15" customHeight="1" x14ac:dyDescent="0.2">
      <c r="A602" s="9"/>
      <c r="B602" s="8"/>
      <c r="C602" s="8"/>
      <c r="D602" s="8"/>
      <c r="E602" s="8"/>
      <c r="F602" s="11" t="str">
        <f>IFERROR(INDEX(Reference!$B$23:$B$24,MATCH(D602,Reference!$A$23:$A$24,0)),"")</f>
        <v/>
      </c>
      <c r="G602" s="11" t="str">
        <f t="shared" si="18"/>
        <v/>
      </c>
      <c r="H602" s="10" t="str">
        <f t="shared" si="19"/>
        <v/>
      </c>
    </row>
    <row r="603" spans="1:8" ht="15" customHeight="1" x14ac:dyDescent="0.2">
      <c r="A603" s="9"/>
      <c r="B603" s="8"/>
      <c r="C603" s="8"/>
      <c r="D603" s="8"/>
      <c r="E603" s="8"/>
      <c r="F603" s="11" t="str">
        <f>IFERROR(INDEX(Reference!$B$23:$B$24,MATCH(D603,Reference!$A$23:$A$24,0)),"")</f>
        <v/>
      </c>
      <c r="G603" s="11" t="str">
        <f t="shared" si="18"/>
        <v/>
      </c>
      <c r="H603" s="10" t="str">
        <f t="shared" si="19"/>
        <v/>
      </c>
    </row>
    <row r="604" spans="1:8" ht="15" customHeight="1" x14ac:dyDescent="0.2">
      <c r="A604" s="9"/>
      <c r="B604" s="8"/>
      <c r="C604" s="8"/>
      <c r="D604" s="8"/>
      <c r="E604" s="8"/>
      <c r="F604" s="11" t="str">
        <f>IFERROR(INDEX(Reference!$B$23:$B$24,MATCH(D604,Reference!$A$23:$A$24,0)),"")</f>
        <v/>
      </c>
      <c r="G604" s="11" t="str">
        <f t="shared" si="18"/>
        <v/>
      </c>
      <c r="H604" s="10" t="str">
        <f t="shared" si="19"/>
        <v/>
      </c>
    </row>
    <row r="605" spans="1:8" ht="15" customHeight="1" x14ac:dyDescent="0.2">
      <c r="A605" s="9"/>
      <c r="B605" s="8"/>
      <c r="C605" s="8"/>
      <c r="D605" s="8"/>
      <c r="E605" s="8"/>
      <c r="F605" s="11" t="str">
        <f>IFERROR(INDEX(Reference!$B$23:$B$24,MATCH(D605,Reference!$A$23:$A$24,0)),"")</f>
        <v/>
      </c>
      <c r="G605" s="11" t="str">
        <f t="shared" si="18"/>
        <v/>
      </c>
      <c r="H605" s="10" t="str">
        <f t="shared" si="19"/>
        <v/>
      </c>
    </row>
    <row r="606" spans="1:8" ht="15" customHeight="1" x14ac:dyDescent="0.2">
      <c r="A606" s="9"/>
      <c r="B606" s="8"/>
      <c r="C606" s="8"/>
      <c r="D606" s="8"/>
      <c r="E606" s="8"/>
      <c r="F606" s="11" t="str">
        <f>IFERROR(INDEX(Reference!$B$23:$B$24,MATCH(D606,Reference!$A$23:$A$24,0)),"")</f>
        <v/>
      </c>
      <c r="G606" s="11" t="str">
        <f t="shared" si="18"/>
        <v/>
      </c>
      <c r="H606" s="10" t="str">
        <f t="shared" si="19"/>
        <v/>
      </c>
    </row>
    <row r="607" spans="1:8" ht="15" customHeight="1" x14ac:dyDescent="0.2">
      <c r="A607" s="9"/>
      <c r="B607" s="8"/>
      <c r="C607" s="8"/>
      <c r="D607" s="8"/>
      <c r="E607" s="8"/>
      <c r="F607" s="11" t="str">
        <f>IFERROR(INDEX(Reference!$B$23:$B$24,MATCH(D607,Reference!$A$23:$A$24,0)),"")</f>
        <v/>
      </c>
      <c r="G607" s="11" t="str">
        <f t="shared" si="18"/>
        <v/>
      </c>
      <c r="H607" s="10" t="str">
        <f t="shared" si="19"/>
        <v/>
      </c>
    </row>
    <row r="608" spans="1:8" ht="15" customHeight="1" x14ac:dyDescent="0.2">
      <c r="A608" s="9"/>
      <c r="B608" s="8"/>
      <c r="C608" s="8"/>
      <c r="D608" s="8"/>
      <c r="E608" s="8"/>
      <c r="F608" s="11" t="str">
        <f>IFERROR(INDEX(Reference!$B$23:$B$24,MATCH(D608,Reference!$A$23:$A$24,0)),"")</f>
        <v/>
      </c>
      <c r="G608" s="11" t="str">
        <f t="shared" si="18"/>
        <v/>
      </c>
      <c r="H608" s="10" t="str">
        <f t="shared" si="19"/>
        <v/>
      </c>
    </row>
    <row r="609" spans="1:8" ht="15" customHeight="1" x14ac:dyDescent="0.2">
      <c r="A609" s="9"/>
      <c r="B609" s="8"/>
      <c r="C609" s="8"/>
      <c r="D609" s="8"/>
      <c r="E609" s="8"/>
      <c r="F609" s="11" t="str">
        <f>IFERROR(INDEX(Reference!$B$23:$B$24,MATCH(D609,Reference!$A$23:$A$24,0)),"")</f>
        <v/>
      </c>
      <c r="G609" s="11" t="str">
        <f t="shared" si="18"/>
        <v/>
      </c>
      <c r="H609" s="10" t="str">
        <f t="shared" si="19"/>
        <v/>
      </c>
    </row>
    <row r="610" spans="1:8" ht="15" customHeight="1" x14ac:dyDescent="0.2">
      <c r="A610" s="9"/>
      <c r="B610" s="8"/>
      <c r="C610" s="8"/>
      <c r="D610" s="8"/>
      <c r="E610" s="8"/>
      <c r="F610" s="11" t="str">
        <f>IFERROR(INDEX(Reference!$B$23:$B$24,MATCH(D610,Reference!$A$23:$A$24,0)),"")</f>
        <v/>
      </c>
      <c r="G610" s="11" t="str">
        <f t="shared" si="18"/>
        <v/>
      </c>
      <c r="H610" s="10" t="str">
        <f t="shared" si="19"/>
        <v/>
      </c>
    </row>
    <row r="611" spans="1:8" ht="15" customHeight="1" x14ac:dyDescent="0.2">
      <c r="A611" s="9"/>
      <c r="B611" s="8"/>
      <c r="C611" s="8"/>
      <c r="D611" s="8"/>
      <c r="E611" s="8"/>
      <c r="F611" s="11" t="str">
        <f>IFERROR(INDEX(Reference!$B$23:$B$24,MATCH(D611,Reference!$A$23:$A$24,0)),"")</f>
        <v/>
      </c>
      <c r="G611" s="11" t="str">
        <f t="shared" si="18"/>
        <v/>
      </c>
      <c r="H611" s="10" t="str">
        <f t="shared" si="19"/>
        <v/>
      </c>
    </row>
    <row r="612" spans="1:8" ht="15" customHeight="1" x14ac:dyDescent="0.2">
      <c r="A612" s="9"/>
      <c r="B612" s="8"/>
      <c r="C612" s="8"/>
      <c r="D612" s="8"/>
      <c r="E612" s="8"/>
      <c r="F612" s="11" t="str">
        <f>IFERROR(INDEX(Reference!$B$23:$B$24,MATCH(D612,Reference!$A$23:$A$24,0)),"")</f>
        <v/>
      </c>
      <c r="G612" s="11" t="str">
        <f t="shared" si="18"/>
        <v/>
      </c>
      <c r="H612" s="10" t="str">
        <f t="shared" si="19"/>
        <v/>
      </c>
    </row>
    <row r="613" spans="1:8" ht="15" customHeight="1" x14ac:dyDescent="0.2">
      <c r="A613" s="9"/>
      <c r="B613" s="8"/>
      <c r="C613" s="8"/>
      <c r="D613" s="8"/>
      <c r="E613" s="8"/>
      <c r="F613" s="11" t="str">
        <f>IFERROR(INDEX(Reference!$B$23:$B$24,MATCH(D613,Reference!$A$23:$A$24,0)),"")</f>
        <v/>
      </c>
      <c r="G613" s="11" t="str">
        <f t="shared" si="18"/>
        <v/>
      </c>
      <c r="H613" s="10" t="str">
        <f t="shared" si="19"/>
        <v/>
      </c>
    </row>
    <row r="614" spans="1:8" ht="15" customHeight="1" x14ac:dyDescent="0.2">
      <c r="A614" s="9"/>
      <c r="B614" s="8"/>
      <c r="C614" s="8"/>
      <c r="D614" s="8"/>
      <c r="E614" s="8"/>
      <c r="F614" s="11" t="str">
        <f>IFERROR(INDEX(Reference!$B$23:$B$24,MATCH(D614,Reference!$A$23:$A$24,0)),"")</f>
        <v/>
      </c>
      <c r="G614" s="11" t="str">
        <f t="shared" si="18"/>
        <v/>
      </c>
      <c r="H614" s="10" t="str">
        <f t="shared" si="19"/>
        <v/>
      </c>
    </row>
    <row r="615" spans="1:8" ht="15" customHeight="1" x14ac:dyDescent="0.2">
      <c r="A615" s="9"/>
      <c r="B615" s="8"/>
      <c r="C615" s="8"/>
      <c r="D615" s="8"/>
      <c r="E615" s="8"/>
      <c r="F615" s="11" t="str">
        <f>IFERROR(INDEX(Reference!$B$23:$B$24,MATCH(D615,Reference!$A$23:$A$24,0)),"")</f>
        <v/>
      </c>
      <c r="G615" s="11" t="str">
        <f t="shared" si="18"/>
        <v/>
      </c>
      <c r="H615" s="10" t="str">
        <f t="shared" si="19"/>
        <v/>
      </c>
    </row>
    <row r="616" spans="1:8" ht="15" customHeight="1" x14ac:dyDescent="0.2">
      <c r="A616" s="9"/>
      <c r="B616" s="8"/>
      <c r="C616" s="8"/>
      <c r="D616" s="8"/>
      <c r="E616" s="8"/>
      <c r="F616" s="11" t="str">
        <f>IFERROR(INDEX(Reference!$B$23:$B$24,MATCH(D616,Reference!$A$23:$A$24,0)),"")</f>
        <v/>
      </c>
      <c r="G616" s="11" t="str">
        <f t="shared" si="18"/>
        <v/>
      </c>
      <c r="H616" s="10" t="str">
        <f t="shared" si="19"/>
        <v/>
      </c>
    </row>
    <row r="617" spans="1:8" ht="15" customHeight="1" x14ac:dyDescent="0.2">
      <c r="A617" s="9"/>
      <c r="B617" s="8"/>
      <c r="C617" s="8"/>
      <c r="D617" s="8"/>
      <c r="E617" s="8"/>
      <c r="F617" s="11" t="str">
        <f>IFERROR(INDEX(Reference!$B$23:$B$24,MATCH(D617,Reference!$A$23:$A$24,0)),"")</f>
        <v/>
      </c>
      <c r="G617" s="11" t="str">
        <f t="shared" si="18"/>
        <v/>
      </c>
      <c r="H617" s="10" t="str">
        <f t="shared" si="19"/>
        <v/>
      </c>
    </row>
    <row r="618" spans="1:8" ht="15" customHeight="1" x14ac:dyDescent="0.2">
      <c r="A618" s="9"/>
      <c r="B618" s="8"/>
      <c r="C618" s="8"/>
      <c r="D618" s="8"/>
      <c r="E618" s="8"/>
      <c r="F618" s="11" t="str">
        <f>IFERROR(INDEX(Reference!$B$23:$B$24,MATCH(D618,Reference!$A$23:$A$24,0)),"")</f>
        <v/>
      </c>
      <c r="G618" s="11" t="str">
        <f t="shared" si="18"/>
        <v/>
      </c>
      <c r="H618" s="10" t="str">
        <f t="shared" si="19"/>
        <v/>
      </c>
    </row>
    <row r="619" spans="1:8" ht="15" customHeight="1" x14ac:dyDescent="0.2">
      <c r="A619" s="9"/>
      <c r="B619" s="8"/>
      <c r="C619" s="8"/>
      <c r="D619" s="8"/>
      <c r="E619" s="8"/>
      <c r="F619" s="11" t="str">
        <f>IFERROR(INDEX(Reference!$B$23:$B$24,MATCH(D619,Reference!$A$23:$A$24,0)),"")</f>
        <v/>
      </c>
      <c r="G619" s="11" t="str">
        <f t="shared" si="18"/>
        <v/>
      </c>
      <c r="H619" s="10" t="str">
        <f t="shared" si="19"/>
        <v/>
      </c>
    </row>
    <row r="620" spans="1:8" ht="15" customHeight="1" x14ac:dyDescent="0.2">
      <c r="A620" s="9"/>
      <c r="B620" s="8"/>
      <c r="C620" s="8"/>
      <c r="D620" s="8"/>
      <c r="E620" s="8"/>
      <c r="F620" s="11" t="str">
        <f>IFERROR(INDEX(Reference!$B$23:$B$24,MATCH(D620,Reference!$A$23:$A$24,0)),"")</f>
        <v/>
      </c>
      <c r="G620" s="11" t="str">
        <f t="shared" si="18"/>
        <v/>
      </c>
      <c r="H620" s="10" t="str">
        <f t="shared" si="19"/>
        <v/>
      </c>
    </row>
    <row r="621" spans="1:8" ht="15" customHeight="1" x14ac:dyDescent="0.2">
      <c r="A621" s="9"/>
      <c r="B621" s="8"/>
      <c r="C621" s="8"/>
      <c r="D621" s="8"/>
      <c r="E621" s="8"/>
      <c r="F621" s="11" t="str">
        <f>IFERROR(INDEX(Reference!$B$23:$B$24,MATCH(D621,Reference!$A$23:$A$24,0)),"")</f>
        <v/>
      </c>
      <c r="G621" s="11" t="str">
        <f t="shared" si="18"/>
        <v/>
      </c>
      <c r="H621" s="10" t="str">
        <f t="shared" si="19"/>
        <v/>
      </c>
    </row>
    <row r="622" spans="1:8" ht="15" customHeight="1" x14ac:dyDescent="0.2">
      <c r="A622" s="9"/>
      <c r="B622" s="8"/>
      <c r="C622" s="8"/>
      <c r="D622" s="8"/>
      <c r="E622" s="8"/>
      <c r="F622" s="11" t="str">
        <f>IFERROR(INDEX(Reference!$B$23:$B$24,MATCH(D622,Reference!$A$23:$A$24,0)),"")</f>
        <v/>
      </c>
      <c r="G622" s="11" t="str">
        <f t="shared" si="18"/>
        <v/>
      </c>
      <c r="H622" s="10" t="str">
        <f t="shared" si="19"/>
        <v/>
      </c>
    </row>
    <row r="623" spans="1:8" ht="15" customHeight="1" x14ac:dyDescent="0.2">
      <c r="A623" s="9"/>
      <c r="B623" s="8"/>
      <c r="C623" s="8"/>
      <c r="D623" s="8"/>
      <c r="E623" s="8"/>
      <c r="F623" s="11" t="str">
        <f>IFERROR(INDEX(Reference!$B$23:$B$24,MATCH(D623,Reference!$A$23:$A$24,0)),"")</f>
        <v/>
      </c>
      <c r="G623" s="11" t="str">
        <f t="shared" si="18"/>
        <v/>
      </c>
      <c r="H623" s="10" t="str">
        <f t="shared" si="19"/>
        <v/>
      </c>
    </row>
    <row r="624" spans="1:8" ht="15" customHeight="1" x14ac:dyDescent="0.2">
      <c r="A624" s="9"/>
      <c r="B624" s="8"/>
      <c r="C624" s="8"/>
      <c r="D624" s="8"/>
      <c r="E624" s="8"/>
      <c r="F624" s="11" t="str">
        <f>IFERROR(INDEX(Reference!$B$23:$B$24,MATCH(D624,Reference!$A$23:$A$24,0)),"")</f>
        <v/>
      </c>
      <c r="G624" s="11" t="str">
        <f t="shared" si="18"/>
        <v/>
      </c>
      <c r="H624" s="10" t="str">
        <f t="shared" si="19"/>
        <v/>
      </c>
    </row>
    <row r="625" spans="1:8" ht="15" customHeight="1" x14ac:dyDescent="0.2">
      <c r="A625" s="9"/>
      <c r="B625" s="8"/>
      <c r="C625" s="8"/>
      <c r="D625" s="8"/>
      <c r="E625" s="8"/>
      <c r="F625" s="11" t="str">
        <f>IFERROR(INDEX(Reference!$B$23:$B$24,MATCH(D625,Reference!$A$23:$A$24,0)),"")</f>
        <v/>
      </c>
      <c r="G625" s="11" t="str">
        <f t="shared" si="18"/>
        <v/>
      </c>
      <c r="H625" s="10" t="str">
        <f t="shared" si="19"/>
        <v/>
      </c>
    </row>
    <row r="626" spans="1:8" ht="15" customHeight="1" x14ac:dyDescent="0.2">
      <c r="A626" s="9"/>
      <c r="B626" s="8"/>
      <c r="C626" s="8"/>
      <c r="D626" s="8"/>
      <c r="E626" s="8"/>
      <c r="F626" s="11" t="str">
        <f>IFERROR(INDEX(Reference!$B$23:$B$24,MATCH(D626,Reference!$A$23:$A$24,0)),"")</f>
        <v/>
      </c>
      <c r="G626" s="11" t="str">
        <f t="shared" si="18"/>
        <v/>
      </c>
      <c r="H626" s="10" t="str">
        <f t="shared" si="19"/>
        <v/>
      </c>
    </row>
    <row r="627" spans="1:8" ht="15" customHeight="1" x14ac:dyDescent="0.2">
      <c r="A627" s="9"/>
      <c r="B627" s="8"/>
      <c r="C627" s="8"/>
      <c r="D627" s="8"/>
      <c r="E627" s="8"/>
      <c r="F627" s="11" t="str">
        <f>IFERROR(INDEX(Reference!$B$23:$B$24,MATCH(D627,Reference!$A$23:$A$24,0)),"")</f>
        <v/>
      </c>
      <c r="G627" s="11" t="str">
        <f t="shared" si="18"/>
        <v/>
      </c>
      <c r="H627" s="10" t="str">
        <f t="shared" si="19"/>
        <v/>
      </c>
    </row>
    <row r="628" spans="1:8" ht="15" customHeight="1" x14ac:dyDescent="0.2">
      <c r="A628" s="9"/>
      <c r="B628" s="8"/>
      <c r="C628" s="8"/>
      <c r="D628" s="8"/>
      <c r="E628" s="8"/>
      <c r="F628" s="11" t="str">
        <f>IFERROR(INDEX(Reference!$B$23:$B$24,MATCH(D628,Reference!$A$23:$A$24,0)),"")</f>
        <v/>
      </c>
      <c r="G628" s="11" t="str">
        <f t="shared" si="18"/>
        <v/>
      </c>
      <c r="H628" s="10" t="str">
        <f t="shared" si="19"/>
        <v/>
      </c>
    </row>
    <row r="629" spans="1:8" ht="15" customHeight="1" x14ac:dyDescent="0.2">
      <c r="A629" s="9"/>
      <c r="B629" s="8"/>
      <c r="C629" s="8"/>
      <c r="D629" s="8"/>
      <c r="E629" s="8"/>
      <c r="F629" s="11" t="str">
        <f>IFERROR(INDEX(Reference!$B$23:$B$24,MATCH(D629,Reference!$A$23:$A$24,0)),"")</f>
        <v/>
      </c>
      <c r="G629" s="11" t="str">
        <f t="shared" si="18"/>
        <v/>
      </c>
      <c r="H629" s="10" t="str">
        <f t="shared" si="19"/>
        <v/>
      </c>
    </row>
    <row r="630" spans="1:8" ht="15" customHeight="1" x14ac:dyDescent="0.2">
      <c r="A630" s="9"/>
      <c r="B630" s="8"/>
      <c r="C630" s="8"/>
      <c r="D630" s="8"/>
      <c r="E630" s="8"/>
      <c r="F630" s="11" t="str">
        <f>IFERROR(INDEX(Reference!$B$23:$B$24,MATCH(D630,Reference!$A$23:$A$24,0)),"")</f>
        <v/>
      </c>
      <c r="G630" s="11" t="str">
        <f t="shared" si="18"/>
        <v/>
      </c>
      <c r="H630" s="10" t="str">
        <f t="shared" si="19"/>
        <v/>
      </c>
    </row>
    <row r="631" spans="1:8" ht="15" customHeight="1" x14ac:dyDescent="0.2">
      <c r="A631" s="9"/>
      <c r="B631" s="8"/>
      <c r="C631" s="8"/>
      <c r="D631" s="8"/>
      <c r="E631" s="8"/>
      <c r="F631" s="11" t="str">
        <f>IFERROR(INDEX(Reference!$B$23:$B$24,MATCH(D631,Reference!$A$23:$A$24,0)),"")</f>
        <v/>
      </c>
      <c r="G631" s="11" t="str">
        <f t="shared" si="18"/>
        <v/>
      </c>
      <c r="H631" s="10" t="str">
        <f t="shared" si="19"/>
        <v/>
      </c>
    </row>
    <row r="632" spans="1:8" ht="15" customHeight="1" x14ac:dyDescent="0.2">
      <c r="A632" s="9"/>
      <c r="B632" s="8"/>
      <c r="C632" s="8"/>
      <c r="D632" s="8"/>
      <c r="E632" s="8"/>
      <c r="F632" s="11" t="str">
        <f>IFERROR(INDEX(Reference!$B$23:$B$24,MATCH(D632,Reference!$A$23:$A$24,0)),"")</f>
        <v/>
      </c>
      <c r="G632" s="11" t="str">
        <f t="shared" si="18"/>
        <v/>
      </c>
      <c r="H632" s="10" t="str">
        <f t="shared" si="19"/>
        <v/>
      </c>
    </row>
    <row r="633" spans="1:8" ht="15" customHeight="1" x14ac:dyDescent="0.2">
      <c r="A633" s="9"/>
      <c r="B633" s="8"/>
      <c r="C633" s="8"/>
      <c r="D633" s="8"/>
      <c r="E633" s="8"/>
      <c r="F633" s="11" t="str">
        <f>IFERROR(INDEX(Reference!$B$23:$B$24,MATCH(D633,Reference!$A$23:$A$24,0)),"")</f>
        <v/>
      </c>
      <c r="G633" s="11" t="str">
        <f t="shared" si="18"/>
        <v/>
      </c>
      <c r="H633" s="10" t="str">
        <f t="shared" si="19"/>
        <v/>
      </c>
    </row>
    <row r="634" spans="1:8" ht="15" customHeight="1" x14ac:dyDescent="0.2">
      <c r="A634" s="9"/>
      <c r="B634" s="8"/>
      <c r="C634" s="8"/>
      <c r="D634" s="8"/>
      <c r="E634" s="8"/>
      <c r="F634" s="11" t="str">
        <f>IFERROR(INDEX(Reference!$B$23:$B$24,MATCH(D634,Reference!$A$23:$A$24,0)),"")</f>
        <v/>
      </c>
      <c r="G634" s="11" t="str">
        <f t="shared" si="18"/>
        <v/>
      </c>
      <c r="H634" s="10" t="str">
        <f t="shared" si="19"/>
        <v/>
      </c>
    </row>
    <row r="635" spans="1:8" ht="15" customHeight="1" x14ac:dyDescent="0.2">
      <c r="A635" s="9"/>
      <c r="B635" s="8"/>
      <c r="C635" s="8"/>
      <c r="D635" s="8"/>
      <c r="E635" s="8"/>
      <c r="F635" s="11" t="str">
        <f>IFERROR(INDEX(Reference!$B$23:$B$24,MATCH(D635,Reference!$A$23:$A$24,0)),"")</f>
        <v/>
      </c>
      <c r="G635" s="11" t="str">
        <f t="shared" si="18"/>
        <v/>
      </c>
      <c r="H635" s="10" t="str">
        <f t="shared" si="19"/>
        <v/>
      </c>
    </row>
    <row r="636" spans="1:8" ht="15" customHeight="1" x14ac:dyDescent="0.2">
      <c r="A636" s="9"/>
      <c r="B636" s="8"/>
      <c r="C636" s="8"/>
      <c r="D636" s="8"/>
      <c r="E636" s="8"/>
      <c r="F636" s="11" t="str">
        <f>IFERROR(INDEX(Reference!$B$23:$B$24,MATCH(D636,Reference!$A$23:$A$24,0)),"")</f>
        <v/>
      </c>
      <c r="G636" s="11" t="str">
        <f t="shared" si="18"/>
        <v/>
      </c>
      <c r="H636" s="10" t="str">
        <f t="shared" si="19"/>
        <v/>
      </c>
    </row>
    <row r="637" spans="1:8" ht="15" customHeight="1" x14ac:dyDescent="0.2">
      <c r="A637" s="9"/>
      <c r="B637" s="8"/>
      <c r="C637" s="8"/>
      <c r="D637" s="8"/>
      <c r="E637" s="8"/>
      <c r="F637" s="11" t="str">
        <f>IFERROR(INDEX(Reference!$B$23:$B$24,MATCH(D637,Reference!$A$23:$A$24,0)),"")</f>
        <v/>
      </c>
      <c r="G637" s="11" t="str">
        <f t="shared" si="18"/>
        <v/>
      </c>
      <c r="H637" s="10" t="str">
        <f t="shared" si="19"/>
        <v/>
      </c>
    </row>
    <row r="638" spans="1:8" ht="15" customHeight="1" x14ac:dyDescent="0.2">
      <c r="A638" s="9"/>
      <c r="B638" s="8"/>
      <c r="C638" s="8"/>
      <c r="D638" s="8"/>
      <c r="E638" s="8"/>
      <c r="F638" s="11" t="str">
        <f>IFERROR(INDEX(Reference!$B$23:$B$24,MATCH(D638,Reference!$A$23:$A$24,0)),"")</f>
        <v/>
      </c>
      <c r="G638" s="11" t="str">
        <f t="shared" si="18"/>
        <v/>
      </c>
      <c r="H638" s="10" t="str">
        <f t="shared" si="19"/>
        <v/>
      </c>
    </row>
    <row r="639" spans="1:8" ht="15" customHeight="1" x14ac:dyDescent="0.2">
      <c r="A639" s="9"/>
      <c r="B639" s="8"/>
      <c r="C639" s="8"/>
      <c r="D639" s="8"/>
      <c r="E639" s="8"/>
      <c r="F639" s="11" t="str">
        <f>IFERROR(INDEX(Reference!$B$23:$B$24,MATCH(D639,Reference!$A$23:$A$24,0)),"")</f>
        <v/>
      </c>
      <c r="G639" s="11" t="str">
        <f t="shared" si="18"/>
        <v/>
      </c>
      <c r="H639" s="10" t="str">
        <f t="shared" si="19"/>
        <v/>
      </c>
    </row>
    <row r="640" spans="1:8" ht="15" customHeight="1" x14ac:dyDescent="0.2">
      <c r="A640" s="9"/>
      <c r="B640" s="8"/>
      <c r="C640" s="8"/>
      <c r="D640" s="8"/>
      <c r="E640" s="8"/>
      <c r="F640" s="11" t="str">
        <f>IFERROR(INDEX(Reference!$B$23:$B$24,MATCH(D640,Reference!$A$23:$A$24,0)),"")</f>
        <v/>
      </c>
      <c r="G640" s="11" t="str">
        <f t="shared" si="18"/>
        <v/>
      </c>
      <c r="H640" s="10" t="str">
        <f t="shared" si="19"/>
        <v/>
      </c>
    </row>
    <row r="641" spans="1:8" ht="15" customHeight="1" x14ac:dyDescent="0.2">
      <c r="A641" s="9"/>
      <c r="B641" s="8"/>
      <c r="C641" s="8"/>
      <c r="D641" s="8"/>
      <c r="E641" s="8"/>
      <c r="F641" s="11" t="str">
        <f>IFERROR(INDEX(Reference!$B$23:$B$24,MATCH(D641,Reference!$A$23:$A$24,0)),"")</f>
        <v/>
      </c>
      <c r="G641" s="11" t="str">
        <f t="shared" si="18"/>
        <v/>
      </c>
      <c r="H641" s="10" t="str">
        <f t="shared" si="19"/>
        <v/>
      </c>
    </row>
    <row r="642" spans="1:8" ht="15" customHeight="1" x14ac:dyDescent="0.2">
      <c r="A642" s="9"/>
      <c r="B642" s="8"/>
      <c r="C642" s="8"/>
      <c r="D642" s="8"/>
      <c r="E642" s="8"/>
      <c r="F642" s="11" t="str">
        <f>IFERROR(INDEX(Reference!$B$23:$B$24,MATCH(D642,Reference!$A$23:$A$24,0)),"")</f>
        <v/>
      </c>
      <c r="G642" s="11" t="str">
        <f t="shared" ref="G642:G705" si="20">IF(OR(E642="",F642=""),"",E642*F642)</f>
        <v/>
      </c>
      <c r="H642" s="10" t="str">
        <f t="shared" ref="H642:H705" si="21">IF(A642="","",IF(MONTH(A642)&gt;=8,YEAR(A642)&amp;"-"&amp;RIGHT(YEAR(A642)+1,2),YEAR(A642)-1&amp;"-"&amp;RIGHT(YEAR(A642),2)))</f>
        <v/>
      </c>
    </row>
    <row r="643" spans="1:8" ht="15" customHeight="1" x14ac:dyDescent="0.2">
      <c r="A643" s="9"/>
      <c r="B643" s="8"/>
      <c r="C643" s="8"/>
      <c r="D643" s="8"/>
      <c r="E643" s="8"/>
      <c r="F643" s="11" t="str">
        <f>IFERROR(INDEX(Reference!$B$23:$B$24,MATCH(D643,Reference!$A$23:$A$24,0)),"")</f>
        <v/>
      </c>
      <c r="G643" s="11" t="str">
        <f t="shared" si="20"/>
        <v/>
      </c>
      <c r="H643" s="10" t="str">
        <f t="shared" si="21"/>
        <v/>
      </c>
    </row>
    <row r="644" spans="1:8" ht="15" customHeight="1" x14ac:dyDescent="0.2">
      <c r="A644" s="9"/>
      <c r="B644" s="8"/>
      <c r="C644" s="8"/>
      <c r="D644" s="8"/>
      <c r="E644" s="8"/>
      <c r="F644" s="11" t="str">
        <f>IFERROR(INDEX(Reference!$B$23:$B$24,MATCH(D644,Reference!$A$23:$A$24,0)),"")</f>
        <v/>
      </c>
      <c r="G644" s="11" t="str">
        <f t="shared" si="20"/>
        <v/>
      </c>
      <c r="H644" s="10" t="str">
        <f t="shared" si="21"/>
        <v/>
      </c>
    </row>
    <row r="645" spans="1:8" ht="15" customHeight="1" x14ac:dyDescent="0.2">
      <c r="A645" s="9"/>
      <c r="B645" s="8"/>
      <c r="C645" s="8"/>
      <c r="D645" s="8"/>
      <c r="E645" s="8"/>
      <c r="F645" s="11" t="str">
        <f>IFERROR(INDEX(Reference!$B$23:$B$24,MATCH(D645,Reference!$A$23:$A$24,0)),"")</f>
        <v/>
      </c>
      <c r="G645" s="11" t="str">
        <f t="shared" si="20"/>
        <v/>
      </c>
      <c r="H645" s="10" t="str">
        <f t="shared" si="21"/>
        <v/>
      </c>
    </row>
    <row r="646" spans="1:8" ht="15" customHeight="1" x14ac:dyDescent="0.2">
      <c r="A646" s="9"/>
      <c r="B646" s="8"/>
      <c r="C646" s="8"/>
      <c r="D646" s="8"/>
      <c r="E646" s="8"/>
      <c r="F646" s="11" t="str">
        <f>IFERROR(INDEX(Reference!$B$23:$B$24,MATCH(D646,Reference!$A$23:$A$24,0)),"")</f>
        <v/>
      </c>
      <c r="G646" s="11" t="str">
        <f t="shared" si="20"/>
        <v/>
      </c>
      <c r="H646" s="10" t="str">
        <f t="shared" si="21"/>
        <v/>
      </c>
    </row>
    <row r="647" spans="1:8" ht="15" customHeight="1" x14ac:dyDescent="0.2">
      <c r="A647" s="9"/>
      <c r="B647" s="8"/>
      <c r="C647" s="8"/>
      <c r="D647" s="8"/>
      <c r="E647" s="8"/>
      <c r="F647" s="11" t="str">
        <f>IFERROR(INDEX(Reference!$B$23:$B$24,MATCH(D647,Reference!$A$23:$A$24,0)),"")</f>
        <v/>
      </c>
      <c r="G647" s="11" t="str">
        <f t="shared" si="20"/>
        <v/>
      </c>
      <c r="H647" s="10" t="str">
        <f t="shared" si="21"/>
        <v/>
      </c>
    </row>
    <row r="648" spans="1:8" ht="15" customHeight="1" x14ac:dyDescent="0.2">
      <c r="A648" s="9"/>
      <c r="B648" s="8"/>
      <c r="C648" s="8"/>
      <c r="D648" s="8"/>
      <c r="E648" s="8"/>
      <c r="F648" s="11" t="str">
        <f>IFERROR(INDEX(Reference!$B$23:$B$24,MATCH(D648,Reference!$A$23:$A$24,0)),"")</f>
        <v/>
      </c>
      <c r="G648" s="11" t="str">
        <f t="shared" si="20"/>
        <v/>
      </c>
      <c r="H648" s="10" t="str">
        <f t="shared" si="21"/>
        <v/>
      </c>
    </row>
    <row r="649" spans="1:8" ht="15" customHeight="1" x14ac:dyDescent="0.2">
      <c r="A649" s="9"/>
      <c r="B649" s="8"/>
      <c r="C649" s="8"/>
      <c r="D649" s="8"/>
      <c r="E649" s="8"/>
      <c r="F649" s="11" t="str">
        <f>IFERROR(INDEX(Reference!$B$23:$B$24,MATCH(D649,Reference!$A$23:$A$24,0)),"")</f>
        <v/>
      </c>
      <c r="G649" s="11" t="str">
        <f t="shared" si="20"/>
        <v/>
      </c>
      <c r="H649" s="10" t="str">
        <f t="shared" si="21"/>
        <v/>
      </c>
    </row>
    <row r="650" spans="1:8" ht="15" customHeight="1" x14ac:dyDescent="0.2">
      <c r="A650" s="9"/>
      <c r="B650" s="8"/>
      <c r="C650" s="8"/>
      <c r="D650" s="8"/>
      <c r="E650" s="8"/>
      <c r="F650" s="11" t="str">
        <f>IFERROR(INDEX(Reference!$B$23:$B$24,MATCH(D650,Reference!$A$23:$A$24,0)),"")</f>
        <v/>
      </c>
      <c r="G650" s="11" t="str">
        <f t="shared" si="20"/>
        <v/>
      </c>
      <c r="H650" s="10" t="str">
        <f t="shared" si="21"/>
        <v/>
      </c>
    </row>
    <row r="651" spans="1:8" ht="15" customHeight="1" x14ac:dyDescent="0.2">
      <c r="A651" s="9"/>
      <c r="B651" s="8"/>
      <c r="C651" s="8"/>
      <c r="D651" s="8"/>
      <c r="E651" s="8"/>
      <c r="F651" s="11" t="str">
        <f>IFERROR(INDEX(Reference!$B$23:$B$24,MATCH(D651,Reference!$A$23:$A$24,0)),"")</f>
        <v/>
      </c>
      <c r="G651" s="11" t="str">
        <f t="shared" si="20"/>
        <v/>
      </c>
      <c r="H651" s="10" t="str">
        <f t="shared" si="21"/>
        <v/>
      </c>
    </row>
    <row r="652" spans="1:8" ht="15" customHeight="1" x14ac:dyDescent="0.2">
      <c r="A652" s="9"/>
      <c r="B652" s="8"/>
      <c r="C652" s="8"/>
      <c r="D652" s="8"/>
      <c r="E652" s="8"/>
      <c r="F652" s="11" t="str">
        <f>IFERROR(INDEX(Reference!$B$23:$B$24,MATCH(D652,Reference!$A$23:$A$24,0)),"")</f>
        <v/>
      </c>
      <c r="G652" s="11" t="str">
        <f t="shared" si="20"/>
        <v/>
      </c>
      <c r="H652" s="10" t="str">
        <f t="shared" si="21"/>
        <v/>
      </c>
    </row>
    <row r="653" spans="1:8" ht="15" customHeight="1" x14ac:dyDescent="0.2">
      <c r="A653" s="9"/>
      <c r="B653" s="8"/>
      <c r="C653" s="8"/>
      <c r="D653" s="8"/>
      <c r="E653" s="8"/>
      <c r="F653" s="11" t="str">
        <f>IFERROR(INDEX(Reference!$B$23:$B$24,MATCH(D653,Reference!$A$23:$A$24,0)),"")</f>
        <v/>
      </c>
      <c r="G653" s="11" t="str">
        <f t="shared" si="20"/>
        <v/>
      </c>
      <c r="H653" s="10" t="str">
        <f t="shared" si="21"/>
        <v/>
      </c>
    </row>
    <row r="654" spans="1:8" ht="15" customHeight="1" x14ac:dyDescent="0.2">
      <c r="A654" s="9"/>
      <c r="B654" s="8"/>
      <c r="C654" s="8"/>
      <c r="D654" s="8"/>
      <c r="E654" s="8"/>
      <c r="F654" s="11" t="str">
        <f>IFERROR(INDEX(Reference!$B$23:$B$24,MATCH(D654,Reference!$A$23:$A$24,0)),"")</f>
        <v/>
      </c>
      <c r="G654" s="11" t="str">
        <f t="shared" si="20"/>
        <v/>
      </c>
      <c r="H654" s="10" t="str">
        <f t="shared" si="21"/>
        <v/>
      </c>
    </row>
    <row r="655" spans="1:8" ht="15" customHeight="1" x14ac:dyDescent="0.2">
      <c r="A655" s="9"/>
      <c r="B655" s="8"/>
      <c r="C655" s="8"/>
      <c r="D655" s="8"/>
      <c r="E655" s="8"/>
      <c r="F655" s="11" t="str">
        <f>IFERROR(INDEX(Reference!$B$23:$B$24,MATCH(D655,Reference!$A$23:$A$24,0)),"")</f>
        <v/>
      </c>
      <c r="G655" s="11" t="str">
        <f t="shared" si="20"/>
        <v/>
      </c>
      <c r="H655" s="10" t="str">
        <f t="shared" si="21"/>
        <v/>
      </c>
    </row>
    <row r="656" spans="1:8" ht="15" customHeight="1" x14ac:dyDescent="0.2">
      <c r="A656" s="9"/>
      <c r="B656" s="8"/>
      <c r="C656" s="8"/>
      <c r="D656" s="8"/>
      <c r="E656" s="8"/>
      <c r="F656" s="11" t="str">
        <f>IFERROR(INDEX(Reference!$B$23:$B$24,MATCH(D656,Reference!$A$23:$A$24,0)),"")</f>
        <v/>
      </c>
      <c r="G656" s="11" t="str">
        <f t="shared" si="20"/>
        <v/>
      </c>
      <c r="H656" s="10" t="str">
        <f t="shared" si="21"/>
        <v/>
      </c>
    </row>
    <row r="657" spans="1:8" ht="15" customHeight="1" x14ac:dyDescent="0.2">
      <c r="A657" s="9"/>
      <c r="B657" s="8"/>
      <c r="C657" s="8"/>
      <c r="D657" s="8"/>
      <c r="E657" s="8"/>
      <c r="F657" s="11" t="str">
        <f>IFERROR(INDEX(Reference!$B$23:$B$24,MATCH(D657,Reference!$A$23:$A$24,0)),"")</f>
        <v/>
      </c>
      <c r="G657" s="11" t="str">
        <f t="shared" si="20"/>
        <v/>
      </c>
      <c r="H657" s="10" t="str">
        <f t="shared" si="21"/>
        <v/>
      </c>
    </row>
    <row r="658" spans="1:8" ht="15" customHeight="1" x14ac:dyDescent="0.2">
      <c r="A658" s="9"/>
      <c r="B658" s="8"/>
      <c r="C658" s="8"/>
      <c r="D658" s="8"/>
      <c r="E658" s="8"/>
      <c r="F658" s="11" t="str">
        <f>IFERROR(INDEX(Reference!$B$23:$B$24,MATCH(D658,Reference!$A$23:$A$24,0)),"")</f>
        <v/>
      </c>
      <c r="G658" s="11" t="str">
        <f t="shared" si="20"/>
        <v/>
      </c>
      <c r="H658" s="10" t="str">
        <f t="shared" si="21"/>
        <v/>
      </c>
    </row>
    <row r="659" spans="1:8" ht="15" customHeight="1" x14ac:dyDescent="0.2">
      <c r="A659" s="9"/>
      <c r="B659" s="8"/>
      <c r="C659" s="8"/>
      <c r="D659" s="8"/>
      <c r="E659" s="8"/>
      <c r="F659" s="11" t="str">
        <f>IFERROR(INDEX(Reference!$B$23:$B$24,MATCH(D659,Reference!$A$23:$A$24,0)),"")</f>
        <v/>
      </c>
      <c r="G659" s="11" t="str">
        <f t="shared" si="20"/>
        <v/>
      </c>
      <c r="H659" s="10" t="str">
        <f t="shared" si="21"/>
        <v/>
      </c>
    </row>
    <row r="660" spans="1:8" ht="15" customHeight="1" x14ac:dyDescent="0.2">
      <c r="A660" s="9"/>
      <c r="B660" s="8"/>
      <c r="C660" s="8"/>
      <c r="D660" s="8"/>
      <c r="E660" s="8"/>
      <c r="F660" s="11" t="str">
        <f>IFERROR(INDEX(Reference!$B$23:$B$24,MATCH(D660,Reference!$A$23:$A$24,0)),"")</f>
        <v/>
      </c>
      <c r="G660" s="11" t="str">
        <f t="shared" si="20"/>
        <v/>
      </c>
      <c r="H660" s="10" t="str">
        <f t="shared" si="21"/>
        <v/>
      </c>
    </row>
    <row r="661" spans="1:8" ht="15" customHeight="1" x14ac:dyDescent="0.2">
      <c r="A661" s="9"/>
      <c r="B661" s="8"/>
      <c r="C661" s="8"/>
      <c r="D661" s="8"/>
      <c r="E661" s="8"/>
      <c r="F661" s="11" t="str">
        <f>IFERROR(INDEX(Reference!$B$23:$B$24,MATCH(D661,Reference!$A$23:$A$24,0)),"")</f>
        <v/>
      </c>
      <c r="G661" s="11" t="str">
        <f t="shared" si="20"/>
        <v/>
      </c>
      <c r="H661" s="10" t="str">
        <f t="shared" si="21"/>
        <v/>
      </c>
    </row>
    <row r="662" spans="1:8" ht="15" customHeight="1" x14ac:dyDescent="0.2">
      <c r="A662" s="9"/>
      <c r="B662" s="8"/>
      <c r="C662" s="8"/>
      <c r="D662" s="8"/>
      <c r="E662" s="8"/>
      <c r="F662" s="11" t="str">
        <f>IFERROR(INDEX(Reference!$B$23:$B$24,MATCH(D662,Reference!$A$23:$A$24,0)),"")</f>
        <v/>
      </c>
      <c r="G662" s="11" t="str">
        <f t="shared" si="20"/>
        <v/>
      </c>
      <c r="H662" s="10" t="str">
        <f t="shared" si="21"/>
        <v/>
      </c>
    </row>
    <row r="663" spans="1:8" ht="15" customHeight="1" x14ac:dyDescent="0.2">
      <c r="A663" s="9"/>
      <c r="B663" s="8"/>
      <c r="C663" s="8"/>
      <c r="D663" s="8"/>
      <c r="E663" s="8"/>
      <c r="F663" s="11" t="str">
        <f>IFERROR(INDEX(Reference!$B$23:$B$24,MATCH(D663,Reference!$A$23:$A$24,0)),"")</f>
        <v/>
      </c>
      <c r="G663" s="11" t="str">
        <f t="shared" si="20"/>
        <v/>
      </c>
      <c r="H663" s="10" t="str">
        <f t="shared" si="21"/>
        <v/>
      </c>
    </row>
    <row r="664" spans="1:8" ht="15" customHeight="1" x14ac:dyDescent="0.2">
      <c r="A664" s="9"/>
      <c r="B664" s="8"/>
      <c r="C664" s="8"/>
      <c r="D664" s="8"/>
      <c r="E664" s="8"/>
      <c r="F664" s="11" t="str">
        <f>IFERROR(INDEX(Reference!$B$23:$B$24,MATCH(D664,Reference!$A$23:$A$24,0)),"")</f>
        <v/>
      </c>
      <c r="G664" s="11" t="str">
        <f t="shared" si="20"/>
        <v/>
      </c>
      <c r="H664" s="10" t="str">
        <f t="shared" si="21"/>
        <v/>
      </c>
    </row>
    <row r="665" spans="1:8" ht="15" customHeight="1" x14ac:dyDescent="0.2">
      <c r="A665" s="9"/>
      <c r="B665" s="8"/>
      <c r="C665" s="8"/>
      <c r="D665" s="8"/>
      <c r="E665" s="8"/>
      <c r="F665" s="11" t="str">
        <f>IFERROR(INDEX(Reference!$B$23:$B$24,MATCH(D665,Reference!$A$23:$A$24,0)),"")</f>
        <v/>
      </c>
      <c r="G665" s="11" t="str">
        <f t="shared" si="20"/>
        <v/>
      </c>
      <c r="H665" s="10" t="str">
        <f t="shared" si="21"/>
        <v/>
      </c>
    </row>
    <row r="666" spans="1:8" ht="15" customHeight="1" x14ac:dyDescent="0.2">
      <c r="A666" s="9"/>
      <c r="B666" s="8"/>
      <c r="C666" s="8"/>
      <c r="D666" s="8"/>
      <c r="E666" s="8"/>
      <c r="F666" s="11" t="str">
        <f>IFERROR(INDEX(Reference!$B$23:$B$24,MATCH(D666,Reference!$A$23:$A$24,0)),"")</f>
        <v/>
      </c>
      <c r="G666" s="11" t="str">
        <f t="shared" si="20"/>
        <v/>
      </c>
      <c r="H666" s="10" t="str">
        <f t="shared" si="21"/>
        <v/>
      </c>
    </row>
    <row r="667" spans="1:8" ht="15" customHeight="1" x14ac:dyDescent="0.2">
      <c r="A667" s="9"/>
      <c r="B667" s="8"/>
      <c r="C667" s="8"/>
      <c r="D667" s="8"/>
      <c r="E667" s="8"/>
      <c r="F667" s="11" t="str">
        <f>IFERROR(INDEX(Reference!$B$23:$B$24,MATCH(D667,Reference!$A$23:$A$24,0)),"")</f>
        <v/>
      </c>
      <c r="G667" s="11" t="str">
        <f t="shared" si="20"/>
        <v/>
      </c>
      <c r="H667" s="10" t="str">
        <f t="shared" si="21"/>
        <v/>
      </c>
    </row>
    <row r="668" spans="1:8" ht="15" customHeight="1" x14ac:dyDescent="0.2">
      <c r="A668" s="9"/>
      <c r="B668" s="8"/>
      <c r="C668" s="8"/>
      <c r="D668" s="8"/>
      <c r="E668" s="8"/>
      <c r="F668" s="11" t="str">
        <f>IFERROR(INDEX(Reference!$B$23:$B$24,MATCH(D668,Reference!$A$23:$A$24,0)),"")</f>
        <v/>
      </c>
      <c r="G668" s="11" t="str">
        <f t="shared" si="20"/>
        <v/>
      </c>
      <c r="H668" s="10" t="str">
        <f t="shared" si="21"/>
        <v/>
      </c>
    </row>
    <row r="669" spans="1:8" ht="15" customHeight="1" x14ac:dyDescent="0.2">
      <c r="A669" s="9"/>
      <c r="B669" s="8"/>
      <c r="C669" s="8"/>
      <c r="D669" s="8"/>
      <c r="E669" s="8"/>
      <c r="F669" s="11" t="str">
        <f>IFERROR(INDEX(Reference!$B$23:$B$24,MATCH(D669,Reference!$A$23:$A$24,0)),"")</f>
        <v/>
      </c>
      <c r="G669" s="11" t="str">
        <f t="shared" si="20"/>
        <v/>
      </c>
      <c r="H669" s="10" t="str">
        <f t="shared" si="21"/>
        <v/>
      </c>
    </row>
    <row r="670" spans="1:8" ht="15" customHeight="1" x14ac:dyDescent="0.2">
      <c r="A670" s="9"/>
      <c r="B670" s="8"/>
      <c r="C670" s="8"/>
      <c r="D670" s="8"/>
      <c r="E670" s="8"/>
      <c r="F670" s="11" t="str">
        <f>IFERROR(INDEX(Reference!$B$23:$B$24,MATCH(D670,Reference!$A$23:$A$24,0)),"")</f>
        <v/>
      </c>
      <c r="G670" s="11" t="str">
        <f t="shared" si="20"/>
        <v/>
      </c>
      <c r="H670" s="10" t="str">
        <f t="shared" si="21"/>
        <v/>
      </c>
    </row>
    <row r="671" spans="1:8" ht="15" customHeight="1" x14ac:dyDescent="0.2">
      <c r="A671" s="9"/>
      <c r="B671" s="8"/>
      <c r="C671" s="8"/>
      <c r="D671" s="8"/>
      <c r="E671" s="8"/>
      <c r="F671" s="11" t="str">
        <f>IFERROR(INDEX(Reference!$B$23:$B$24,MATCH(D671,Reference!$A$23:$A$24,0)),"")</f>
        <v/>
      </c>
      <c r="G671" s="11" t="str">
        <f t="shared" si="20"/>
        <v/>
      </c>
      <c r="H671" s="10" t="str">
        <f t="shared" si="21"/>
        <v/>
      </c>
    </row>
    <row r="672" spans="1:8" ht="15" customHeight="1" x14ac:dyDescent="0.2">
      <c r="A672" s="9"/>
      <c r="B672" s="8"/>
      <c r="C672" s="8"/>
      <c r="D672" s="8"/>
      <c r="E672" s="8"/>
      <c r="F672" s="11" t="str">
        <f>IFERROR(INDEX(Reference!$B$23:$B$24,MATCH(D672,Reference!$A$23:$A$24,0)),"")</f>
        <v/>
      </c>
      <c r="G672" s="11" t="str">
        <f t="shared" si="20"/>
        <v/>
      </c>
      <c r="H672" s="10" t="str">
        <f t="shared" si="21"/>
        <v/>
      </c>
    </row>
    <row r="673" spans="1:8" ht="15" customHeight="1" x14ac:dyDescent="0.2">
      <c r="A673" s="9"/>
      <c r="B673" s="8"/>
      <c r="C673" s="8"/>
      <c r="D673" s="8"/>
      <c r="E673" s="8"/>
      <c r="F673" s="11" t="str">
        <f>IFERROR(INDEX(Reference!$B$23:$B$24,MATCH(D673,Reference!$A$23:$A$24,0)),"")</f>
        <v/>
      </c>
      <c r="G673" s="11" t="str">
        <f t="shared" si="20"/>
        <v/>
      </c>
      <c r="H673" s="10" t="str">
        <f t="shared" si="21"/>
        <v/>
      </c>
    </row>
    <row r="674" spans="1:8" ht="15" customHeight="1" x14ac:dyDescent="0.2">
      <c r="A674" s="9"/>
      <c r="B674" s="8"/>
      <c r="C674" s="8"/>
      <c r="D674" s="8"/>
      <c r="E674" s="8"/>
      <c r="F674" s="11" t="str">
        <f>IFERROR(INDEX(Reference!$B$23:$B$24,MATCH(D674,Reference!$A$23:$A$24,0)),"")</f>
        <v/>
      </c>
      <c r="G674" s="11" t="str">
        <f t="shared" si="20"/>
        <v/>
      </c>
      <c r="H674" s="10" t="str">
        <f t="shared" si="21"/>
        <v/>
      </c>
    </row>
    <row r="675" spans="1:8" ht="15" customHeight="1" x14ac:dyDescent="0.2">
      <c r="A675" s="9"/>
      <c r="B675" s="8"/>
      <c r="C675" s="8"/>
      <c r="D675" s="8"/>
      <c r="E675" s="8"/>
      <c r="F675" s="11" t="str">
        <f>IFERROR(INDEX(Reference!$B$23:$B$24,MATCH(D675,Reference!$A$23:$A$24,0)),"")</f>
        <v/>
      </c>
      <c r="G675" s="11" t="str">
        <f t="shared" si="20"/>
        <v/>
      </c>
      <c r="H675" s="10" t="str">
        <f t="shared" si="21"/>
        <v/>
      </c>
    </row>
    <row r="676" spans="1:8" ht="15" customHeight="1" x14ac:dyDescent="0.2">
      <c r="A676" s="9"/>
      <c r="B676" s="8"/>
      <c r="C676" s="8"/>
      <c r="D676" s="8"/>
      <c r="E676" s="8"/>
      <c r="F676" s="11" t="str">
        <f>IFERROR(INDEX(Reference!$B$23:$B$24,MATCH(D676,Reference!$A$23:$A$24,0)),"")</f>
        <v/>
      </c>
      <c r="G676" s="11" t="str">
        <f t="shared" si="20"/>
        <v/>
      </c>
      <c r="H676" s="10" t="str">
        <f t="shared" si="21"/>
        <v/>
      </c>
    </row>
    <row r="677" spans="1:8" ht="15" customHeight="1" x14ac:dyDescent="0.2">
      <c r="A677" s="9"/>
      <c r="B677" s="8"/>
      <c r="C677" s="8"/>
      <c r="D677" s="8"/>
      <c r="E677" s="8"/>
      <c r="F677" s="11" t="str">
        <f>IFERROR(INDEX(Reference!$B$23:$B$24,MATCH(D677,Reference!$A$23:$A$24,0)),"")</f>
        <v/>
      </c>
      <c r="G677" s="11" t="str">
        <f t="shared" si="20"/>
        <v/>
      </c>
      <c r="H677" s="10" t="str">
        <f t="shared" si="21"/>
        <v/>
      </c>
    </row>
    <row r="678" spans="1:8" ht="15" customHeight="1" x14ac:dyDescent="0.2">
      <c r="A678" s="9"/>
      <c r="B678" s="8"/>
      <c r="C678" s="8"/>
      <c r="D678" s="8"/>
      <c r="E678" s="8"/>
      <c r="F678" s="11" t="str">
        <f>IFERROR(INDEX(Reference!$B$23:$B$24,MATCH(D678,Reference!$A$23:$A$24,0)),"")</f>
        <v/>
      </c>
      <c r="G678" s="11" t="str">
        <f t="shared" si="20"/>
        <v/>
      </c>
      <c r="H678" s="10" t="str">
        <f t="shared" si="21"/>
        <v/>
      </c>
    </row>
    <row r="679" spans="1:8" ht="15" customHeight="1" x14ac:dyDescent="0.2">
      <c r="A679" s="9"/>
      <c r="B679" s="8"/>
      <c r="C679" s="8"/>
      <c r="D679" s="8"/>
      <c r="E679" s="8"/>
      <c r="F679" s="11" t="str">
        <f>IFERROR(INDEX(Reference!$B$23:$B$24,MATCH(D679,Reference!$A$23:$A$24,0)),"")</f>
        <v/>
      </c>
      <c r="G679" s="11" t="str">
        <f t="shared" si="20"/>
        <v/>
      </c>
      <c r="H679" s="10" t="str">
        <f t="shared" si="21"/>
        <v/>
      </c>
    </row>
    <row r="680" spans="1:8" ht="15" customHeight="1" x14ac:dyDescent="0.2">
      <c r="A680" s="9"/>
      <c r="B680" s="8"/>
      <c r="C680" s="8"/>
      <c r="D680" s="8"/>
      <c r="E680" s="8"/>
      <c r="F680" s="11" t="str">
        <f>IFERROR(INDEX(Reference!$B$23:$B$24,MATCH(D680,Reference!$A$23:$A$24,0)),"")</f>
        <v/>
      </c>
      <c r="G680" s="11" t="str">
        <f t="shared" si="20"/>
        <v/>
      </c>
      <c r="H680" s="10" t="str">
        <f t="shared" si="21"/>
        <v/>
      </c>
    </row>
    <row r="681" spans="1:8" ht="15" customHeight="1" x14ac:dyDescent="0.2">
      <c r="A681" s="9"/>
      <c r="B681" s="8"/>
      <c r="C681" s="8"/>
      <c r="D681" s="8"/>
      <c r="E681" s="8"/>
      <c r="F681" s="11" t="str">
        <f>IFERROR(INDEX(Reference!$B$23:$B$24,MATCH(D681,Reference!$A$23:$A$24,0)),"")</f>
        <v/>
      </c>
      <c r="G681" s="11" t="str">
        <f t="shared" si="20"/>
        <v/>
      </c>
      <c r="H681" s="10" t="str">
        <f t="shared" si="21"/>
        <v/>
      </c>
    </row>
    <row r="682" spans="1:8" ht="15" customHeight="1" x14ac:dyDescent="0.2">
      <c r="A682" s="9"/>
      <c r="B682" s="8"/>
      <c r="C682" s="8"/>
      <c r="D682" s="8"/>
      <c r="E682" s="8"/>
      <c r="F682" s="11" t="str">
        <f>IFERROR(INDEX(Reference!$B$23:$B$24,MATCH(D682,Reference!$A$23:$A$24,0)),"")</f>
        <v/>
      </c>
      <c r="G682" s="11" t="str">
        <f t="shared" si="20"/>
        <v/>
      </c>
      <c r="H682" s="10" t="str">
        <f t="shared" si="21"/>
        <v/>
      </c>
    </row>
    <row r="683" spans="1:8" ht="15" customHeight="1" x14ac:dyDescent="0.2">
      <c r="A683" s="9"/>
      <c r="B683" s="8"/>
      <c r="C683" s="8"/>
      <c r="D683" s="8"/>
      <c r="E683" s="8"/>
      <c r="F683" s="11" t="str">
        <f>IFERROR(INDEX(Reference!$B$23:$B$24,MATCH(D683,Reference!$A$23:$A$24,0)),"")</f>
        <v/>
      </c>
      <c r="G683" s="11" t="str">
        <f t="shared" si="20"/>
        <v/>
      </c>
      <c r="H683" s="10" t="str">
        <f t="shared" si="21"/>
        <v/>
      </c>
    </row>
    <row r="684" spans="1:8" ht="15" customHeight="1" x14ac:dyDescent="0.2">
      <c r="A684" s="9"/>
      <c r="B684" s="8"/>
      <c r="C684" s="8"/>
      <c r="D684" s="8"/>
      <c r="E684" s="8"/>
      <c r="F684" s="11" t="str">
        <f>IFERROR(INDEX(Reference!$B$23:$B$24,MATCH(D684,Reference!$A$23:$A$24,0)),"")</f>
        <v/>
      </c>
      <c r="G684" s="11" t="str">
        <f t="shared" si="20"/>
        <v/>
      </c>
      <c r="H684" s="10" t="str">
        <f t="shared" si="21"/>
        <v/>
      </c>
    </row>
    <row r="685" spans="1:8" ht="15" customHeight="1" x14ac:dyDescent="0.2">
      <c r="A685" s="9"/>
      <c r="B685" s="8"/>
      <c r="C685" s="8"/>
      <c r="D685" s="8"/>
      <c r="E685" s="8"/>
      <c r="F685" s="11" t="str">
        <f>IFERROR(INDEX(Reference!$B$23:$B$24,MATCH(D685,Reference!$A$23:$A$24,0)),"")</f>
        <v/>
      </c>
      <c r="G685" s="11" t="str">
        <f t="shared" si="20"/>
        <v/>
      </c>
      <c r="H685" s="10" t="str">
        <f t="shared" si="21"/>
        <v/>
      </c>
    </row>
    <row r="686" spans="1:8" ht="15" customHeight="1" x14ac:dyDescent="0.2">
      <c r="A686" s="9"/>
      <c r="B686" s="8"/>
      <c r="C686" s="8"/>
      <c r="D686" s="8"/>
      <c r="E686" s="8"/>
      <c r="F686" s="11" t="str">
        <f>IFERROR(INDEX(Reference!$B$23:$B$24,MATCH(D686,Reference!$A$23:$A$24,0)),"")</f>
        <v/>
      </c>
      <c r="G686" s="11" t="str">
        <f t="shared" si="20"/>
        <v/>
      </c>
      <c r="H686" s="10" t="str">
        <f t="shared" si="21"/>
        <v/>
      </c>
    </row>
    <row r="687" spans="1:8" ht="15" customHeight="1" x14ac:dyDescent="0.2">
      <c r="A687" s="9"/>
      <c r="B687" s="8"/>
      <c r="C687" s="8"/>
      <c r="D687" s="8"/>
      <c r="E687" s="8"/>
      <c r="F687" s="11" t="str">
        <f>IFERROR(INDEX(Reference!$B$23:$B$24,MATCH(D687,Reference!$A$23:$A$24,0)),"")</f>
        <v/>
      </c>
      <c r="G687" s="11" t="str">
        <f t="shared" si="20"/>
        <v/>
      </c>
      <c r="H687" s="10" t="str">
        <f t="shared" si="21"/>
        <v/>
      </c>
    </row>
    <row r="688" spans="1:8" ht="15" customHeight="1" x14ac:dyDescent="0.2">
      <c r="A688" s="9"/>
      <c r="B688" s="8"/>
      <c r="C688" s="8"/>
      <c r="D688" s="8"/>
      <c r="E688" s="8"/>
      <c r="F688" s="11" t="str">
        <f>IFERROR(INDEX(Reference!$B$23:$B$24,MATCH(D688,Reference!$A$23:$A$24,0)),"")</f>
        <v/>
      </c>
      <c r="G688" s="11" t="str">
        <f t="shared" si="20"/>
        <v/>
      </c>
      <c r="H688" s="10" t="str">
        <f t="shared" si="21"/>
        <v/>
      </c>
    </row>
    <row r="689" spans="1:8" ht="15" customHeight="1" x14ac:dyDescent="0.2">
      <c r="A689" s="9"/>
      <c r="B689" s="8"/>
      <c r="C689" s="8"/>
      <c r="D689" s="8"/>
      <c r="E689" s="8"/>
      <c r="F689" s="11" t="str">
        <f>IFERROR(INDEX(Reference!$B$23:$B$24,MATCH(D689,Reference!$A$23:$A$24,0)),"")</f>
        <v/>
      </c>
      <c r="G689" s="11" t="str">
        <f t="shared" si="20"/>
        <v/>
      </c>
      <c r="H689" s="10" t="str">
        <f t="shared" si="21"/>
        <v/>
      </c>
    </row>
    <row r="690" spans="1:8" ht="15" customHeight="1" x14ac:dyDescent="0.2">
      <c r="A690" s="9"/>
      <c r="B690" s="8"/>
      <c r="C690" s="8"/>
      <c r="D690" s="8"/>
      <c r="E690" s="8"/>
      <c r="F690" s="11" t="str">
        <f>IFERROR(INDEX(Reference!$B$23:$B$24,MATCH(D690,Reference!$A$23:$A$24,0)),"")</f>
        <v/>
      </c>
      <c r="G690" s="11" t="str">
        <f t="shared" si="20"/>
        <v/>
      </c>
      <c r="H690" s="10" t="str">
        <f t="shared" si="21"/>
        <v/>
      </c>
    </row>
    <row r="691" spans="1:8" ht="15" customHeight="1" x14ac:dyDescent="0.2">
      <c r="A691" s="9"/>
      <c r="B691" s="8"/>
      <c r="C691" s="8"/>
      <c r="D691" s="8"/>
      <c r="E691" s="8"/>
      <c r="F691" s="11" t="str">
        <f>IFERROR(INDEX(Reference!$B$23:$B$24,MATCH(D691,Reference!$A$23:$A$24,0)),"")</f>
        <v/>
      </c>
      <c r="G691" s="11" t="str">
        <f t="shared" si="20"/>
        <v/>
      </c>
      <c r="H691" s="10" t="str">
        <f t="shared" si="21"/>
        <v/>
      </c>
    </row>
    <row r="692" spans="1:8" ht="15" customHeight="1" x14ac:dyDescent="0.2">
      <c r="A692" s="9"/>
      <c r="B692" s="8"/>
      <c r="C692" s="8"/>
      <c r="D692" s="8"/>
      <c r="E692" s="8"/>
      <c r="F692" s="11" t="str">
        <f>IFERROR(INDEX(Reference!$B$23:$B$24,MATCH(D692,Reference!$A$23:$A$24,0)),"")</f>
        <v/>
      </c>
      <c r="G692" s="11" t="str">
        <f t="shared" si="20"/>
        <v/>
      </c>
      <c r="H692" s="10" t="str">
        <f t="shared" si="21"/>
        <v/>
      </c>
    </row>
    <row r="693" spans="1:8" ht="15" customHeight="1" x14ac:dyDescent="0.2">
      <c r="A693" s="9"/>
      <c r="B693" s="8"/>
      <c r="C693" s="8"/>
      <c r="D693" s="8"/>
      <c r="E693" s="8"/>
      <c r="F693" s="11" t="str">
        <f>IFERROR(INDEX(Reference!$B$23:$B$24,MATCH(D693,Reference!$A$23:$A$24,0)),"")</f>
        <v/>
      </c>
      <c r="G693" s="11" t="str">
        <f t="shared" si="20"/>
        <v/>
      </c>
      <c r="H693" s="10" t="str">
        <f t="shared" si="21"/>
        <v/>
      </c>
    </row>
    <row r="694" spans="1:8" ht="15" customHeight="1" x14ac:dyDescent="0.2">
      <c r="A694" s="9"/>
      <c r="B694" s="8"/>
      <c r="C694" s="8"/>
      <c r="D694" s="8"/>
      <c r="E694" s="8"/>
      <c r="F694" s="11" t="str">
        <f>IFERROR(INDEX(Reference!$B$23:$B$24,MATCH(D694,Reference!$A$23:$A$24,0)),"")</f>
        <v/>
      </c>
      <c r="G694" s="11" t="str">
        <f t="shared" si="20"/>
        <v/>
      </c>
      <c r="H694" s="10" t="str">
        <f t="shared" si="21"/>
        <v/>
      </c>
    </row>
    <row r="695" spans="1:8" ht="15" customHeight="1" x14ac:dyDescent="0.2">
      <c r="A695" s="9"/>
      <c r="B695" s="8"/>
      <c r="C695" s="8"/>
      <c r="D695" s="8"/>
      <c r="E695" s="8"/>
      <c r="F695" s="11" t="str">
        <f>IFERROR(INDEX(Reference!$B$23:$B$24,MATCH(D695,Reference!$A$23:$A$24,0)),"")</f>
        <v/>
      </c>
      <c r="G695" s="11" t="str">
        <f t="shared" si="20"/>
        <v/>
      </c>
      <c r="H695" s="10" t="str">
        <f t="shared" si="21"/>
        <v/>
      </c>
    </row>
    <row r="696" spans="1:8" ht="15" customHeight="1" x14ac:dyDescent="0.2">
      <c r="A696" s="9"/>
      <c r="B696" s="8"/>
      <c r="C696" s="8"/>
      <c r="D696" s="8"/>
      <c r="E696" s="8"/>
      <c r="F696" s="11" t="str">
        <f>IFERROR(INDEX(Reference!$B$23:$B$24,MATCH(D696,Reference!$A$23:$A$24,0)),"")</f>
        <v/>
      </c>
      <c r="G696" s="11" t="str">
        <f t="shared" si="20"/>
        <v/>
      </c>
      <c r="H696" s="10" t="str">
        <f t="shared" si="21"/>
        <v/>
      </c>
    </row>
    <row r="697" spans="1:8" ht="15" customHeight="1" x14ac:dyDescent="0.2">
      <c r="A697" s="9"/>
      <c r="B697" s="8"/>
      <c r="C697" s="8"/>
      <c r="D697" s="8"/>
      <c r="E697" s="8"/>
      <c r="F697" s="11" t="str">
        <f>IFERROR(INDEX(Reference!$B$23:$B$24,MATCH(D697,Reference!$A$23:$A$24,0)),"")</f>
        <v/>
      </c>
      <c r="G697" s="11" t="str">
        <f t="shared" si="20"/>
        <v/>
      </c>
      <c r="H697" s="10" t="str">
        <f t="shared" si="21"/>
        <v/>
      </c>
    </row>
    <row r="698" spans="1:8" ht="15" customHeight="1" x14ac:dyDescent="0.2">
      <c r="A698" s="9"/>
      <c r="B698" s="8"/>
      <c r="C698" s="8"/>
      <c r="D698" s="8"/>
      <c r="E698" s="8"/>
      <c r="F698" s="11" t="str">
        <f>IFERROR(INDEX(Reference!$B$23:$B$24,MATCH(D698,Reference!$A$23:$A$24,0)),"")</f>
        <v/>
      </c>
      <c r="G698" s="11" t="str">
        <f t="shared" si="20"/>
        <v/>
      </c>
      <c r="H698" s="10" t="str">
        <f t="shared" si="21"/>
        <v/>
      </c>
    </row>
    <row r="699" spans="1:8" ht="15" customHeight="1" x14ac:dyDescent="0.2">
      <c r="A699" s="9"/>
      <c r="B699" s="8"/>
      <c r="C699" s="8"/>
      <c r="D699" s="8"/>
      <c r="E699" s="8"/>
      <c r="F699" s="11" t="str">
        <f>IFERROR(INDEX(Reference!$B$23:$B$24,MATCH(D699,Reference!$A$23:$A$24,0)),"")</f>
        <v/>
      </c>
      <c r="G699" s="11" t="str">
        <f t="shared" si="20"/>
        <v/>
      </c>
      <c r="H699" s="10" t="str">
        <f t="shared" si="21"/>
        <v/>
      </c>
    </row>
    <row r="700" spans="1:8" ht="15" customHeight="1" x14ac:dyDescent="0.2">
      <c r="A700" s="9"/>
      <c r="B700" s="8"/>
      <c r="C700" s="8"/>
      <c r="D700" s="8"/>
      <c r="E700" s="8"/>
      <c r="F700" s="11" t="str">
        <f>IFERROR(INDEX(Reference!$B$23:$B$24,MATCH(D700,Reference!$A$23:$A$24,0)),"")</f>
        <v/>
      </c>
      <c r="G700" s="11" t="str">
        <f t="shared" si="20"/>
        <v/>
      </c>
      <c r="H700" s="10" t="str">
        <f t="shared" si="21"/>
        <v/>
      </c>
    </row>
    <row r="701" spans="1:8" ht="15" customHeight="1" x14ac:dyDescent="0.2">
      <c r="A701" s="9"/>
      <c r="B701" s="8"/>
      <c r="C701" s="8"/>
      <c r="D701" s="8"/>
      <c r="E701" s="8"/>
      <c r="F701" s="11" t="str">
        <f>IFERROR(INDEX(Reference!$B$23:$B$24,MATCH(D701,Reference!$A$23:$A$24,0)),"")</f>
        <v/>
      </c>
      <c r="G701" s="11" t="str">
        <f t="shared" si="20"/>
        <v/>
      </c>
      <c r="H701" s="10" t="str">
        <f t="shared" si="21"/>
        <v/>
      </c>
    </row>
    <row r="702" spans="1:8" ht="15" customHeight="1" x14ac:dyDescent="0.2">
      <c r="A702" s="9"/>
      <c r="B702" s="8"/>
      <c r="C702" s="8"/>
      <c r="D702" s="8"/>
      <c r="E702" s="8"/>
      <c r="F702" s="11" t="str">
        <f>IFERROR(INDEX(Reference!$B$23:$B$24,MATCH(D702,Reference!$A$23:$A$24,0)),"")</f>
        <v/>
      </c>
      <c r="G702" s="11" t="str">
        <f t="shared" si="20"/>
        <v/>
      </c>
      <c r="H702" s="10" t="str">
        <f t="shared" si="21"/>
        <v/>
      </c>
    </row>
    <row r="703" spans="1:8" ht="15" customHeight="1" x14ac:dyDescent="0.2">
      <c r="A703" s="9"/>
      <c r="B703" s="8"/>
      <c r="C703" s="8"/>
      <c r="D703" s="8"/>
      <c r="E703" s="8"/>
      <c r="F703" s="11" t="str">
        <f>IFERROR(INDEX(Reference!$B$23:$B$24,MATCH(D703,Reference!$A$23:$A$24,0)),"")</f>
        <v/>
      </c>
      <c r="G703" s="11" t="str">
        <f t="shared" si="20"/>
        <v/>
      </c>
      <c r="H703" s="10" t="str">
        <f t="shared" si="21"/>
        <v/>
      </c>
    </row>
    <row r="704" spans="1:8" ht="15" customHeight="1" x14ac:dyDescent="0.2">
      <c r="A704" s="9"/>
      <c r="B704" s="8"/>
      <c r="C704" s="8"/>
      <c r="D704" s="8"/>
      <c r="E704" s="8"/>
      <c r="F704" s="11" t="str">
        <f>IFERROR(INDEX(Reference!$B$23:$B$24,MATCH(D704,Reference!$A$23:$A$24,0)),"")</f>
        <v/>
      </c>
      <c r="G704" s="11" t="str">
        <f t="shared" si="20"/>
        <v/>
      </c>
      <c r="H704" s="10" t="str">
        <f t="shared" si="21"/>
        <v/>
      </c>
    </row>
    <row r="705" spans="1:8" ht="15" customHeight="1" x14ac:dyDescent="0.2">
      <c r="A705" s="9"/>
      <c r="B705" s="8"/>
      <c r="C705" s="8"/>
      <c r="D705" s="8"/>
      <c r="E705" s="8"/>
      <c r="F705" s="11" t="str">
        <f>IFERROR(INDEX(Reference!$B$23:$B$24,MATCH(D705,Reference!$A$23:$A$24,0)),"")</f>
        <v/>
      </c>
      <c r="G705" s="11" t="str">
        <f t="shared" si="20"/>
        <v/>
      </c>
      <c r="H705" s="10" t="str">
        <f t="shared" si="21"/>
        <v/>
      </c>
    </row>
    <row r="706" spans="1:8" ht="15" customHeight="1" x14ac:dyDescent="0.2">
      <c r="A706" s="9"/>
      <c r="B706" s="8"/>
      <c r="C706" s="8"/>
      <c r="D706" s="8"/>
      <c r="E706" s="8"/>
      <c r="F706" s="11" t="str">
        <f>IFERROR(INDEX(Reference!$B$23:$B$24,MATCH(D706,Reference!$A$23:$A$24,0)),"")</f>
        <v/>
      </c>
      <c r="G706" s="11" t="str">
        <f t="shared" ref="G706:G769" si="22">IF(OR(E706="",F706=""),"",E706*F706)</f>
        <v/>
      </c>
      <c r="H706" s="10" t="str">
        <f t="shared" ref="H706:H769" si="23">IF(A706="","",IF(MONTH(A706)&gt;=8,YEAR(A706)&amp;"-"&amp;RIGHT(YEAR(A706)+1,2),YEAR(A706)-1&amp;"-"&amp;RIGHT(YEAR(A706),2)))</f>
        <v/>
      </c>
    </row>
    <row r="707" spans="1:8" ht="15" customHeight="1" x14ac:dyDescent="0.2">
      <c r="A707" s="9"/>
      <c r="B707" s="8"/>
      <c r="C707" s="8"/>
      <c r="D707" s="8"/>
      <c r="E707" s="8"/>
      <c r="F707" s="11" t="str">
        <f>IFERROR(INDEX(Reference!$B$23:$B$24,MATCH(D707,Reference!$A$23:$A$24,0)),"")</f>
        <v/>
      </c>
      <c r="G707" s="11" t="str">
        <f t="shared" si="22"/>
        <v/>
      </c>
      <c r="H707" s="10" t="str">
        <f t="shared" si="23"/>
        <v/>
      </c>
    </row>
    <row r="708" spans="1:8" ht="15" customHeight="1" x14ac:dyDescent="0.2">
      <c r="A708" s="9"/>
      <c r="B708" s="8"/>
      <c r="C708" s="8"/>
      <c r="D708" s="8"/>
      <c r="E708" s="8"/>
      <c r="F708" s="11" t="str">
        <f>IFERROR(INDEX(Reference!$B$23:$B$24,MATCH(D708,Reference!$A$23:$A$24,0)),"")</f>
        <v/>
      </c>
      <c r="G708" s="11" t="str">
        <f t="shared" si="22"/>
        <v/>
      </c>
      <c r="H708" s="10" t="str">
        <f t="shared" si="23"/>
        <v/>
      </c>
    </row>
    <row r="709" spans="1:8" ht="15" customHeight="1" x14ac:dyDescent="0.2">
      <c r="A709" s="9"/>
      <c r="B709" s="8"/>
      <c r="C709" s="8"/>
      <c r="D709" s="8"/>
      <c r="E709" s="8"/>
      <c r="F709" s="11" t="str">
        <f>IFERROR(INDEX(Reference!$B$23:$B$24,MATCH(D709,Reference!$A$23:$A$24,0)),"")</f>
        <v/>
      </c>
      <c r="G709" s="11" t="str">
        <f t="shared" si="22"/>
        <v/>
      </c>
      <c r="H709" s="10" t="str">
        <f t="shared" si="23"/>
        <v/>
      </c>
    </row>
    <row r="710" spans="1:8" ht="15" customHeight="1" x14ac:dyDescent="0.2">
      <c r="A710" s="9"/>
      <c r="B710" s="8"/>
      <c r="C710" s="8"/>
      <c r="D710" s="8"/>
      <c r="E710" s="8"/>
      <c r="F710" s="11" t="str">
        <f>IFERROR(INDEX(Reference!$B$23:$B$24,MATCH(D710,Reference!$A$23:$A$24,0)),"")</f>
        <v/>
      </c>
      <c r="G710" s="11" t="str">
        <f t="shared" si="22"/>
        <v/>
      </c>
      <c r="H710" s="10" t="str">
        <f t="shared" si="23"/>
        <v/>
      </c>
    </row>
    <row r="711" spans="1:8" ht="15" customHeight="1" x14ac:dyDescent="0.2">
      <c r="A711" s="9"/>
      <c r="B711" s="8"/>
      <c r="C711" s="8"/>
      <c r="D711" s="8"/>
      <c r="E711" s="8"/>
      <c r="F711" s="11" t="str">
        <f>IFERROR(INDEX(Reference!$B$23:$B$24,MATCH(D711,Reference!$A$23:$A$24,0)),"")</f>
        <v/>
      </c>
      <c r="G711" s="11" t="str">
        <f t="shared" si="22"/>
        <v/>
      </c>
      <c r="H711" s="10" t="str">
        <f t="shared" si="23"/>
        <v/>
      </c>
    </row>
    <row r="712" spans="1:8" ht="15" customHeight="1" x14ac:dyDescent="0.2">
      <c r="A712" s="9"/>
      <c r="B712" s="8"/>
      <c r="C712" s="8"/>
      <c r="D712" s="8"/>
      <c r="E712" s="8"/>
      <c r="F712" s="11" t="str">
        <f>IFERROR(INDEX(Reference!$B$23:$B$24,MATCH(D712,Reference!$A$23:$A$24,0)),"")</f>
        <v/>
      </c>
      <c r="G712" s="11" t="str">
        <f t="shared" si="22"/>
        <v/>
      </c>
      <c r="H712" s="10" t="str">
        <f t="shared" si="23"/>
        <v/>
      </c>
    </row>
    <row r="713" spans="1:8" ht="15" customHeight="1" x14ac:dyDescent="0.2">
      <c r="A713" s="9"/>
      <c r="B713" s="8"/>
      <c r="C713" s="8"/>
      <c r="D713" s="8"/>
      <c r="E713" s="8"/>
      <c r="F713" s="11" t="str">
        <f>IFERROR(INDEX(Reference!$B$23:$B$24,MATCH(D713,Reference!$A$23:$A$24,0)),"")</f>
        <v/>
      </c>
      <c r="G713" s="11" t="str">
        <f t="shared" si="22"/>
        <v/>
      </c>
      <c r="H713" s="10" t="str">
        <f t="shared" si="23"/>
        <v/>
      </c>
    </row>
    <row r="714" spans="1:8" ht="15" customHeight="1" x14ac:dyDescent="0.2">
      <c r="A714" s="9"/>
      <c r="B714" s="8"/>
      <c r="C714" s="8"/>
      <c r="D714" s="8"/>
      <c r="E714" s="8"/>
      <c r="F714" s="11" t="str">
        <f>IFERROR(INDEX(Reference!$B$23:$B$24,MATCH(D714,Reference!$A$23:$A$24,0)),"")</f>
        <v/>
      </c>
      <c r="G714" s="11" t="str">
        <f t="shared" si="22"/>
        <v/>
      </c>
      <c r="H714" s="10" t="str">
        <f t="shared" si="23"/>
        <v/>
      </c>
    </row>
    <row r="715" spans="1:8" ht="15" customHeight="1" x14ac:dyDescent="0.2">
      <c r="A715" s="9"/>
      <c r="B715" s="8"/>
      <c r="C715" s="8"/>
      <c r="D715" s="8"/>
      <c r="E715" s="8"/>
      <c r="F715" s="11" t="str">
        <f>IFERROR(INDEX(Reference!$B$23:$B$24,MATCH(D715,Reference!$A$23:$A$24,0)),"")</f>
        <v/>
      </c>
      <c r="G715" s="11" t="str">
        <f t="shared" si="22"/>
        <v/>
      </c>
      <c r="H715" s="10" t="str">
        <f t="shared" si="23"/>
        <v/>
      </c>
    </row>
    <row r="716" spans="1:8" ht="15" customHeight="1" x14ac:dyDescent="0.2">
      <c r="A716" s="9"/>
      <c r="B716" s="8"/>
      <c r="C716" s="8"/>
      <c r="D716" s="8"/>
      <c r="E716" s="8"/>
      <c r="F716" s="11" t="str">
        <f>IFERROR(INDEX(Reference!$B$23:$B$24,MATCH(D716,Reference!$A$23:$A$24,0)),"")</f>
        <v/>
      </c>
      <c r="G716" s="11" t="str">
        <f t="shared" si="22"/>
        <v/>
      </c>
      <c r="H716" s="10" t="str">
        <f t="shared" si="23"/>
        <v/>
      </c>
    </row>
    <row r="717" spans="1:8" ht="15" customHeight="1" x14ac:dyDescent="0.2">
      <c r="A717" s="9"/>
      <c r="B717" s="8"/>
      <c r="C717" s="8"/>
      <c r="D717" s="8"/>
      <c r="E717" s="8"/>
      <c r="F717" s="11" t="str">
        <f>IFERROR(INDEX(Reference!$B$23:$B$24,MATCH(D717,Reference!$A$23:$A$24,0)),"")</f>
        <v/>
      </c>
      <c r="G717" s="11" t="str">
        <f t="shared" si="22"/>
        <v/>
      </c>
      <c r="H717" s="10" t="str">
        <f t="shared" si="23"/>
        <v/>
      </c>
    </row>
    <row r="718" spans="1:8" ht="15" customHeight="1" x14ac:dyDescent="0.2">
      <c r="A718" s="9"/>
      <c r="B718" s="8"/>
      <c r="C718" s="8"/>
      <c r="D718" s="8"/>
      <c r="E718" s="8"/>
      <c r="F718" s="11" t="str">
        <f>IFERROR(INDEX(Reference!$B$23:$B$24,MATCH(D718,Reference!$A$23:$A$24,0)),"")</f>
        <v/>
      </c>
      <c r="G718" s="11" t="str">
        <f t="shared" si="22"/>
        <v/>
      </c>
      <c r="H718" s="10" t="str">
        <f t="shared" si="23"/>
        <v/>
      </c>
    </row>
    <row r="719" spans="1:8" ht="15" customHeight="1" x14ac:dyDescent="0.2">
      <c r="A719" s="9"/>
      <c r="B719" s="8"/>
      <c r="C719" s="8"/>
      <c r="D719" s="8"/>
      <c r="E719" s="8"/>
      <c r="F719" s="11" t="str">
        <f>IFERROR(INDEX(Reference!$B$23:$B$24,MATCH(D719,Reference!$A$23:$A$24,0)),"")</f>
        <v/>
      </c>
      <c r="G719" s="11" t="str">
        <f t="shared" si="22"/>
        <v/>
      </c>
      <c r="H719" s="10" t="str">
        <f t="shared" si="23"/>
        <v/>
      </c>
    </row>
    <row r="720" spans="1:8" ht="15" customHeight="1" x14ac:dyDescent="0.2">
      <c r="A720" s="9"/>
      <c r="B720" s="8"/>
      <c r="C720" s="8"/>
      <c r="D720" s="8"/>
      <c r="E720" s="8"/>
      <c r="F720" s="11" t="str">
        <f>IFERROR(INDEX(Reference!$B$23:$B$24,MATCH(D720,Reference!$A$23:$A$24,0)),"")</f>
        <v/>
      </c>
      <c r="G720" s="11" t="str">
        <f t="shared" si="22"/>
        <v/>
      </c>
      <c r="H720" s="10" t="str">
        <f t="shared" si="23"/>
        <v/>
      </c>
    </row>
    <row r="721" spans="1:8" ht="15" customHeight="1" x14ac:dyDescent="0.2">
      <c r="A721" s="9"/>
      <c r="B721" s="8"/>
      <c r="C721" s="8"/>
      <c r="D721" s="8"/>
      <c r="E721" s="8"/>
      <c r="F721" s="11" t="str">
        <f>IFERROR(INDEX(Reference!$B$23:$B$24,MATCH(D721,Reference!$A$23:$A$24,0)),"")</f>
        <v/>
      </c>
      <c r="G721" s="11" t="str">
        <f t="shared" si="22"/>
        <v/>
      </c>
      <c r="H721" s="10" t="str">
        <f t="shared" si="23"/>
        <v/>
      </c>
    </row>
    <row r="722" spans="1:8" ht="15" customHeight="1" x14ac:dyDescent="0.2">
      <c r="A722" s="9"/>
      <c r="B722" s="8"/>
      <c r="C722" s="8"/>
      <c r="D722" s="8"/>
      <c r="E722" s="8"/>
      <c r="F722" s="11" t="str">
        <f>IFERROR(INDEX(Reference!$B$23:$B$24,MATCH(D722,Reference!$A$23:$A$24,0)),"")</f>
        <v/>
      </c>
      <c r="G722" s="11" t="str">
        <f t="shared" si="22"/>
        <v/>
      </c>
      <c r="H722" s="10" t="str">
        <f t="shared" si="23"/>
        <v/>
      </c>
    </row>
    <row r="723" spans="1:8" ht="15" customHeight="1" x14ac:dyDescent="0.2">
      <c r="A723" s="9"/>
      <c r="B723" s="8"/>
      <c r="C723" s="8"/>
      <c r="D723" s="8"/>
      <c r="E723" s="8"/>
      <c r="F723" s="11" t="str">
        <f>IFERROR(INDEX(Reference!$B$23:$B$24,MATCH(D723,Reference!$A$23:$A$24,0)),"")</f>
        <v/>
      </c>
      <c r="G723" s="11" t="str">
        <f t="shared" si="22"/>
        <v/>
      </c>
      <c r="H723" s="10" t="str">
        <f t="shared" si="23"/>
        <v/>
      </c>
    </row>
    <row r="724" spans="1:8" ht="15" customHeight="1" x14ac:dyDescent="0.2">
      <c r="A724" s="9"/>
      <c r="B724" s="8"/>
      <c r="C724" s="8"/>
      <c r="D724" s="8"/>
      <c r="E724" s="8"/>
      <c r="F724" s="11" t="str">
        <f>IFERROR(INDEX(Reference!$B$23:$B$24,MATCH(D724,Reference!$A$23:$A$24,0)),"")</f>
        <v/>
      </c>
      <c r="G724" s="11" t="str">
        <f t="shared" si="22"/>
        <v/>
      </c>
      <c r="H724" s="10" t="str">
        <f t="shared" si="23"/>
        <v/>
      </c>
    </row>
    <row r="725" spans="1:8" ht="15" customHeight="1" x14ac:dyDescent="0.2">
      <c r="A725" s="9"/>
      <c r="B725" s="8"/>
      <c r="C725" s="8"/>
      <c r="D725" s="8"/>
      <c r="E725" s="8"/>
      <c r="F725" s="11" t="str">
        <f>IFERROR(INDEX(Reference!$B$23:$B$24,MATCH(D725,Reference!$A$23:$A$24,0)),"")</f>
        <v/>
      </c>
      <c r="G725" s="11" t="str">
        <f t="shared" si="22"/>
        <v/>
      </c>
      <c r="H725" s="10" t="str">
        <f t="shared" si="23"/>
        <v/>
      </c>
    </row>
    <row r="726" spans="1:8" ht="15" customHeight="1" x14ac:dyDescent="0.2">
      <c r="A726" s="9"/>
      <c r="B726" s="8"/>
      <c r="C726" s="8"/>
      <c r="D726" s="8"/>
      <c r="E726" s="8"/>
      <c r="F726" s="11" t="str">
        <f>IFERROR(INDEX(Reference!$B$23:$B$24,MATCH(D726,Reference!$A$23:$A$24,0)),"")</f>
        <v/>
      </c>
      <c r="G726" s="11" t="str">
        <f t="shared" si="22"/>
        <v/>
      </c>
      <c r="H726" s="10" t="str">
        <f t="shared" si="23"/>
        <v/>
      </c>
    </row>
    <row r="727" spans="1:8" ht="15" customHeight="1" x14ac:dyDescent="0.2">
      <c r="A727" s="9"/>
      <c r="B727" s="8"/>
      <c r="C727" s="8"/>
      <c r="D727" s="8"/>
      <c r="E727" s="8"/>
      <c r="F727" s="11" t="str">
        <f>IFERROR(INDEX(Reference!$B$23:$B$24,MATCH(D727,Reference!$A$23:$A$24,0)),"")</f>
        <v/>
      </c>
      <c r="G727" s="11" t="str">
        <f t="shared" si="22"/>
        <v/>
      </c>
      <c r="H727" s="10" t="str">
        <f t="shared" si="23"/>
        <v/>
      </c>
    </row>
    <row r="728" spans="1:8" ht="15" customHeight="1" x14ac:dyDescent="0.2">
      <c r="A728" s="9"/>
      <c r="B728" s="8"/>
      <c r="C728" s="8"/>
      <c r="D728" s="8"/>
      <c r="E728" s="8"/>
      <c r="F728" s="11" t="str">
        <f>IFERROR(INDEX(Reference!$B$23:$B$24,MATCH(D728,Reference!$A$23:$A$24,0)),"")</f>
        <v/>
      </c>
      <c r="G728" s="11" t="str">
        <f t="shared" si="22"/>
        <v/>
      </c>
      <c r="H728" s="10" t="str">
        <f t="shared" si="23"/>
        <v/>
      </c>
    </row>
    <row r="729" spans="1:8" ht="15" customHeight="1" x14ac:dyDescent="0.2">
      <c r="A729" s="9"/>
      <c r="B729" s="8"/>
      <c r="C729" s="8"/>
      <c r="D729" s="8"/>
      <c r="E729" s="8"/>
      <c r="F729" s="11" t="str">
        <f>IFERROR(INDEX(Reference!$B$23:$B$24,MATCH(D729,Reference!$A$23:$A$24,0)),"")</f>
        <v/>
      </c>
      <c r="G729" s="11" t="str">
        <f t="shared" si="22"/>
        <v/>
      </c>
      <c r="H729" s="10" t="str">
        <f t="shared" si="23"/>
        <v/>
      </c>
    </row>
    <row r="730" spans="1:8" ht="15" customHeight="1" x14ac:dyDescent="0.2">
      <c r="A730" s="9"/>
      <c r="B730" s="8"/>
      <c r="C730" s="8"/>
      <c r="D730" s="8"/>
      <c r="E730" s="8"/>
      <c r="F730" s="11" t="str">
        <f>IFERROR(INDEX(Reference!$B$23:$B$24,MATCH(D730,Reference!$A$23:$A$24,0)),"")</f>
        <v/>
      </c>
      <c r="G730" s="11" t="str">
        <f t="shared" si="22"/>
        <v/>
      </c>
      <c r="H730" s="10" t="str">
        <f t="shared" si="23"/>
        <v/>
      </c>
    </row>
    <row r="731" spans="1:8" ht="15" customHeight="1" x14ac:dyDescent="0.2">
      <c r="A731" s="9"/>
      <c r="B731" s="8"/>
      <c r="C731" s="8"/>
      <c r="D731" s="8"/>
      <c r="E731" s="8"/>
      <c r="F731" s="11" t="str">
        <f>IFERROR(INDEX(Reference!$B$23:$B$24,MATCH(D731,Reference!$A$23:$A$24,0)),"")</f>
        <v/>
      </c>
      <c r="G731" s="11" t="str">
        <f t="shared" si="22"/>
        <v/>
      </c>
      <c r="H731" s="10" t="str">
        <f t="shared" si="23"/>
        <v/>
      </c>
    </row>
    <row r="732" spans="1:8" ht="15" customHeight="1" x14ac:dyDescent="0.2">
      <c r="A732" s="9"/>
      <c r="B732" s="8"/>
      <c r="C732" s="8"/>
      <c r="D732" s="8"/>
      <c r="E732" s="8"/>
      <c r="F732" s="11" t="str">
        <f>IFERROR(INDEX(Reference!$B$23:$B$24,MATCH(D732,Reference!$A$23:$A$24,0)),"")</f>
        <v/>
      </c>
      <c r="G732" s="11" t="str">
        <f t="shared" si="22"/>
        <v/>
      </c>
      <c r="H732" s="10" t="str">
        <f t="shared" si="23"/>
        <v/>
      </c>
    </row>
    <row r="733" spans="1:8" ht="15" customHeight="1" x14ac:dyDescent="0.2">
      <c r="A733" s="9"/>
      <c r="B733" s="8"/>
      <c r="C733" s="8"/>
      <c r="D733" s="8"/>
      <c r="E733" s="8"/>
      <c r="F733" s="11" t="str">
        <f>IFERROR(INDEX(Reference!$B$23:$B$24,MATCH(D733,Reference!$A$23:$A$24,0)),"")</f>
        <v/>
      </c>
      <c r="G733" s="11" t="str">
        <f t="shared" si="22"/>
        <v/>
      </c>
      <c r="H733" s="10" t="str">
        <f t="shared" si="23"/>
        <v/>
      </c>
    </row>
    <row r="734" spans="1:8" ht="15" customHeight="1" x14ac:dyDescent="0.2">
      <c r="A734" s="9"/>
      <c r="B734" s="8"/>
      <c r="C734" s="8"/>
      <c r="D734" s="8"/>
      <c r="E734" s="8"/>
      <c r="F734" s="11" t="str">
        <f>IFERROR(INDEX(Reference!$B$23:$B$24,MATCH(D734,Reference!$A$23:$A$24,0)),"")</f>
        <v/>
      </c>
      <c r="G734" s="11" t="str">
        <f t="shared" si="22"/>
        <v/>
      </c>
      <c r="H734" s="10" t="str">
        <f t="shared" si="23"/>
        <v/>
      </c>
    </row>
    <row r="735" spans="1:8" ht="15" customHeight="1" x14ac:dyDescent="0.2">
      <c r="A735" s="9"/>
      <c r="B735" s="8"/>
      <c r="C735" s="8"/>
      <c r="D735" s="8"/>
      <c r="E735" s="8"/>
      <c r="F735" s="11" t="str">
        <f>IFERROR(INDEX(Reference!$B$23:$B$24,MATCH(D735,Reference!$A$23:$A$24,0)),"")</f>
        <v/>
      </c>
      <c r="G735" s="11" t="str">
        <f t="shared" si="22"/>
        <v/>
      </c>
      <c r="H735" s="10" t="str">
        <f t="shared" si="23"/>
        <v/>
      </c>
    </row>
    <row r="736" spans="1:8" ht="15" customHeight="1" x14ac:dyDescent="0.2">
      <c r="A736" s="9"/>
      <c r="B736" s="8"/>
      <c r="C736" s="8"/>
      <c r="D736" s="8"/>
      <c r="E736" s="8"/>
      <c r="F736" s="11" t="str">
        <f>IFERROR(INDEX(Reference!$B$23:$B$24,MATCH(D736,Reference!$A$23:$A$24,0)),"")</f>
        <v/>
      </c>
      <c r="G736" s="11" t="str">
        <f t="shared" si="22"/>
        <v/>
      </c>
      <c r="H736" s="10" t="str">
        <f t="shared" si="23"/>
        <v/>
      </c>
    </row>
    <row r="737" spans="1:8" ht="15" customHeight="1" x14ac:dyDescent="0.2">
      <c r="A737" s="9"/>
      <c r="B737" s="8"/>
      <c r="C737" s="8"/>
      <c r="D737" s="8"/>
      <c r="E737" s="8"/>
      <c r="F737" s="11" t="str">
        <f>IFERROR(INDEX(Reference!$B$23:$B$24,MATCH(D737,Reference!$A$23:$A$24,0)),"")</f>
        <v/>
      </c>
      <c r="G737" s="11" t="str">
        <f t="shared" si="22"/>
        <v/>
      </c>
      <c r="H737" s="10" t="str">
        <f t="shared" si="23"/>
        <v/>
      </c>
    </row>
    <row r="738" spans="1:8" ht="15" customHeight="1" x14ac:dyDescent="0.2">
      <c r="A738" s="9"/>
      <c r="B738" s="8"/>
      <c r="C738" s="8"/>
      <c r="D738" s="8"/>
      <c r="E738" s="8"/>
      <c r="F738" s="11" t="str">
        <f>IFERROR(INDEX(Reference!$B$23:$B$24,MATCH(D738,Reference!$A$23:$A$24,0)),"")</f>
        <v/>
      </c>
      <c r="G738" s="11" t="str">
        <f t="shared" si="22"/>
        <v/>
      </c>
      <c r="H738" s="10" t="str">
        <f t="shared" si="23"/>
        <v/>
      </c>
    </row>
    <row r="739" spans="1:8" ht="15" customHeight="1" x14ac:dyDescent="0.2">
      <c r="A739" s="9"/>
      <c r="B739" s="8"/>
      <c r="C739" s="8"/>
      <c r="D739" s="8"/>
      <c r="E739" s="8"/>
      <c r="F739" s="11" t="str">
        <f>IFERROR(INDEX(Reference!$B$23:$B$24,MATCH(D739,Reference!$A$23:$A$24,0)),"")</f>
        <v/>
      </c>
      <c r="G739" s="11" t="str">
        <f t="shared" si="22"/>
        <v/>
      </c>
      <c r="H739" s="10" t="str">
        <f t="shared" si="23"/>
        <v/>
      </c>
    </row>
    <row r="740" spans="1:8" ht="15" customHeight="1" x14ac:dyDescent="0.2">
      <c r="A740" s="9"/>
      <c r="B740" s="8"/>
      <c r="C740" s="8"/>
      <c r="D740" s="8"/>
      <c r="E740" s="8"/>
      <c r="F740" s="11" t="str">
        <f>IFERROR(INDEX(Reference!$B$23:$B$24,MATCH(D740,Reference!$A$23:$A$24,0)),"")</f>
        <v/>
      </c>
      <c r="G740" s="11" t="str">
        <f t="shared" si="22"/>
        <v/>
      </c>
      <c r="H740" s="10" t="str">
        <f t="shared" si="23"/>
        <v/>
      </c>
    </row>
    <row r="741" spans="1:8" ht="15" customHeight="1" x14ac:dyDescent="0.2">
      <c r="A741" s="9"/>
      <c r="B741" s="8"/>
      <c r="C741" s="8"/>
      <c r="D741" s="8"/>
      <c r="E741" s="8"/>
      <c r="F741" s="11" t="str">
        <f>IFERROR(INDEX(Reference!$B$23:$B$24,MATCH(D741,Reference!$A$23:$A$24,0)),"")</f>
        <v/>
      </c>
      <c r="G741" s="11" t="str">
        <f t="shared" si="22"/>
        <v/>
      </c>
      <c r="H741" s="10" t="str">
        <f t="shared" si="23"/>
        <v/>
      </c>
    </row>
    <row r="742" spans="1:8" ht="15" customHeight="1" x14ac:dyDescent="0.2">
      <c r="A742" s="9"/>
      <c r="B742" s="8"/>
      <c r="C742" s="8"/>
      <c r="D742" s="8"/>
      <c r="E742" s="8"/>
      <c r="F742" s="11" t="str">
        <f>IFERROR(INDEX(Reference!$B$23:$B$24,MATCH(D742,Reference!$A$23:$A$24,0)),"")</f>
        <v/>
      </c>
      <c r="G742" s="11" t="str">
        <f t="shared" si="22"/>
        <v/>
      </c>
      <c r="H742" s="10" t="str">
        <f t="shared" si="23"/>
        <v/>
      </c>
    </row>
    <row r="743" spans="1:8" ht="15" customHeight="1" x14ac:dyDescent="0.2">
      <c r="A743" s="9"/>
      <c r="B743" s="8"/>
      <c r="C743" s="8"/>
      <c r="D743" s="8"/>
      <c r="E743" s="8"/>
      <c r="F743" s="11" t="str">
        <f>IFERROR(INDEX(Reference!$B$23:$B$24,MATCH(D743,Reference!$A$23:$A$24,0)),"")</f>
        <v/>
      </c>
      <c r="G743" s="11" t="str">
        <f t="shared" si="22"/>
        <v/>
      </c>
      <c r="H743" s="10" t="str">
        <f t="shared" si="23"/>
        <v/>
      </c>
    </row>
    <row r="744" spans="1:8" ht="15" customHeight="1" x14ac:dyDescent="0.2">
      <c r="A744" s="9"/>
      <c r="B744" s="8"/>
      <c r="C744" s="8"/>
      <c r="D744" s="8"/>
      <c r="E744" s="8"/>
      <c r="F744" s="11" t="str">
        <f>IFERROR(INDEX(Reference!$B$23:$B$24,MATCH(D744,Reference!$A$23:$A$24,0)),"")</f>
        <v/>
      </c>
      <c r="G744" s="11" t="str">
        <f t="shared" si="22"/>
        <v/>
      </c>
      <c r="H744" s="10" t="str">
        <f t="shared" si="23"/>
        <v/>
      </c>
    </row>
    <row r="745" spans="1:8" ht="15" customHeight="1" x14ac:dyDescent="0.2">
      <c r="A745" s="9"/>
      <c r="B745" s="8"/>
      <c r="C745" s="8"/>
      <c r="D745" s="8"/>
      <c r="E745" s="8"/>
      <c r="F745" s="11" t="str">
        <f>IFERROR(INDEX(Reference!$B$23:$B$24,MATCH(D745,Reference!$A$23:$A$24,0)),"")</f>
        <v/>
      </c>
      <c r="G745" s="11" t="str">
        <f t="shared" si="22"/>
        <v/>
      </c>
      <c r="H745" s="10" t="str">
        <f t="shared" si="23"/>
        <v/>
      </c>
    </row>
    <row r="746" spans="1:8" ht="15" customHeight="1" x14ac:dyDescent="0.2">
      <c r="A746" s="9"/>
      <c r="B746" s="8"/>
      <c r="C746" s="8"/>
      <c r="D746" s="8"/>
      <c r="E746" s="8"/>
      <c r="F746" s="11" t="str">
        <f>IFERROR(INDEX(Reference!$B$23:$B$24,MATCH(D746,Reference!$A$23:$A$24,0)),"")</f>
        <v/>
      </c>
      <c r="G746" s="11" t="str">
        <f t="shared" si="22"/>
        <v/>
      </c>
      <c r="H746" s="10" t="str">
        <f t="shared" si="23"/>
        <v/>
      </c>
    </row>
    <row r="747" spans="1:8" ht="15" customHeight="1" x14ac:dyDescent="0.2">
      <c r="A747" s="9"/>
      <c r="B747" s="8"/>
      <c r="C747" s="8"/>
      <c r="D747" s="8"/>
      <c r="E747" s="8"/>
      <c r="F747" s="11" t="str">
        <f>IFERROR(INDEX(Reference!$B$23:$B$24,MATCH(D747,Reference!$A$23:$A$24,0)),"")</f>
        <v/>
      </c>
      <c r="G747" s="11" t="str">
        <f t="shared" si="22"/>
        <v/>
      </c>
      <c r="H747" s="10" t="str">
        <f t="shared" si="23"/>
        <v/>
      </c>
    </row>
    <row r="748" spans="1:8" ht="15" customHeight="1" x14ac:dyDescent="0.2">
      <c r="A748" s="9"/>
      <c r="B748" s="8"/>
      <c r="C748" s="8"/>
      <c r="D748" s="8"/>
      <c r="E748" s="8"/>
      <c r="F748" s="11" t="str">
        <f>IFERROR(INDEX(Reference!$B$23:$B$24,MATCH(D748,Reference!$A$23:$A$24,0)),"")</f>
        <v/>
      </c>
      <c r="G748" s="11" t="str">
        <f t="shared" si="22"/>
        <v/>
      </c>
      <c r="H748" s="10" t="str">
        <f t="shared" si="23"/>
        <v/>
      </c>
    </row>
    <row r="749" spans="1:8" ht="15" customHeight="1" x14ac:dyDescent="0.2">
      <c r="A749" s="9"/>
      <c r="B749" s="8"/>
      <c r="C749" s="8"/>
      <c r="D749" s="8"/>
      <c r="E749" s="8"/>
      <c r="F749" s="11" t="str">
        <f>IFERROR(INDEX(Reference!$B$23:$B$24,MATCH(D749,Reference!$A$23:$A$24,0)),"")</f>
        <v/>
      </c>
      <c r="G749" s="11" t="str">
        <f t="shared" si="22"/>
        <v/>
      </c>
      <c r="H749" s="10" t="str">
        <f t="shared" si="23"/>
        <v/>
      </c>
    </row>
    <row r="750" spans="1:8" ht="15" customHeight="1" x14ac:dyDescent="0.2">
      <c r="A750" s="9"/>
      <c r="B750" s="8"/>
      <c r="C750" s="8"/>
      <c r="D750" s="8"/>
      <c r="E750" s="8"/>
      <c r="F750" s="11" t="str">
        <f>IFERROR(INDEX(Reference!$B$23:$B$24,MATCH(D750,Reference!$A$23:$A$24,0)),"")</f>
        <v/>
      </c>
      <c r="G750" s="11" t="str">
        <f t="shared" si="22"/>
        <v/>
      </c>
      <c r="H750" s="10" t="str">
        <f t="shared" si="23"/>
        <v/>
      </c>
    </row>
    <row r="751" spans="1:8" ht="15" customHeight="1" x14ac:dyDescent="0.2">
      <c r="A751" s="9"/>
      <c r="B751" s="8"/>
      <c r="C751" s="8"/>
      <c r="D751" s="8"/>
      <c r="E751" s="8"/>
      <c r="F751" s="11" t="str">
        <f>IFERROR(INDEX(Reference!$B$23:$B$24,MATCH(D751,Reference!$A$23:$A$24,0)),"")</f>
        <v/>
      </c>
      <c r="G751" s="11" t="str">
        <f t="shared" si="22"/>
        <v/>
      </c>
      <c r="H751" s="10" t="str">
        <f t="shared" si="23"/>
        <v/>
      </c>
    </row>
    <row r="752" spans="1:8" ht="15" customHeight="1" x14ac:dyDescent="0.2">
      <c r="A752" s="9"/>
      <c r="B752" s="8"/>
      <c r="C752" s="8"/>
      <c r="D752" s="8"/>
      <c r="E752" s="8"/>
      <c r="F752" s="11" t="str">
        <f>IFERROR(INDEX(Reference!$B$23:$B$24,MATCH(D752,Reference!$A$23:$A$24,0)),"")</f>
        <v/>
      </c>
      <c r="G752" s="11" t="str">
        <f t="shared" si="22"/>
        <v/>
      </c>
      <c r="H752" s="10" t="str">
        <f t="shared" si="23"/>
        <v/>
      </c>
    </row>
    <row r="753" spans="1:8" ht="15" customHeight="1" x14ac:dyDescent="0.2">
      <c r="A753" s="9"/>
      <c r="B753" s="8"/>
      <c r="C753" s="8"/>
      <c r="D753" s="8"/>
      <c r="E753" s="8"/>
      <c r="F753" s="11" t="str">
        <f>IFERROR(INDEX(Reference!$B$23:$B$24,MATCH(D753,Reference!$A$23:$A$24,0)),"")</f>
        <v/>
      </c>
      <c r="G753" s="11" t="str">
        <f t="shared" si="22"/>
        <v/>
      </c>
      <c r="H753" s="10" t="str">
        <f t="shared" si="23"/>
        <v/>
      </c>
    </row>
    <row r="754" spans="1:8" ht="15" customHeight="1" x14ac:dyDescent="0.2">
      <c r="A754" s="9"/>
      <c r="B754" s="8"/>
      <c r="C754" s="8"/>
      <c r="D754" s="8"/>
      <c r="E754" s="8"/>
      <c r="F754" s="11" t="str">
        <f>IFERROR(INDEX(Reference!$B$23:$B$24,MATCH(D754,Reference!$A$23:$A$24,0)),"")</f>
        <v/>
      </c>
      <c r="G754" s="11" t="str">
        <f t="shared" si="22"/>
        <v/>
      </c>
      <c r="H754" s="10" t="str">
        <f t="shared" si="23"/>
        <v/>
      </c>
    </row>
    <row r="755" spans="1:8" ht="15" customHeight="1" x14ac:dyDescent="0.2">
      <c r="A755" s="9"/>
      <c r="B755" s="8"/>
      <c r="C755" s="8"/>
      <c r="D755" s="8"/>
      <c r="E755" s="8"/>
      <c r="F755" s="11" t="str">
        <f>IFERROR(INDEX(Reference!$B$23:$B$24,MATCH(D755,Reference!$A$23:$A$24,0)),"")</f>
        <v/>
      </c>
      <c r="G755" s="11" t="str">
        <f t="shared" si="22"/>
        <v/>
      </c>
      <c r="H755" s="10" t="str">
        <f t="shared" si="23"/>
        <v/>
      </c>
    </row>
    <row r="756" spans="1:8" ht="15" customHeight="1" x14ac:dyDescent="0.2">
      <c r="A756" s="9"/>
      <c r="B756" s="8"/>
      <c r="C756" s="8"/>
      <c r="D756" s="8"/>
      <c r="E756" s="8"/>
      <c r="F756" s="11" t="str">
        <f>IFERROR(INDEX(Reference!$B$23:$B$24,MATCH(D756,Reference!$A$23:$A$24,0)),"")</f>
        <v/>
      </c>
      <c r="G756" s="11" t="str">
        <f t="shared" si="22"/>
        <v/>
      </c>
      <c r="H756" s="10" t="str">
        <f t="shared" si="23"/>
        <v/>
      </c>
    </row>
    <row r="757" spans="1:8" ht="15" customHeight="1" x14ac:dyDescent="0.2">
      <c r="A757" s="9"/>
      <c r="B757" s="8"/>
      <c r="C757" s="8"/>
      <c r="D757" s="8"/>
      <c r="E757" s="8"/>
      <c r="F757" s="11" t="str">
        <f>IFERROR(INDEX(Reference!$B$23:$B$24,MATCH(D757,Reference!$A$23:$A$24,0)),"")</f>
        <v/>
      </c>
      <c r="G757" s="11" t="str">
        <f t="shared" si="22"/>
        <v/>
      </c>
      <c r="H757" s="10" t="str">
        <f t="shared" si="23"/>
        <v/>
      </c>
    </row>
    <row r="758" spans="1:8" ht="15" customHeight="1" x14ac:dyDescent="0.2">
      <c r="A758" s="9"/>
      <c r="B758" s="8"/>
      <c r="C758" s="8"/>
      <c r="D758" s="8"/>
      <c r="E758" s="8"/>
      <c r="F758" s="11" t="str">
        <f>IFERROR(INDEX(Reference!$B$23:$B$24,MATCH(D758,Reference!$A$23:$A$24,0)),"")</f>
        <v/>
      </c>
      <c r="G758" s="11" t="str">
        <f t="shared" si="22"/>
        <v/>
      </c>
      <c r="H758" s="10" t="str">
        <f t="shared" si="23"/>
        <v/>
      </c>
    </row>
    <row r="759" spans="1:8" ht="15" customHeight="1" x14ac:dyDescent="0.2">
      <c r="A759" s="9"/>
      <c r="B759" s="8"/>
      <c r="C759" s="8"/>
      <c r="D759" s="8"/>
      <c r="E759" s="8"/>
      <c r="F759" s="11" t="str">
        <f>IFERROR(INDEX(Reference!$B$23:$B$24,MATCH(D759,Reference!$A$23:$A$24,0)),"")</f>
        <v/>
      </c>
      <c r="G759" s="11" t="str">
        <f t="shared" si="22"/>
        <v/>
      </c>
      <c r="H759" s="10" t="str">
        <f t="shared" si="23"/>
        <v/>
      </c>
    </row>
    <row r="760" spans="1:8" ht="15" customHeight="1" x14ac:dyDescent="0.2">
      <c r="A760" s="9"/>
      <c r="B760" s="8"/>
      <c r="C760" s="8"/>
      <c r="D760" s="8"/>
      <c r="E760" s="8"/>
      <c r="F760" s="11" t="str">
        <f>IFERROR(INDEX(Reference!$B$23:$B$24,MATCH(D760,Reference!$A$23:$A$24,0)),"")</f>
        <v/>
      </c>
      <c r="G760" s="11" t="str">
        <f t="shared" si="22"/>
        <v/>
      </c>
      <c r="H760" s="10" t="str">
        <f t="shared" si="23"/>
        <v/>
      </c>
    </row>
    <row r="761" spans="1:8" ht="15" customHeight="1" x14ac:dyDescent="0.2">
      <c r="A761" s="9"/>
      <c r="B761" s="8"/>
      <c r="C761" s="8"/>
      <c r="D761" s="8"/>
      <c r="E761" s="8"/>
      <c r="F761" s="11" t="str">
        <f>IFERROR(INDEX(Reference!$B$23:$B$24,MATCH(D761,Reference!$A$23:$A$24,0)),"")</f>
        <v/>
      </c>
      <c r="G761" s="11" t="str">
        <f t="shared" si="22"/>
        <v/>
      </c>
      <c r="H761" s="10" t="str">
        <f t="shared" si="23"/>
        <v/>
      </c>
    </row>
    <row r="762" spans="1:8" ht="15" customHeight="1" x14ac:dyDescent="0.2">
      <c r="A762" s="9"/>
      <c r="B762" s="8"/>
      <c r="C762" s="8"/>
      <c r="D762" s="8"/>
      <c r="E762" s="8"/>
      <c r="F762" s="11" t="str">
        <f>IFERROR(INDEX(Reference!$B$23:$B$24,MATCH(D762,Reference!$A$23:$A$24,0)),"")</f>
        <v/>
      </c>
      <c r="G762" s="11" t="str">
        <f t="shared" si="22"/>
        <v/>
      </c>
      <c r="H762" s="10" t="str">
        <f t="shared" si="23"/>
        <v/>
      </c>
    </row>
    <row r="763" spans="1:8" ht="15" customHeight="1" x14ac:dyDescent="0.2">
      <c r="A763" s="9"/>
      <c r="B763" s="8"/>
      <c r="C763" s="8"/>
      <c r="D763" s="8"/>
      <c r="E763" s="8"/>
      <c r="F763" s="11" t="str">
        <f>IFERROR(INDEX(Reference!$B$23:$B$24,MATCH(D763,Reference!$A$23:$A$24,0)),"")</f>
        <v/>
      </c>
      <c r="G763" s="11" t="str">
        <f t="shared" si="22"/>
        <v/>
      </c>
      <c r="H763" s="10" t="str">
        <f t="shared" si="23"/>
        <v/>
      </c>
    </row>
    <row r="764" spans="1:8" ht="15" customHeight="1" x14ac:dyDescent="0.2">
      <c r="A764" s="9"/>
      <c r="B764" s="8"/>
      <c r="C764" s="8"/>
      <c r="D764" s="8"/>
      <c r="E764" s="8"/>
      <c r="F764" s="11" t="str">
        <f>IFERROR(INDEX(Reference!$B$23:$B$24,MATCH(D764,Reference!$A$23:$A$24,0)),"")</f>
        <v/>
      </c>
      <c r="G764" s="11" t="str">
        <f t="shared" si="22"/>
        <v/>
      </c>
      <c r="H764" s="10" t="str">
        <f t="shared" si="23"/>
        <v/>
      </c>
    </row>
    <row r="765" spans="1:8" ht="15" customHeight="1" x14ac:dyDescent="0.2">
      <c r="A765" s="9"/>
      <c r="B765" s="8"/>
      <c r="C765" s="8"/>
      <c r="D765" s="8"/>
      <c r="E765" s="8"/>
      <c r="F765" s="11" t="str">
        <f>IFERROR(INDEX(Reference!$B$23:$B$24,MATCH(D765,Reference!$A$23:$A$24,0)),"")</f>
        <v/>
      </c>
      <c r="G765" s="11" t="str">
        <f t="shared" si="22"/>
        <v/>
      </c>
      <c r="H765" s="10" t="str">
        <f t="shared" si="23"/>
        <v/>
      </c>
    </row>
    <row r="766" spans="1:8" ht="15" customHeight="1" x14ac:dyDescent="0.2">
      <c r="A766" s="9"/>
      <c r="B766" s="8"/>
      <c r="C766" s="8"/>
      <c r="D766" s="8"/>
      <c r="E766" s="8"/>
      <c r="F766" s="11" t="str">
        <f>IFERROR(INDEX(Reference!$B$23:$B$24,MATCH(D766,Reference!$A$23:$A$24,0)),"")</f>
        <v/>
      </c>
      <c r="G766" s="11" t="str">
        <f t="shared" si="22"/>
        <v/>
      </c>
      <c r="H766" s="10" t="str">
        <f t="shared" si="23"/>
        <v/>
      </c>
    </row>
    <row r="767" spans="1:8" ht="15" customHeight="1" x14ac:dyDescent="0.2">
      <c r="A767" s="9"/>
      <c r="B767" s="8"/>
      <c r="C767" s="8"/>
      <c r="D767" s="8"/>
      <c r="E767" s="8"/>
      <c r="F767" s="11" t="str">
        <f>IFERROR(INDEX(Reference!$B$23:$B$24,MATCH(D767,Reference!$A$23:$A$24,0)),"")</f>
        <v/>
      </c>
      <c r="G767" s="11" t="str">
        <f t="shared" si="22"/>
        <v/>
      </c>
      <c r="H767" s="10" t="str">
        <f t="shared" si="23"/>
        <v/>
      </c>
    </row>
    <row r="768" spans="1:8" ht="15" customHeight="1" x14ac:dyDescent="0.2">
      <c r="A768" s="9"/>
      <c r="B768" s="8"/>
      <c r="C768" s="8"/>
      <c r="D768" s="8"/>
      <c r="E768" s="8"/>
      <c r="F768" s="11" t="str">
        <f>IFERROR(INDEX(Reference!$B$23:$B$24,MATCH(D768,Reference!$A$23:$A$24,0)),"")</f>
        <v/>
      </c>
      <c r="G768" s="11" t="str">
        <f t="shared" si="22"/>
        <v/>
      </c>
      <c r="H768" s="10" t="str">
        <f t="shared" si="23"/>
        <v/>
      </c>
    </row>
    <row r="769" spans="1:8" ht="15" customHeight="1" x14ac:dyDescent="0.2">
      <c r="A769" s="9"/>
      <c r="B769" s="8"/>
      <c r="C769" s="8"/>
      <c r="D769" s="8"/>
      <c r="E769" s="8"/>
      <c r="F769" s="11" t="str">
        <f>IFERROR(INDEX(Reference!$B$23:$B$24,MATCH(D769,Reference!$A$23:$A$24,0)),"")</f>
        <v/>
      </c>
      <c r="G769" s="11" t="str">
        <f t="shared" si="22"/>
        <v/>
      </c>
      <c r="H769" s="10" t="str">
        <f t="shared" si="23"/>
        <v/>
      </c>
    </row>
    <row r="770" spans="1:8" ht="15" customHeight="1" x14ac:dyDescent="0.2">
      <c r="A770" s="9"/>
      <c r="B770" s="8"/>
      <c r="C770" s="8"/>
      <c r="D770" s="8"/>
      <c r="E770" s="8"/>
      <c r="F770" s="11" t="str">
        <f>IFERROR(INDEX(Reference!$B$23:$B$24,MATCH(D770,Reference!$A$23:$A$24,0)),"")</f>
        <v/>
      </c>
      <c r="G770" s="11" t="str">
        <f t="shared" ref="G770:G833" si="24">IF(OR(E770="",F770=""),"",E770*F770)</f>
        <v/>
      </c>
      <c r="H770" s="10" t="str">
        <f t="shared" ref="H770:H833" si="25">IF(A770="","",IF(MONTH(A770)&gt;=8,YEAR(A770)&amp;"-"&amp;RIGHT(YEAR(A770)+1,2),YEAR(A770)-1&amp;"-"&amp;RIGHT(YEAR(A770),2)))</f>
        <v/>
      </c>
    </row>
    <row r="771" spans="1:8" ht="15" customHeight="1" x14ac:dyDescent="0.2">
      <c r="A771" s="9"/>
      <c r="B771" s="8"/>
      <c r="C771" s="8"/>
      <c r="D771" s="8"/>
      <c r="E771" s="8"/>
      <c r="F771" s="11" t="str">
        <f>IFERROR(INDEX(Reference!$B$23:$B$24,MATCH(D771,Reference!$A$23:$A$24,0)),"")</f>
        <v/>
      </c>
      <c r="G771" s="11" t="str">
        <f t="shared" si="24"/>
        <v/>
      </c>
      <c r="H771" s="10" t="str">
        <f t="shared" si="25"/>
        <v/>
      </c>
    </row>
    <row r="772" spans="1:8" ht="15" customHeight="1" x14ac:dyDescent="0.2">
      <c r="A772" s="9"/>
      <c r="B772" s="8"/>
      <c r="C772" s="8"/>
      <c r="D772" s="8"/>
      <c r="E772" s="8"/>
      <c r="F772" s="11" t="str">
        <f>IFERROR(INDEX(Reference!$B$23:$B$24,MATCH(D772,Reference!$A$23:$A$24,0)),"")</f>
        <v/>
      </c>
      <c r="G772" s="11" t="str">
        <f t="shared" si="24"/>
        <v/>
      </c>
      <c r="H772" s="10" t="str">
        <f t="shared" si="25"/>
        <v/>
      </c>
    </row>
    <row r="773" spans="1:8" ht="15" customHeight="1" x14ac:dyDescent="0.2">
      <c r="A773" s="9"/>
      <c r="B773" s="8"/>
      <c r="C773" s="8"/>
      <c r="D773" s="8"/>
      <c r="E773" s="8"/>
      <c r="F773" s="11" t="str">
        <f>IFERROR(INDEX(Reference!$B$23:$B$24,MATCH(D773,Reference!$A$23:$A$24,0)),"")</f>
        <v/>
      </c>
      <c r="G773" s="11" t="str">
        <f t="shared" si="24"/>
        <v/>
      </c>
      <c r="H773" s="10" t="str">
        <f t="shared" si="25"/>
        <v/>
      </c>
    </row>
    <row r="774" spans="1:8" ht="15" customHeight="1" x14ac:dyDescent="0.2">
      <c r="A774" s="9"/>
      <c r="B774" s="8"/>
      <c r="C774" s="8"/>
      <c r="D774" s="8"/>
      <c r="E774" s="8"/>
      <c r="F774" s="11" t="str">
        <f>IFERROR(INDEX(Reference!$B$23:$B$24,MATCH(D774,Reference!$A$23:$A$24,0)),"")</f>
        <v/>
      </c>
      <c r="G774" s="11" t="str">
        <f t="shared" si="24"/>
        <v/>
      </c>
      <c r="H774" s="10" t="str">
        <f t="shared" si="25"/>
        <v/>
      </c>
    </row>
    <row r="775" spans="1:8" ht="15" customHeight="1" x14ac:dyDescent="0.2">
      <c r="A775" s="9"/>
      <c r="B775" s="8"/>
      <c r="C775" s="8"/>
      <c r="D775" s="8"/>
      <c r="E775" s="8"/>
      <c r="F775" s="11" t="str">
        <f>IFERROR(INDEX(Reference!$B$23:$B$24,MATCH(D775,Reference!$A$23:$A$24,0)),"")</f>
        <v/>
      </c>
      <c r="G775" s="11" t="str">
        <f t="shared" si="24"/>
        <v/>
      </c>
      <c r="H775" s="10" t="str">
        <f t="shared" si="25"/>
        <v/>
      </c>
    </row>
    <row r="776" spans="1:8" ht="15" customHeight="1" x14ac:dyDescent="0.2">
      <c r="A776" s="9"/>
      <c r="B776" s="8"/>
      <c r="C776" s="8"/>
      <c r="D776" s="8"/>
      <c r="E776" s="8"/>
      <c r="F776" s="11" t="str">
        <f>IFERROR(INDEX(Reference!$B$23:$B$24,MATCH(D776,Reference!$A$23:$A$24,0)),"")</f>
        <v/>
      </c>
      <c r="G776" s="11" t="str">
        <f t="shared" si="24"/>
        <v/>
      </c>
      <c r="H776" s="10" t="str">
        <f t="shared" si="25"/>
        <v/>
      </c>
    </row>
    <row r="777" spans="1:8" ht="15" customHeight="1" x14ac:dyDescent="0.2">
      <c r="A777" s="9"/>
      <c r="B777" s="8"/>
      <c r="C777" s="8"/>
      <c r="D777" s="8"/>
      <c r="E777" s="8"/>
      <c r="F777" s="11" t="str">
        <f>IFERROR(INDEX(Reference!$B$23:$B$24,MATCH(D777,Reference!$A$23:$A$24,0)),"")</f>
        <v/>
      </c>
      <c r="G777" s="11" t="str">
        <f t="shared" si="24"/>
        <v/>
      </c>
      <c r="H777" s="10" t="str">
        <f t="shared" si="25"/>
        <v/>
      </c>
    </row>
    <row r="778" spans="1:8" ht="15" customHeight="1" x14ac:dyDescent="0.2">
      <c r="A778" s="9"/>
      <c r="B778" s="8"/>
      <c r="C778" s="8"/>
      <c r="D778" s="8"/>
      <c r="E778" s="8"/>
      <c r="F778" s="11" t="str">
        <f>IFERROR(INDEX(Reference!$B$23:$B$24,MATCH(D778,Reference!$A$23:$A$24,0)),"")</f>
        <v/>
      </c>
      <c r="G778" s="11" t="str">
        <f t="shared" si="24"/>
        <v/>
      </c>
      <c r="H778" s="10" t="str">
        <f t="shared" si="25"/>
        <v/>
      </c>
    </row>
    <row r="779" spans="1:8" ht="15" customHeight="1" x14ac:dyDescent="0.2">
      <c r="A779" s="9"/>
      <c r="B779" s="8"/>
      <c r="C779" s="8"/>
      <c r="D779" s="8"/>
      <c r="E779" s="8"/>
      <c r="F779" s="11" t="str">
        <f>IFERROR(INDEX(Reference!$B$23:$B$24,MATCH(D779,Reference!$A$23:$A$24,0)),"")</f>
        <v/>
      </c>
      <c r="G779" s="11" t="str">
        <f t="shared" si="24"/>
        <v/>
      </c>
      <c r="H779" s="10" t="str">
        <f t="shared" si="25"/>
        <v/>
      </c>
    </row>
    <row r="780" spans="1:8" ht="15" customHeight="1" x14ac:dyDescent="0.2">
      <c r="A780" s="9"/>
      <c r="B780" s="8"/>
      <c r="C780" s="8"/>
      <c r="D780" s="8"/>
      <c r="E780" s="8"/>
      <c r="F780" s="11" t="str">
        <f>IFERROR(INDEX(Reference!$B$23:$B$24,MATCH(D780,Reference!$A$23:$A$24,0)),"")</f>
        <v/>
      </c>
      <c r="G780" s="11" t="str">
        <f t="shared" si="24"/>
        <v/>
      </c>
      <c r="H780" s="10" t="str">
        <f t="shared" si="25"/>
        <v/>
      </c>
    </row>
    <row r="781" spans="1:8" ht="15" customHeight="1" x14ac:dyDescent="0.2">
      <c r="A781" s="9"/>
      <c r="B781" s="8"/>
      <c r="C781" s="8"/>
      <c r="D781" s="8"/>
      <c r="E781" s="8"/>
      <c r="F781" s="11" t="str">
        <f>IFERROR(INDEX(Reference!$B$23:$B$24,MATCH(D781,Reference!$A$23:$A$24,0)),"")</f>
        <v/>
      </c>
      <c r="G781" s="11" t="str">
        <f t="shared" si="24"/>
        <v/>
      </c>
      <c r="H781" s="10" t="str">
        <f t="shared" si="25"/>
        <v/>
      </c>
    </row>
    <row r="782" spans="1:8" ht="15" customHeight="1" x14ac:dyDescent="0.2">
      <c r="A782" s="9"/>
      <c r="B782" s="8"/>
      <c r="C782" s="8"/>
      <c r="D782" s="8"/>
      <c r="E782" s="8"/>
      <c r="F782" s="11" t="str">
        <f>IFERROR(INDEX(Reference!$B$23:$B$24,MATCH(D782,Reference!$A$23:$A$24,0)),"")</f>
        <v/>
      </c>
      <c r="G782" s="11" t="str">
        <f t="shared" si="24"/>
        <v/>
      </c>
      <c r="H782" s="10" t="str">
        <f t="shared" si="25"/>
        <v/>
      </c>
    </row>
    <row r="783" spans="1:8" ht="15" customHeight="1" x14ac:dyDescent="0.2">
      <c r="A783" s="9"/>
      <c r="B783" s="8"/>
      <c r="C783" s="8"/>
      <c r="D783" s="8"/>
      <c r="E783" s="8"/>
      <c r="F783" s="11" t="str">
        <f>IFERROR(INDEX(Reference!$B$23:$B$24,MATCH(D783,Reference!$A$23:$A$24,0)),"")</f>
        <v/>
      </c>
      <c r="G783" s="11" t="str">
        <f t="shared" si="24"/>
        <v/>
      </c>
      <c r="H783" s="10" t="str">
        <f t="shared" si="25"/>
        <v/>
      </c>
    </row>
    <row r="784" spans="1:8" ht="15" customHeight="1" x14ac:dyDescent="0.2">
      <c r="A784" s="9"/>
      <c r="B784" s="8"/>
      <c r="C784" s="8"/>
      <c r="D784" s="8"/>
      <c r="E784" s="8"/>
      <c r="F784" s="11" t="str">
        <f>IFERROR(INDEX(Reference!$B$23:$B$24,MATCH(D784,Reference!$A$23:$A$24,0)),"")</f>
        <v/>
      </c>
      <c r="G784" s="11" t="str">
        <f t="shared" si="24"/>
        <v/>
      </c>
      <c r="H784" s="10" t="str">
        <f t="shared" si="25"/>
        <v/>
      </c>
    </row>
    <row r="785" spans="1:8" ht="15" customHeight="1" x14ac:dyDescent="0.2">
      <c r="A785" s="9"/>
      <c r="B785" s="8"/>
      <c r="C785" s="8"/>
      <c r="D785" s="8"/>
      <c r="E785" s="8"/>
      <c r="F785" s="11" t="str">
        <f>IFERROR(INDEX(Reference!$B$23:$B$24,MATCH(D785,Reference!$A$23:$A$24,0)),"")</f>
        <v/>
      </c>
      <c r="G785" s="11" t="str">
        <f t="shared" si="24"/>
        <v/>
      </c>
      <c r="H785" s="10" t="str">
        <f t="shared" si="25"/>
        <v/>
      </c>
    </row>
    <row r="786" spans="1:8" ht="15" customHeight="1" x14ac:dyDescent="0.2">
      <c r="A786" s="9"/>
      <c r="B786" s="8"/>
      <c r="C786" s="8"/>
      <c r="D786" s="8"/>
      <c r="E786" s="8"/>
      <c r="F786" s="11" t="str">
        <f>IFERROR(INDEX(Reference!$B$23:$B$24,MATCH(D786,Reference!$A$23:$A$24,0)),"")</f>
        <v/>
      </c>
      <c r="G786" s="11" t="str">
        <f t="shared" si="24"/>
        <v/>
      </c>
      <c r="H786" s="10" t="str">
        <f t="shared" si="25"/>
        <v/>
      </c>
    </row>
    <row r="787" spans="1:8" ht="15" customHeight="1" x14ac:dyDescent="0.2">
      <c r="A787" s="9"/>
      <c r="B787" s="8"/>
      <c r="C787" s="8"/>
      <c r="D787" s="8"/>
      <c r="E787" s="8"/>
      <c r="F787" s="11" t="str">
        <f>IFERROR(INDEX(Reference!$B$23:$B$24,MATCH(D787,Reference!$A$23:$A$24,0)),"")</f>
        <v/>
      </c>
      <c r="G787" s="11" t="str">
        <f t="shared" si="24"/>
        <v/>
      </c>
      <c r="H787" s="10" t="str">
        <f t="shared" si="25"/>
        <v/>
      </c>
    </row>
    <row r="788" spans="1:8" ht="15" customHeight="1" x14ac:dyDescent="0.2">
      <c r="A788" s="9"/>
      <c r="B788" s="8"/>
      <c r="C788" s="8"/>
      <c r="D788" s="8"/>
      <c r="E788" s="8"/>
      <c r="F788" s="11" t="str">
        <f>IFERROR(INDEX(Reference!$B$23:$B$24,MATCH(D788,Reference!$A$23:$A$24,0)),"")</f>
        <v/>
      </c>
      <c r="G788" s="11" t="str">
        <f t="shared" si="24"/>
        <v/>
      </c>
      <c r="H788" s="10" t="str">
        <f t="shared" si="25"/>
        <v/>
      </c>
    </row>
    <row r="789" spans="1:8" ht="15" customHeight="1" x14ac:dyDescent="0.2">
      <c r="A789" s="9"/>
      <c r="B789" s="8"/>
      <c r="C789" s="8"/>
      <c r="D789" s="8"/>
      <c r="E789" s="8"/>
      <c r="F789" s="11" t="str">
        <f>IFERROR(INDEX(Reference!$B$23:$B$24,MATCH(D789,Reference!$A$23:$A$24,0)),"")</f>
        <v/>
      </c>
      <c r="G789" s="11" t="str">
        <f t="shared" si="24"/>
        <v/>
      </c>
      <c r="H789" s="10" t="str">
        <f t="shared" si="25"/>
        <v/>
      </c>
    </row>
    <row r="790" spans="1:8" ht="15" customHeight="1" x14ac:dyDescent="0.2">
      <c r="A790" s="9"/>
      <c r="B790" s="8"/>
      <c r="C790" s="8"/>
      <c r="D790" s="8"/>
      <c r="E790" s="8"/>
      <c r="F790" s="11" t="str">
        <f>IFERROR(INDEX(Reference!$B$23:$B$24,MATCH(D790,Reference!$A$23:$A$24,0)),"")</f>
        <v/>
      </c>
      <c r="G790" s="11" t="str">
        <f t="shared" si="24"/>
        <v/>
      </c>
      <c r="H790" s="10" t="str">
        <f t="shared" si="25"/>
        <v/>
      </c>
    </row>
    <row r="791" spans="1:8" ht="15" customHeight="1" x14ac:dyDescent="0.2">
      <c r="A791" s="9"/>
      <c r="B791" s="8"/>
      <c r="C791" s="8"/>
      <c r="D791" s="8"/>
      <c r="E791" s="8"/>
      <c r="F791" s="11" t="str">
        <f>IFERROR(INDEX(Reference!$B$23:$B$24,MATCH(D791,Reference!$A$23:$A$24,0)),"")</f>
        <v/>
      </c>
      <c r="G791" s="11" t="str">
        <f t="shared" si="24"/>
        <v/>
      </c>
      <c r="H791" s="10" t="str">
        <f t="shared" si="25"/>
        <v/>
      </c>
    </row>
    <row r="792" spans="1:8" ht="15" customHeight="1" x14ac:dyDescent="0.2">
      <c r="A792" s="9"/>
      <c r="B792" s="8"/>
      <c r="C792" s="8"/>
      <c r="D792" s="8"/>
      <c r="E792" s="8"/>
      <c r="F792" s="11" t="str">
        <f>IFERROR(INDEX(Reference!$B$23:$B$24,MATCH(D792,Reference!$A$23:$A$24,0)),"")</f>
        <v/>
      </c>
      <c r="G792" s="11" t="str">
        <f t="shared" si="24"/>
        <v/>
      </c>
      <c r="H792" s="10" t="str">
        <f t="shared" si="25"/>
        <v/>
      </c>
    </row>
    <row r="793" spans="1:8" ht="15" customHeight="1" x14ac:dyDescent="0.2">
      <c r="A793" s="9"/>
      <c r="B793" s="8"/>
      <c r="C793" s="8"/>
      <c r="D793" s="8"/>
      <c r="E793" s="8"/>
      <c r="F793" s="11" t="str">
        <f>IFERROR(INDEX(Reference!$B$23:$B$24,MATCH(D793,Reference!$A$23:$A$24,0)),"")</f>
        <v/>
      </c>
      <c r="G793" s="11" t="str">
        <f t="shared" si="24"/>
        <v/>
      </c>
      <c r="H793" s="10" t="str">
        <f t="shared" si="25"/>
        <v/>
      </c>
    </row>
    <row r="794" spans="1:8" ht="15" customHeight="1" x14ac:dyDescent="0.2">
      <c r="A794" s="9"/>
      <c r="B794" s="8"/>
      <c r="C794" s="8"/>
      <c r="D794" s="8"/>
      <c r="E794" s="8"/>
      <c r="F794" s="11" t="str">
        <f>IFERROR(INDEX(Reference!$B$23:$B$24,MATCH(D794,Reference!$A$23:$A$24,0)),"")</f>
        <v/>
      </c>
      <c r="G794" s="11" t="str">
        <f t="shared" si="24"/>
        <v/>
      </c>
      <c r="H794" s="10" t="str">
        <f t="shared" si="25"/>
        <v/>
      </c>
    </row>
    <row r="795" spans="1:8" ht="15" customHeight="1" x14ac:dyDescent="0.2">
      <c r="A795" s="9"/>
      <c r="B795" s="8"/>
      <c r="C795" s="8"/>
      <c r="D795" s="8"/>
      <c r="E795" s="8"/>
      <c r="F795" s="11" t="str">
        <f>IFERROR(INDEX(Reference!$B$23:$B$24,MATCH(D795,Reference!$A$23:$A$24,0)),"")</f>
        <v/>
      </c>
      <c r="G795" s="11" t="str">
        <f t="shared" si="24"/>
        <v/>
      </c>
      <c r="H795" s="10" t="str">
        <f t="shared" si="25"/>
        <v/>
      </c>
    </row>
    <row r="796" spans="1:8" ht="15" customHeight="1" x14ac:dyDescent="0.2">
      <c r="A796" s="9"/>
      <c r="B796" s="8"/>
      <c r="C796" s="8"/>
      <c r="D796" s="8"/>
      <c r="E796" s="8"/>
      <c r="F796" s="11" t="str">
        <f>IFERROR(INDEX(Reference!$B$23:$B$24,MATCH(D796,Reference!$A$23:$A$24,0)),"")</f>
        <v/>
      </c>
      <c r="G796" s="11" t="str">
        <f t="shared" si="24"/>
        <v/>
      </c>
      <c r="H796" s="10" t="str">
        <f t="shared" si="25"/>
        <v/>
      </c>
    </row>
    <row r="797" spans="1:8" ht="15" customHeight="1" x14ac:dyDescent="0.2">
      <c r="A797" s="9"/>
      <c r="B797" s="8"/>
      <c r="C797" s="8"/>
      <c r="D797" s="8"/>
      <c r="E797" s="8"/>
      <c r="F797" s="11" t="str">
        <f>IFERROR(INDEX(Reference!$B$23:$B$24,MATCH(D797,Reference!$A$23:$A$24,0)),"")</f>
        <v/>
      </c>
      <c r="G797" s="11" t="str">
        <f t="shared" si="24"/>
        <v/>
      </c>
      <c r="H797" s="10" t="str">
        <f t="shared" si="25"/>
        <v/>
      </c>
    </row>
    <row r="798" spans="1:8" ht="15" customHeight="1" x14ac:dyDescent="0.2">
      <c r="A798" s="9"/>
      <c r="B798" s="8"/>
      <c r="C798" s="8"/>
      <c r="D798" s="8"/>
      <c r="E798" s="8"/>
      <c r="F798" s="11" t="str">
        <f>IFERROR(INDEX(Reference!$B$23:$B$24,MATCH(D798,Reference!$A$23:$A$24,0)),"")</f>
        <v/>
      </c>
      <c r="G798" s="11" t="str">
        <f t="shared" si="24"/>
        <v/>
      </c>
      <c r="H798" s="10" t="str">
        <f t="shared" si="25"/>
        <v/>
      </c>
    </row>
    <row r="799" spans="1:8" ht="15" customHeight="1" x14ac:dyDescent="0.2">
      <c r="A799" s="9"/>
      <c r="B799" s="8"/>
      <c r="C799" s="8"/>
      <c r="D799" s="8"/>
      <c r="E799" s="8"/>
      <c r="F799" s="11" t="str">
        <f>IFERROR(INDEX(Reference!$B$23:$B$24,MATCH(D799,Reference!$A$23:$A$24,0)),"")</f>
        <v/>
      </c>
      <c r="G799" s="11" t="str">
        <f t="shared" si="24"/>
        <v/>
      </c>
      <c r="H799" s="10" t="str">
        <f t="shared" si="25"/>
        <v/>
      </c>
    </row>
    <row r="800" spans="1:8" ht="15" customHeight="1" x14ac:dyDescent="0.2">
      <c r="A800" s="9"/>
      <c r="B800" s="8"/>
      <c r="C800" s="8"/>
      <c r="D800" s="8"/>
      <c r="E800" s="8"/>
      <c r="F800" s="11" t="str">
        <f>IFERROR(INDEX(Reference!$B$23:$B$24,MATCH(D800,Reference!$A$23:$A$24,0)),"")</f>
        <v/>
      </c>
      <c r="G800" s="11" t="str">
        <f t="shared" si="24"/>
        <v/>
      </c>
      <c r="H800" s="10" t="str">
        <f t="shared" si="25"/>
        <v/>
      </c>
    </row>
    <row r="801" spans="1:8" ht="15" customHeight="1" x14ac:dyDescent="0.2">
      <c r="A801" s="9"/>
      <c r="B801" s="8"/>
      <c r="C801" s="8"/>
      <c r="D801" s="8"/>
      <c r="E801" s="8"/>
      <c r="F801" s="11" t="str">
        <f>IFERROR(INDEX(Reference!$B$23:$B$24,MATCH(D801,Reference!$A$23:$A$24,0)),"")</f>
        <v/>
      </c>
      <c r="G801" s="11" t="str">
        <f t="shared" si="24"/>
        <v/>
      </c>
      <c r="H801" s="10" t="str">
        <f t="shared" si="25"/>
        <v/>
      </c>
    </row>
    <row r="802" spans="1:8" ht="15" customHeight="1" x14ac:dyDescent="0.2">
      <c r="A802" s="9"/>
      <c r="B802" s="8"/>
      <c r="C802" s="8"/>
      <c r="D802" s="8"/>
      <c r="E802" s="8"/>
      <c r="F802" s="11" t="str">
        <f>IFERROR(INDEX(Reference!$B$23:$B$24,MATCH(D802,Reference!$A$23:$A$24,0)),"")</f>
        <v/>
      </c>
      <c r="G802" s="11" t="str">
        <f t="shared" si="24"/>
        <v/>
      </c>
      <c r="H802" s="10" t="str">
        <f t="shared" si="25"/>
        <v/>
      </c>
    </row>
    <row r="803" spans="1:8" ht="15" customHeight="1" x14ac:dyDescent="0.2">
      <c r="A803" s="9"/>
      <c r="B803" s="8"/>
      <c r="C803" s="8"/>
      <c r="D803" s="8"/>
      <c r="E803" s="8"/>
      <c r="F803" s="11" t="str">
        <f>IFERROR(INDEX(Reference!$B$23:$B$24,MATCH(D803,Reference!$A$23:$A$24,0)),"")</f>
        <v/>
      </c>
      <c r="G803" s="11" t="str">
        <f t="shared" si="24"/>
        <v/>
      </c>
      <c r="H803" s="10" t="str">
        <f t="shared" si="25"/>
        <v/>
      </c>
    </row>
    <row r="804" spans="1:8" ht="15" customHeight="1" x14ac:dyDescent="0.2">
      <c r="A804" s="9"/>
      <c r="B804" s="8"/>
      <c r="C804" s="8"/>
      <c r="D804" s="8"/>
      <c r="E804" s="8"/>
      <c r="F804" s="11" t="str">
        <f>IFERROR(INDEX(Reference!$B$23:$B$24,MATCH(D804,Reference!$A$23:$A$24,0)),"")</f>
        <v/>
      </c>
      <c r="G804" s="11" t="str">
        <f t="shared" si="24"/>
        <v/>
      </c>
      <c r="H804" s="10" t="str">
        <f t="shared" si="25"/>
        <v/>
      </c>
    </row>
    <row r="805" spans="1:8" ht="15" customHeight="1" x14ac:dyDescent="0.2">
      <c r="A805" s="9"/>
      <c r="B805" s="8"/>
      <c r="C805" s="8"/>
      <c r="D805" s="8"/>
      <c r="E805" s="8"/>
      <c r="F805" s="11" t="str">
        <f>IFERROR(INDEX(Reference!$B$23:$B$24,MATCH(D805,Reference!$A$23:$A$24,0)),"")</f>
        <v/>
      </c>
      <c r="G805" s="11" t="str">
        <f t="shared" si="24"/>
        <v/>
      </c>
      <c r="H805" s="10" t="str">
        <f t="shared" si="25"/>
        <v/>
      </c>
    </row>
    <row r="806" spans="1:8" ht="15" customHeight="1" x14ac:dyDescent="0.2">
      <c r="A806" s="9"/>
      <c r="B806" s="8"/>
      <c r="C806" s="8"/>
      <c r="D806" s="8"/>
      <c r="E806" s="8"/>
      <c r="F806" s="11" t="str">
        <f>IFERROR(INDEX(Reference!$B$23:$B$24,MATCH(D806,Reference!$A$23:$A$24,0)),"")</f>
        <v/>
      </c>
      <c r="G806" s="11" t="str">
        <f t="shared" si="24"/>
        <v/>
      </c>
      <c r="H806" s="10" t="str">
        <f t="shared" si="25"/>
        <v/>
      </c>
    </row>
    <row r="807" spans="1:8" ht="15" customHeight="1" x14ac:dyDescent="0.2">
      <c r="A807" s="9"/>
      <c r="B807" s="8"/>
      <c r="C807" s="8"/>
      <c r="D807" s="8"/>
      <c r="E807" s="8"/>
      <c r="F807" s="11" t="str">
        <f>IFERROR(INDEX(Reference!$B$23:$B$24,MATCH(D807,Reference!$A$23:$A$24,0)),"")</f>
        <v/>
      </c>
      <c r="G807" s="11" t="str">
        <f t="shared" si="24"/>
        <v/>
      </c>
      <c r="H807" s="10" t="str">
        <f t="shared" si="25"/>
        <v/>
      </c>
    </row>
    <row r="808" spans="1:8" ht="15" customHeight="1" x14ac:dyDescent="0.2">
      <c r="A808" s="9"/>
      <c r="B808" s="8"/>
      <c r="C808" s="8"/>
      <c r="D808" s="8"/>
      <c r="E808" s="8"/>
      <c r="F808" s="11" t="str">
        <f>IFERROR(INDEX(Reference!$B$23:$B$24,MATCH(D808,Reference!$A$23:$A$24,0)),"")</f>
        <v/>
      </c>
      <c r="G808" s="11" t="str">
        <f t="shared" si="24"/>
        <v/>
      </c>
      <c r="H808" s="10" t="str">
        <f t="shared" si="25"/>
        <v/>
      </c>
    </row>
    <row r="809" spans="1:8" ht="15" customHeight="1" x14ac:dyDescent="0.2">
      <c r="A809" s="9"/>
      <c r="B809" s="8"/>
      <c r="C809" s="8"/>
      <c r="D809" s="8"/>
      <c r="E809" s="8"/>
      <c r="F809" s="11" t="str">
        <f>IFERROR(INDEX(Reference!$B$23:$B$24,MATCH(D809,Reference!$A$23:$A$24,0)),"")</f>
        <v/>
      </c>
      <c r="G809" s="11" t="str">
        <f t="shared" si="24"/>
        <v/>
      </c>
      <c r="H809" s="10" t="str">
        <f t="shared" si="25"/>
        <v/>
      </c>
    </row>
    <row r="810" spans="1:8" ht="15" customHeight="1" x14ac:dyDescent="0.2">
      <c r="A810" s="9"/>
      <c r="B810" s="8"/>
      <c r="C810" s="8"/>
      <c r="D810" s="8"/>
      <c r="E810" s="8"/>
      <c r="F810" s="11" t="str">
        <f>IFERROR(INDEX(Reference!$B$23:$B$24,MATCH(D810,Reference!$A$23:$A$24,0)),"")</f>
        <v/>
      </c>
      <c r="G810" s="11" t="str">
        <f t="shared" si="24"/>
        <v/>
      </c>
      <c r="H810" s="10" t="str">
        <f t="shared" si="25"/>
        <v/>
      </c>
    </row>
    <row r="811" spans="1:8" ht="15" customHeight="1" x14ac:dyDescent="0.2">
      <c r="A811" s="9"/>
      <c r="B811" s="8"/>
      <c r="C811" s="8"/>
      <c r="D811" s="8"/>
      <c r="E811" s="8"/>
      <c r="F811" s="11" t="str">
        <f>IFERROR(INDEX(Reference!$B$23:$B$24,MATCH(D811,Reference!$A$23:$A$24,0)),"")</f>
        <v/>
      </c>
      <c r="G811" s="11" t="str">
        <f t="shared" si="24"/>
        <v/>
      </c>
      <c r="H811" s="10" t="str">
        <f t="shared" si="25"/>
        <v/>
      </c>
    </row>
    <row r="812" spans="1:8" ht="15" customHeight="1" x14ac:dyDescent="0.2">
      <c r="A812" s="9"/>
      <c r="B812" s="8"/>
      <c r="C812" s="8"/>
      <c r="D812" s="8"/>
      <c r="E812" s="8"/>
      <c r="F812" s="11" t="str">
        <f>IFERROR(INDEX(Reference!$B$23:$B$24,MATCH(D812,Reference!$A$23:$A$24,0)),"")</f>
        <v/>
      </c>
      <c r="G812" s="11" t="str">
        <f t="shared" si="24"/>
        <v/>
      </c>
      <c r="H812" s="10" t="str">
        <f t="shared" si="25"/>
        <v/>
      </c>
    </row>
    <row r="813" spans="1:8" ht="15" customHeight="1" x14ac:dyDescent="0.2">
      <c r="A813" s="9"/>
      <c r="B813" s="8"/>
      <c r="C813" s="8"/>
      <c r="D813" s="8"/>
      <c r="E813" s="8"/>
      <c r="F813" s="11" t="str">
        <f>IFERROR(INDEX(Reference!$B$23:$B$24,MATCH(D813,Reference!$A$23:$A$24,0)),"")</f>
        <v/>
      </c>
      <c r="G813" s="11" t="str">
        <f t="shared" si="24"/>
        <v/>
      </c>
      <c r="H813" s="10" t="str">
        <f t="shared" si="25"/>
        <v/>
      </c>
    </row>
    <row r="814" spans="1:8" ht="15" customHeight="1" x14ac:dyDescent="0.2">
      <c r="A814" s="9"/>
      <c r="B814" s="8"/>
      <c r="C814" s="8"/>
      <c r="D814" s="8"/>
      <c r="E814" s="8"/>
      <c r="F814" s="11" t="str">
        <f>IFERROR(INDEX(Reference!$B$23:$B$24,MATCH(D814,Reference!$A$23:$A$24,0)),"")</f>
        <v/>
      </c>
      <c r="G814" s="11" t="str">
        <f t="shared" si="24"/>
        <v/>
      </c>
      <c r="H814" s="10" t="str">
        <f t="shared" si="25"/>
        <v/>
      </c>
    </row>
    <row r="815" spans="1:8" ht="15" customHeight="1" x14ac:dyDescent="0.2">
      <c r="A815" s="9"/>
      <c r="B815" s="8"/>
      <c r="C815" s="8"/>
      <c r="D815" s="8"/>
      <c r="E815" s="8"/>
      <c r="F815" s="11" t="str">
        <f>IFERROR(INDEX(Reference!$B$23:$B$24,MATCH(D815,Reference!$A$23:$A$24,0)),"")</f>
        <v/>
      </c>
      <c r="G815" s="11" t="str">
        <f t="shared" si="24"/>
        <v/>
      </c>
      <c r="H815" s="10" t="str">
        <f t="shared" si="25"/>
        <v/>
      </c>
    </row>
    <row r="816" spans="1:8" ht="15" customHeight="1" x14ac:dyDescent="0.2">
      <c r="A816" s="9"/>
      <c r="B816" s="8"/>
      <c r="C816" s="8"/>
      <c r="D816" s="8"/>
      <c r="E816" s="8"/>
      <c r="F816" s="11" t="str">
        <f>IFERROR(INDEX(Reference!$B$23:$B$24,MATCH(D816,Reference!$A$23:$A$24,0)),"")</f>
        <v/>
      </c>
      <c r="G816" s="11" t="str">
        <f t="shared" si="24"/>
        <v/>
      </c>
      <c r="H816" s="10" t="str">
        <f t="shared" si="25"/>
        <v/>
      </c>
    </row>
    <row r="817" spans="1:8" ht="15" customHeight="1" x14ac:dyDescent="0.2">
      <c r="A817" s="9"/>
      <c r="B817" s="8"/>
      <c r="C817" s="8"/>
      <c r="D817" s="8"/>
      <c r="E817" s="8"/>
      <c r="F817" s="11" t="str">
        <f>IFERROR(INDEX(Reference!$B$23:$B$24,MATCH(D817,Reference!$A$23:$A$24,0)),"")</f>
        <v/>
      </c>
      <c r="G817" s="11" t="str">
        <f t="shared" si="24"/>
        <v/>
      </c>
      <c r="H817" s="10" t="str">
        <f t="shared" si="25"/>
        <v/>
      </c>
    </row>
    <row r="818" spans="1:8" ht="15" customHeight="1" x14ac:dyDescent="0.2">
      <c r="A818" s="9"/>
      <c r="B818" s="8"/>
      <c r="C818" s="8"/>
      <c r="D818" s="8"/>
      <c r="E818" s="8"/>
      <c r="F818" s="11" t="str">
        <f>IFERROR(INDEX(Reference!$B$23:$B$24,MATCH(D818,Reference!$A$23:$A$24,0)),"")</f>
        <v/>
      </c>
      <c r="G818" s="11" t="str">
        <f t="shared" si="24"/>
        <v/>
      </c>
      <c r="H818" s="10" t="str">
        <f t="shared" si="25"/>
        <v/>
      </c>
    </row>
    <row r="819" spans="1:8" ht="15" customHeight="1" x14ac:dyDescent="0.2">
      <c r="A819" s="9"/>
      <c r="B819" s="8"/>
      <c r="C819" s="8"/>
      <c r="D819" s="8"/>
      <c r="E819" s="8"/>
      <c r="F819" s="11" t="str">
        <f>IFERROR(INDEX(Reference!$B$23:$B$24,MATCH(D819,Reference!$A$23:$A$24,0)),"")</f>
        <v/>
      </c>
      <c r="G819" s="11" t="str">
        <f t="shared" si="24"/>
        <v/>
      </c>
      <c r="H819" s="10" t="str">
        <f t="shared" si="25"/>
        <v/>
      </c>
    </row>
    <row r="820" spans="1:8" ht="15" customHeight="1" x14ac:dyDescent="0.2">
      <c r="A820" s="9"/>
      <c r="B820" s="8"/>
      <c r="C820" s="8"/>
      <c r="D820" s="8"/>
      <c r="E820" s="8"/>
      <c r="F820" s="11" t="str">
        <f>IFERROR(INDEX(Reference!$B$23:$B$24,MATCH(D820,Reference!$A$23:$A$24,0)),"")</f>
        <v/>
      </c>
      <c r="G820" s="11" t="str">
        <f t="shared" si="24"/>
        <v/>
      </c>
      <c r="H820" s="10" t="str">
        <f t="shared" si="25"/>
        <v/>
      </c>
    </row>
    <row r="821" spans="1:8" ht="15" customHeight="1" x14ac:dyDescent="0.2">
      <c r="A821" s="9"/>
      <c r="B821" s="8"/>
      <c r="C821" s="8"/>
      <c r="D821" s="8"/>
      <c r="E821" s="8"/>
      <c r="F821" s="11" t="str">
        <f>IFERROR(INDEX(Reference!$B$23:$B$24,MATCH(D821,Reference!$A$23:$A$24,0)),"")</f>
        <v/>
      </c>
      <c r="G821" s="11" t="str">
        <f t="shared" si="24"/>
        <v/>
      </c>
      <c r="H821" s="10" t="str">
        <f t="shared" si="25"/>
        <v/>
      </c>
    </row>
    <row r="822" spans="1:8" ht="15" customHeight="1" x14ac:dyDescent="0.2">
      <c r="A822" s="9"/>
      <c r="B822" s="8"/>
      <c r="C822" s="8"/>
      <c r="D822" s="8"/>
      <c r="E822" s="8"/>
      <c r="F822" s="11" t="str">
        <f>IFERROR(INDEX(Reference!$B$23:$B$24,MATCH(D822,Reference!$A$23:$A$24,0)),"")</f>
        <v/>
      </c>
      <c r="G822" s="11" t="str">
        <f t="shared" si="24"/>
        <v/>
      </c>
      <c r="H822" s="10" t="str">
        <f t="shared" si="25"/>
        <v/>
      </c>
    </row>
    <row r="823" spans="1:8" ht="15" customHeight="1" x14ac:dyDescent="0.2">
      <c r="A823" s="9"/>
      <c r="B823" s="8"/>
      <c r="C823" s="8"/>
      <c r="D823" s="8"/>
      <c r="E823" s="8"/>
      <c r="F823" s="11" t="str">
        <f>IFERROR(INDEX(Reference!$B$23:$B$24,MATCH(D823,Reference!$A$23:$A$24,0)),"")</f>
        <v/>
      </c>
      <c r="G823" s="11" t="str">
        <f t="shared" si="24"/>
        <v/>
      </c>
      <c r="H823" s="10" t="str">
        <f t="shared" si="25"/>
        <v/>
      </c>
    </row>
    <row r="824" spans="1:8" ht="15" customHeight="1" x14ac:dyDescent="0.2">
      <c r="A824" s="9"/>
      <c r="B824" s="8"/>
      <c r="C824" s="8"/>
      <c r="D824" s="8"/>
      <c r="E824" s="8"/>
      <c r="F824" s="11" t="str">
        <f>IFERROR(INDEX(Reference!$B$23:$B$24,MATCH(D824,Reference!$A$23:$A$24,0)),"")</f>
        <v/>
      </c>
      <c r="G824" s="11" t="str">
        <f t="shared" si="24"/>
        <v/>
      </c>
      <c r="H824" s="10" t="str">
        <f t="shared" si="25"/>
        <v/>
      </c>
    </row>
    <row r="825" spans="1:8" ht="15" customHeight="1" x14ac:dyDescent="0.2">
      <c r="A825" s="9"/>
      <c r="B825" s="8"/>
      <c r="C825" s="8"/>
      <c r="D825" s="8"/>
      <c r="E825" s="8"/>
      <c r="F825" s="11" t="str">
        <f>IFERROR(INDEX(Reference!$B$23:$B$24,MATCH(D825,Reference!$A$23:$A$24,0)),"")</f>
        <v/>
      </c>
      <c r="G825" s="11" t="str">
        <f t="shared" si="24"/>
        <v/>
      </c>
      <c r="H825" s="10" t="str">
        <f t="shared" si="25"/>
        <v/>
      </c>
    </row>
    <row r="826" spans="1:8" ht="15" customHeight="1" x14ac:dyDescent="0.2">
      <c r="A826" s="9"/>
      <c r="B826" s="8"/>
      <c r="C826" s="8"/>
      <c r="D826" s="8"/>
      <c r="E826" s="8"/>
      <c r="F826" s="11" t="str">
        <f>IFERROR(INDEX(Reference!$B$23:$B$24,MATCH(D826,Reference!$A$23:$A$24,0)),"")</f>
        <v/>
      </c>
      <c r="G826" s="11" t="str">
        <f t="shared" si="24"/>
        <v/>
      </c>
      <c r="H826" s="10" t="str">
        <f t="shared" si="25"/>
        <v/>
      </c>
    </row>
    <row r="827" spans="1:8" ht="15" customHeight="1" x14ac:dyDescent="0.2">
      <c r="A827" s="9"/>
      <c r="B827" s="8"/>
      <c r="C827" s="8"/>
      <c r="D827" s="8"/>
      <c r="E827" s="8"/>
      <c r="F827" s="11" t="str">
        <f>IFERROR(INDEX(Reference!$B$23:$B$24,MATCH(D827,Reference!$A$23:$A$24,0)),"")</f>
        <v/>
      </c>
      <c r="G827" s="11" t="str">
        <f t="shared" si="24"/>
        <v/>
      </c>
      <c r="H827" s="10" t="str">
        <f t="shared" si="25"/>
        <v/>
      </c>
    </row>
    <row r="828" spans="1:8" ht="15" customHeight="1" x14ac:dyDescent="0.2">
      <c r="A828" s="9"/>
      <c r="B828" s="8"/>
      <c r="C828" s="8"/>
      <c r="D828" s="8"/>
      <c r="E828" s="8"/>
      <c r="F828" s="11" t="str">
        <f>IFERROR(INDEX(Reference!$B$23:$B$24,MATCH(D828,Reference!$A$23:$A$24,0)),"")</f>
        <v/>
      </c>
      <c r="G828" s="11" t="str">
        <f t="shared" si="24"/>
        <v/>
      </c>
      <c r="H828" s="10" t="str">
        <f t="shared" si="25"/>
        <v/>
      </c>
    </row>
    <row r="829" spans="1:8" ht="15" customHeight="1" x14ac:dyDescent="0.2">
      <c r="A829" s="9"/>
      <c r="B829" s="8"/>
      <c r="C829" s="8"/>
      <c r="D829" s="8"/>
      <c r="E829" s="8"/>
      <c r="F829" s="11" t="str">
        <f>IFERROR(INDEX(Reference!$B$23:$B$24,MATCH(D829,Reference!$A$23:$A$24,0)),"")</f>
        <v/>
      </c>
      <c r="G829" s="11" t="str">
        <f t="shared" si="24"/>
        <v/>
      </c>
      <c r="H829" s="10" t="str">
        <f t="shared" si="25"/>
        <v/>
      </c>
    </row>
    <row r="830" spans="1:8" ht="15" customHeight="1" x14ac:dyDescent="0.2">
      <c r="A830" s="9"/>
      <c r="B830" s="8"/>
      <c r="C830" s="8"/>
      <c r="D830" s="8"/>
      <c r="E830" s="8"/>
      <c r="F830" s="11" t="str">
        <f>IFERROR(INDEX(Reference!$B$23:$B$24,MATCH(D830,Reference!$A$23:$A$24,0)),"")</f>
        <v/>
      </c>
      <c r="G830" s="11" t="str">
        <f t="shared" si="24"/>
        <v/>
      </c>
      <c r="H830" s="10" t="str">
        <f t="shared" si="25"/>
        <v/>
      </c>
    </row>
    <row r="831" spans="1:8" ht="15" customHeight="1" x14ac:dyDescent="0.2">
      <c r="A831" s="9"/>
      <c r="B831" s="8"/>
      <c r="C831" s="8"/>
      <c r="D831" s="8"/>
      <c r="E831" s="8"/>
      <c r="F831" s="11" t="str">
        <f>IFERROR(INDEX(Reference!$B$23:$B$24,MATCH(D831,Reference!$A$23:$A$24,0)),"")</f>
        <v/>
      </c>
      <c r="G831" s="11" t="str">
        <f t="shared" si="24"/>
        <v/>
      </c>
      <c r="H831" s="10" t="str">
        <f t="shared" si="25"/>
        <v/>
      </c>
    </row>
    <row r="832" spans="1:8" ht="15" customHeight="1" x14ac:dyDescent="0.2">
      <c r="A832" s="9"/>
      <c r="B832" s="8"/>
      <c r="C832" s="8"/>
      <c r="D832" s="8"/>
      <c r="E832" s="8"/>
      <c r="F832" s="11" t="str">
        <f>IFERROR(INDEX(Reference!$B$23:$B$24,MATCH(D832,Reference!$A$23:$A$24,0)),"")</f>
        <v/>
      </c>
      <c r="G832" s="11" t="str">
        <f t="shared" si="24"/>
        <v/>
      </c>
      <c r="H832" s="10" t="str">
        <f t="shared" si="25"/>
        <v/>
      </c>
    </row>
    <row r="833" spans="1:8" ht="15" customHeight="1" x14ac:dyDescent="0.2">
      <c r="A833" s="9"/>
      <c r="B833" s="8"/>
      <c r="C833" s="8"/>
      <c r="D833" s="8"/>
      <c r="E833" s="8"/>
      <c r="F833" s="11" t="str">
        <f>IFERROR(INDEX(Reference!$B$23:$B$24,MATCH(D833,Reference!$A$23:$A$24,0)),"")</f>
        <v/>
      </c>
      <c r="G833" s="11" t="str">
        <f t="shared" si="24"/>
        <v/>
      </c>
      <c r="H833" s="10" t="str">
        <f t="shared" si="25"/>
        <v/>
      </c>
    </row>
    <row r="834" spans="1:8" ht="15" customHeight="1" x14ac:dyDescent="0.2">
      <c r="A834" s="9"/>
      <c r="B834" s="8"/>
      <c r="C834" s="8"/>
      <c r="D834" s="8"/>
      <c r="E834" s="8"/>
      <c r="F834" s="11" t="str">
        <f>IFERROR(INDEX(Reference!$B$23:$B$24,MATCH(D834,Reference!$A$23:$A$24,0)),"")</f>
        <v/>
      </c>
      <c r="G834" s="11" t="str">
        <f t="shared" ref="G834:G897" si="26">IF(OR(E834="",F834=""),"",E834*F834)</f>
        <v/>
      </c>
      <c r="H834" s="10" t="str">
        <f t="shared" ref="H834:H897" si="27">IF(A834="","",IF(MONTH(A834)&gt;=8,YEAR(A834)&amp;"-"&amp;RIGHT(YEAR(A834)+1,2),YEAR(A834)-1&amp;"-"&amp;RIGHT(YEAR(A834),2)))</f>
        <v/>
      </c>
    </row>
    <row r="835" spans="1:8" ht="15" customHeight="1" x14ac:dyDescent="0.2">
      <c r="A835" s="9"/>
      <c r="B835" s="8"/>
      <c r="C835" s="8"/>
      <c r="D835" s="8"/>
      <c r="E835" s="8"/>
      <c r="F835" s="11" t="str">
        <f>IFERROR(INDEX(Reference!$B$23:$B$24,MATCH(D835,Reference!$A$23:$A$24,0)),"")</f>
        <v/>
      </c>
      <c r="G835" s="11" t="str">
        <f t="shared" si="26"/>
        <v/>
      </c>
      <c r="H835" s="10" t="str">
        <f t="shared" si="27"/>
        <v/>
      </c>
    </row>
    <row r="836" spans="1:8" ht="15" customHeight="1" x14ac:dyDescent="0.2">
      <c r="A836" s="9"/>
      <c r="B836" s="8"/>
      <c r="C836" s="8"/>
      <c r="D836" s="8"/>
      <c r="E836" s="8"/>
      <c r="F836" s="11" t="str">
        <f>IFERROR(INDEX(Reference!$B$23:$B$24,MATCH(D836,Reference!$A$23:$A$24,0)),"")</f>
        <v/>
      </c>
      <c r="G836" s="11" t="str">
        <f t="shared" si="26"/>
        <v/>
      </c>
      <c r="H836" s="10" t="str">
        <f t="shared" si="27"/>
        <v/>
      </c>
    </row>
    <row r="837" spans="1:8" ht="15" customHeight="1" x14ac:dyDescent="0.2">
      <c r="A837" s="9"/>
      <c r="B837" s="8"/>
      <c r="C837" s="8"/>
      <c r="D837" s="8"/>
      <c r="E837" s="8"/>
      <c r="F837" s="11" t="str">
        <f>IFERROR(INDEX(Reference!$B$23:$B$24,MATCH(D837,Reference!$A$23:$A$24,0)),"")</f>
        <v/>
      </c>
      <c r="G837" s="11" t="str">
        <f t="shared" si="26"/>
        <v/>
      </c>
      <c r="H837" s="10" t="str">
        <f t="shared" si="27"/>
        <v/>
      </c>
    </row>
    <row r="838" spans="1:8" ht="15" customHeight="1" x14ac:dyDescent="0.2">
      <c r="A838" s="9"/>
      <c r="B838" s="8"/>
      <c r="C838" s="8"/>
      <c r="D838" s="8"/>
      <c r="E838" s="8"/>
      <c r="F838" s="11" t="str">
        <f>IFERROR(INDEX(Reference!$B$23:$B$24,MATCH(D838,Reference!$A$23:$A$24,0)),"")</f>
        <v/>
      </c>
      <c r="G838" s="11" t="str">
        <f t="shared" si="26"/>
        <v/>
      </c>
      <c r="H838" s="10" t="str">
        <f t="shared" si="27"/>
        <v/>
      </c>
    </row>
    <row r="839" spans="1:8" ht="15" customHeight="1" x14ac:dyDescent="0.2">
      <c r="A839" s="9"/>
      <c r="B839" s="8"/>
      <c r="C839" s="8"/>
      <c r="D839" s="8"/>
      <c r="E839" s="8"/>
      <c r="F839" s="11" t="str">
        <f>IFERROR(INDEX(Reference!$B$23:$B$24,MATCH(D839,Reference!$A$23:$A$24,0)),"")</f>
        <v/>
      </c>
      <c r="G839" s="11" t="str">
        <f t="shared" si="26"/>
        <v/>
      </c>
      <c r="H839" s="10" t="str">
        <f t="shared" si="27"/>
        <v/>
      </c>
    </row>
    <row r="840" spans="1:8" ht="15" customHeight="1" x14ac:dyDescent="0.2">
      <c r="A840" s="9"/>
      <c r="B840" s="8"/>
      <c r="C840" s="8"/>
      <c r="D840" s="8"/>
      <c r="E840" s="8"/>
      <c r="F840" s="11" t="str">
        <f>IFERROR(INDEX(Reference!$B$23:$B$24,MATCH(D840,Reference!$A$23:$A$24,0)),"")</f>
        <v/>
      </c>
      <c r="G840" s="11" t="str">
        <f t="shared" si="26"/>
        <v/>
      </c>
      <c r="H840" s="10" t="str">
        <f t="shared" si="27"/>
        <v/>
      </c>
    </row>
    <row r="841" spans="1:8" ht="15" customHeight="1" x14ac:dyDescent="0.2">
      <c r="A841" s="9"/>
      <c r="B841" s="8"/>
      <c r="C841" s="8"/>
      <c r="D841" s="8"/>
      <c r="E841" s="8"/>
      <c r="F841" s="11" t="str">
        <f>IFERROR(INDEX(Reference!$B$23:$B$24,MATCH(D841,Reference!$A$23:$A$24,0)),"")</f>
        <v/>
      </c>
      <c r="G841" s="11" t="str">
        <f t="shared" si="26"/>
        <v/>
      </c>
      <c r="H841" s="10" t="str">
        <f t="shared" si="27"/>
        <v/>
      </c>
    </row>
    <row r="842" spans="1:8" ht="15" customHeight="1" x14ac:dyDescent="0.2">
      <c r="A842" s="9"/>
      <c r="B842" s="8"/>
      <c r="C842" s="8"/>
      <c r="D842" s="8"/>
      <c r="E842" s="8"/>
      <c r="F842" s="11" t="str">
        <f>IFERROR(INDEX(Reference!$B$23:$B$24,MATCH(D842,Reference!$A$23:$A$24,0)),"")</f>
        <v/>
      </c>
      <c r="G842" s="11" t="str">
        <f t="shared" si="26"/>
        <v/>
      </c>
      <c r="H842" s="10" t="str">
        <f t="shared" si="27"/>
        <v/>
      </c>
    </row>
    <row r="843" spans="1:8" ht="15" customHeight="1" x14ac:dyDescent="0.2">
      <c r="A843" s="9"/>
      <c r="B843" s="8"/>
      <c r="C843" s="8"/>
      <c r="D843" s="8"/>
      <c r="E843" s="8"/>
      <c r="F843" s="11" t="str">
        <f>IFERROR(INDEX(Reference!$B$23:$B$24,MATCH(D843,Reference!$A$23:$A$24,0)),"")</f>
        <v/>
      </c>
      <c r="G843" s="11" t="str">
        <f t="shared" si="26"/>
        <v/>
      </c>
      <c r="H843" s="10" t="str">
        <f t="shared" si="27"/>
        <v/>
      </c>
    </row>
    <row r="844" spans="1:8" ht="15" customHeight="1" x14ac:dyDescent="0.2">
      <c r="A844" s="9"/>
      <c r="B844" s="8"/>
      <c r="C844" s="8"/>
      <c r="D844" s="8"/>
      <c r="E844" s="8"/>
      <c r="F844" s="11" t="str">
        <f>IFERROR(INDEX(Reference!$B$23:$B$24,MATCH(D844,Reference!$A$23:$A$24,0)),"")</f>
        <v/>
      </c>
      <c r="G844" s="11" t="str">
        <f t="shared" si="26"/>
        <v/>
      </c>
      <c r="H844" s="10" t="str">
        <f t="shared" si="27"/>
        <v/>
      </c>
    </row>
    <row r="845" spans="1:8" ht="15" customHeight="1" x14ac:dyDescent="0.2">
      <c r="A845" s="9"/>
      <c r="B845" s="8"/>
      <c r="C845" s="8"/>
      <c r="D845" s="8"/>
      <c r="E845" s="8"/>
      <c r="F845" s="11" t="str">
        <f>IFERROR(INDEX(Reference!$B$23:$B$24,MATCH(D845,Reference!$A$23:$A$24,0)),"")</f>
        <v/>
      </c>
      <c r="G845" s="11" t="str">
        <f t="shared" si="26"/>
        <v/>
      </c>
      <c r="H845" s="10" t="str">
        <f t="shared" si="27"/>
        <v/>
      </c>
    </row>
    <row r="846" spans="1:8" ht="15" customHeight="1" x14ac:dyDescent="0.2">
      <c r="A846" s="9"/>
      <c r="B846" s="8"/>
      <c r="C846" s="8"/>
      <c r="D846" s="8"/>
      <c r="E846" s="8"/>
      <c r="F846" s="11" t="str">
        <f>IFERROR(INDEX(Reference!$B$23:$B$24,MATCH(D846,Reference!$A$23:$A$24,0)),"")</f>
        <v/>
      </c>
      <c r="G846" s="11" t="str">
        <f t="shared" si="26"/>
        <v/>
      </c>
      <c r="H846" s="10" t="str">
        <f t="shared" si="27"/>
        <v/>
      </c>
    </row>
    <row r="847" spans="1:8" ht="15" customHeight="1" x14ac:dyDescent="0.2">
      <c r="A847" s="9"/>
      <c r="B847" s="8"/>
      <c r="C847" s="8"/>
      <c r="D847" s="8"/>
      <c r="E847" s="8"/>
      <c r="F847" s="11" t="str">
        <f>IFERROR(INDEX(Reference!$B$23:$B$24,MATCH(D847,Reference!$A$23:$A$24,0)),"")</f>
        <v/>
      </c>
      <c r="G847" s="11" t="str">
        <f t="shared" si="26"/>
        <v/>
      </c>
      <c r="H847" s="10" t="str">
        <f t="shared" si="27"/>
        <v/>
      </c>
    </row>
    <row r="848" spans="1:8" ht="15" customHeight="1" x14ac:dyDescent="0.2">
      <c r="A848" s="9"/>
      <c r="B848" s="8"/>
      <c r="C848" s="8"/>
      <c r="D848" s="8"/>
      <c r="E848" s="8"/>
      <c r="F848" s="11" t="str">
        <f>IFERROR(INDEX(Reference!$B$23:$B$24,MATCH(D848,Reference!$A$23:$A$24,0)),"")</f>
        <v/>
      </c>
      <c r="G848" s="11" t="str">
        <f t="shared" si="26"/>
        <v/>
      </c>
      <c r="H848" s="10" t="str">
        <f t="shared" si="27"/>
        <v/>
      </c>
    </row>
    <row r="849" spans="1:8" ht="15" customHeight="1" x14ac:dyDescent="0.2">
      <c r="A849" s="9"/>
      <c r="B849" s="8"/>
      <c r="C849" s="8"/>
      <c r="D849" s="8"/>
      <c r="E849" s="8"/>
      <c r="F849" s="11" t="str">
        <f>IFERROR(INDEX(Reference!$B$23:$B$24,MATCH(D849,Reference!$A$23:$A$24,0)),"")</f>
        <v/>
      </c>
      <c r="G849" s="11" t="str">
        <f t="shared" si="26"/>
        <v/>
      </c>
      <c r="H849" s="10" t="str">
        <f t="shared" si="27"/>
        <v/>
      </c>
    </row>
    <row r="850" spans="1:8" ht="15" customHeight="1" x14ac:dyDescent="0.2">
      <c r="A850" s="9"/>
      <c r="B850" s="8"/>
      <c r="C850" s="8"/>
      <c r="D850" s="8"/>
      <c r="E850" s="8"/>
      <c r="F850" s="11" t="str">
        <f>IFERROR(INDEX(Reference!$B$23:$B$24,MATCH(D850,Reference!$A$23:$A$24,0)),"")</f>
        <v/>
      </c>
      <c r="G850" s="11" t="str">
        <f t="shared" si="26"/>
        <v/>
      </c>
      <c r="H850" s="10" t="str">
        <f t="shared" si="27"/>
        <v/>
      </c>
    </row>
    <row r="851" spans="1:8" ht="15" customHeight="1" x14ac:dyDescent="0.2">
      <c r="A851" s="9"/>
      <c r="B851" s="8"/>
      <c r="C851" s="8"/>
      <c r="D851" s="8"/>
      <c r="E851" s="8"/>
      <c r="F851" s="11" t="str">
        <f>IFERROR(INDEX(Reference!$B$23:$B$24,MATCH(D851,Reference!$A$23:$A$24,0)),"")</f>
        <v/>
      </c>
      <c r="G851" s="11" t="str">
        <f t="shared" si="26"/>
        <v/>
      </c>
      <c r="H851" s="10" t="str">
        <f t="shared" si="27"/>
        <v/>
      </c>
    </row>
    <row r="852" spans="1:8" ht="15" customHeight="1" x14ac:dyDescent="0.2">
      <c r="A852" s="9"/>
      <c r="B852" s="8"/>
      <c r="C852" s="8"/>
      <c r="D852" s="8"/>
      <c r="E852" s="8"/>
      <c r="F852" s="11" t="str">
        <f>IFERROR(INDEX(Reference!$B$23:$B$24,MATCH(D852,Reference!$A$23:$A$24,0)),"")</f>
        <v/>
      </c>
      <c r="G852" s="11" t="str">
        <f t="shared" si="26"/>
        <v/>
      </c>
      <c r="H852" s="10" t="str">
        <f t="shared" si="27"/>
        <v/>
      </c>
    </row>
    <row r="853" spans="1:8" ht="15" customHeight="1" x14ac:dyDescent="0.2">
      <c r="A853" s="9"/>
      <c r="B853" s="8"/>
      <c r="C853" s="8"/>
      <c r="D853" s="8"/>
      <c r="E853" s="8"/>
      <c r="F853" s="11" t="str">
        <f>IFERROR(INDEX(Reference!$B$23:$B$24,MATCH(D853,Reference!$A$23:$A$24,0)),"")</f>
        <v/>
      </c>
      <c r="G853" s="11" t="str">
        <f t="shared" si="26"/>
        <v/>
      </c>
      <c r="H853" s="10" t="str">
        <f t="shared" si="27"/>
        <v/>
      </c>
    </row>
    <row r="854" spans="1:8" ht="15" customHeight="1" x14ac:dyDescent="0.2">
      <c r="A854" s="9"/>
      <c r="B854" s="8"/>
      <c r="C854" s="8"/>
      <c r="D854" s="8"/>
      <c r="E854" s="8"/>
      <c r="F854" s="11" t="str">
        <f>IFERROR(INDEX(Reference!$B$23:$B$24,MATCH(D854,Reference!$A$23:$A$24,0)),"")</f>
        <v/>
      </c>
      <c r="G854" s="11" t="str">
        <f t="shared" si="26"/>
        <v/>
      </c>
      <c r="H854" s="10" t="str">
        <f t="shared" si="27"/>
        <v/>
      </c>
    </row>
    <row r="855" spans="1:8" ht="15" customHeight="1" x14ac:dyDescent="0.2">
      <c r="A855" s="9"/>
      <c r="B855" s="8"/>
      <c r="C855" s="8"/>
      <c r="D855" s="8"/>
      <c r="E855" s="8"/>
      <c r="F855" s="11" t="str">
        <f>IFERROR(INDEX(Reference!$B$23:$B$24,MATCH(D855,Reference!$A$23:$A$24,0)),"")</f>
        <v/>
      </c>
      <c r="G855" s="11" t="str">
        <f t="shared" si="26"/>
        <v/>
      </c>
      <c r="H855" s="10" t="str">
        <f t="shared" si="27"/>
        <v/>
      </c>
    </row>
    <row r="856" spans="1:8" ht="15" customHeight="1" x14ac:dyDescent="0.2">
      <c r="A856" s="9"/>
      <c r="B856" s="8"/>
      <c r="C856" s="8"/>
      <c r="D856" s="8"/>
      <c r="E856" s="8"/>
      <c r="F856" s="11" t="str">
        <f>IFERROR(INDEX(Reference!$B$23:$B$24,MATCH(D856,Reference!$A$23:$A$24,0)),"")</f>
        <v/>
      </c>
      <c r="G856" s="11" t="str">
        <f t="shared" si="26"/>
        <v/>
      </c>
      <c r="H856" s="10" t="str">
        <f t="shared" si="27"/>
        <v/>
      </c>
    </row>
    <row r="857" spans="1:8" ht="15" customHeight="1" x14ac:dyDescent="0.2">
      <c r="A857" s="9"/>
      <c r="B857" s="8"/>
      <c r="C857" s="8"/>
      <c r="D857" s="8"/>
      <c r="E857" s="8"/>
      <c r="F857" s="11" t="str">
        <f>IFERROR(INDEX(Reference!$B$23:$B$24,MATCH(D857,Reference!$A$23:$A$24,0)),"")</f>
        <v/>
      </c>
      <c r="G857" s="11" t="str">
        <f t="shared" si="26"/>
        <v/>
      </c>
      <c r="H857" s="10" t="str">
        <f t="shared" si="27"/>
        <v/>
      </c>
    </row>
    <row r="858" spans="1:8" ht="15" customHeight="1" x14ac:dyDescent="0.2">
      <c r="A858" s="9"/>
      <c r="B858" s="8"/>
      <c r="C858" s="8"/>
      <c r="D858" s="8"/>
      <c r="E858" s="8"/>
      <c r="F858" s="11" t="str">
        <f>IFERROR(INDEX(Reference!$B$23:$B$24,MATCH(D858,Reference!$A$23:$A$24,0)),"")</f>
        <v/>
      </c>
      <c r="G858" s="11" t="str">
        <f t="shared" si="26"/>
        <v/>
      </c>
      <c r="H858" s="10" t="str">
        <f t="shared" si="27"/>
        <v/>
      </c>
    </row>
    <row r="859" spans="1:8" ht="15" customHeight="1" x14ac:dyDescent="0.2">
      <c r="A859" s="9"/>
      <c r="B859" s="8"/>
      <c r="C859" s="8"/>
      <c r="D859" s="8"/>
      <c r="E859" s="8"/>
      <c r="F859" s="11" t="str">
        <f>IFERROR(INDEX(Reference!$B$23:$B$24,MATCH(D859,Reference!$A$23:$A$24,0)),"")</f>
        <v/>
      </c>
      <c r="G859" s="11" t="str">
        <f t="shared" si="26"/>
        <v/>
      </c>
      <c r="H859" s="10" t="str">
        <f t="shared" si="27"/>
        <v/>
      </c>
    </row>
    <row r="860" spans="1:8" ht="15" customHeight="1" x14ac:dyDescent="0.2">
      <c r="A860" s="9"/>
      <c r="B860" s="8"/>
      <c r="C860" s="8"/>
      <c r="D860" s="8"/>
      <c r="E860" s="8"/>
      <c r="F860" s="11" t="str">
        <f>IFERROR(INDEX(Reference!$B$23:$B$24,MATCH(D860,Reference!$A$23:$A$24,0)),"")</f>
        <v/>
      </c>
      <c r="G860" s="11" t="str">
        <f t="shared" si="26"/>
        <v/>
      </c>
      <c r="H860" s="10" t="str">
        <f t="shared" si="27"/>
        <v/>
      </c>
    </row>
    <row r="861" spans="1:8" ht="15" customHeight="1" x14ac:dyDescent="0.2">
      <c r="A861" s="9"/>
      <c r="B861" s="8"/>
      <c r="C861" s="8"/>
      <c r="D861" s="8"/>
      <c r="E861" s="8"/>
      <c r="F861" s="11" t="str">
        <f>IFERROR(INDEX(Reference!$B$23:$B$24,MATCH(D861,Reference!$A$23:$A$24,0)),"")</f>
        <v/>
      </c>
      <c r="G861" s="11" t="str">
        <f t="shared" si="26"/>
        <v/>
      </c>
      <c r="H861" s="10" t="str">
        <f t="shared" si="27"/>
        <v/>
      </c>
    </row>
    <row r="862" spans="1:8" ht="15" customHeight="1" x14ac:dyDescent="0.2">
      <c r="A862" s="9"/>
      <c r="B862" s="8"/>
      <c r="C862" s="8"/>
      <c r="D862" s="8"/>
      <c r="E862" s="8"/>
      <c r="F862" s="11" t="str">
        <f>IFERROR(INDEX(Reference!$B$23:$B$24,MATCH(D862,Reference!$A$23:$A$24,0)),"")</f>
        <v/>
      </c>
      <c r="G862" s="11" t="str">
        <f t="shared" si="26"/>
        <v/>
      </c>
      <c r="H862" s="10" t="str">
        <f t="shared" si="27"/>
        <v/>
      </c>
    </row>
    <row r="863" spans="1:8" ht="15" customHeight="1" x14ac:dyDescent="0.2">
      <c r="A863" s="9"/>
      <c r="B863" s="8"/>
      <c r="C863" s="8"/>
      <c r="D863" s="8"/>
      <c r="E863" s="8"/>
      <c r="F863" s="11" t="str">
        <f>IFERROR(INDEX(Reference!$B$23:$B$24,MATCH(D863,Reference!$A$23:$A$24,0)),"")</f>
        <v/>
      </c>
      <c r="G863" s="11" t="str">
        <f t="shared" si="26"/>
        <v/>
      </c>
      <c r="H863" s="10" t="str">
        <f t="shared" si="27"/>
        <v/>
      </c>
    </row>
    <row r="864" spans="1:8" ht="15" customHeight="1" x14ac:dyDescent="0.2">
      <c r="A864" s="9"/>
      <c r="B864" s="8"/>
      <c r="C864" s="8"/>
      <c r="D864" s="8"/>
      <c r="E864" s="8"/>
      <c r="F864" s="11" t="str">
        <f>IFERROR(INDEX(Reference!$B$23:$B$24,MATCH(D864,Reference!$A$23:$A$24,0)),"")</f>
        <v/>
      </c>
      <c r="G864" s="11" t="str">
        <f t="shared" si="26"/>
        <v/>
      </c>
      <c r="H864" s="10" t="str">
        <f t="shared" si="27"/>
        <v/>
      </c>
    </row>
    <row r="865" spans="1:8" ht="15" customHeight="1" x14ac:dyDescent="0.2">
      <c r="A865" s="9"/>
      <c r="B865" s="8"/>
      <c r="C865" s="8"/>
      <c r="D865" s="8"/>
      <c r="E865" s="8"/>
      <c r="F865" s="11" t="str">
        <f>IFERROR(INDEX(Reference!$B$23:$B$24,MATCH(D865,Reference!$A$23:$A$24,0)),"")</f>
        <v/>
      </c>
      <c r="G865" s="11" t="str">
        <f t="shared" si="26"/>
        <v/>
      </c>
      <c r="H865" s="10" t="str">
        <f t="shared" si="27"/>
        <v/>
      </c>
    </row>
    <row r="866" spans="1:8" ht="15" customHeight="1" x14ac:dyDescent="0.2">
      <c r="A866" s="9"/>
      <c r="B866" s="8"/>
      <c r="C866" s="8"/>
      <c r="D866" s="8"/>
      <c r="E866" s="8"/>
      <c r="F866" s="11" t="str">
        <f>IFERROR(INDEX(Reference!$B$23:$B$24,MATCH(D866,Reference!$A$23:$A$24,0)),"")</f>
        <v/>
      </c>
      <c r="G866" s="11" t="str">
        <f t="shared" si="26"/>
        <v/>
      </c>
      <c r="H866" s="10" t="str">
        <f t="shared" si="27"/>
        <v/>
      </c>
    </row>
    <row r="867" spans="1:8" ht="15" customHeight="1" x14ac:dyDescent="0.2">
      <c r="A867" s="9"/>
      <c r="B867" s="8"/>
      <c r="C867" s="8"/>
      <c r="D867" s="8"/>
      <c r="E867" s="8"/>
      <c r="F867" s="11" t="str">
        <f>IFERROR(INDEX(Reference!$B$23:$B$24,MATCH(D867,Reference!$A$23:$A$24,0)),"")</f>
        <v/>
      </c>
      <c r="G867" s="11" t="str">
        <f t="shared" si="26"/>
        <v/>
      </c>
      <c r="H867" s="10" t="str">
        <f t="shared" si="27"/>
        <v/>
      </c>
    </row>
    <row r="868" spans="1:8" ht="15" customHeight="1" x14ac:dyDescent="0.2">
      <c r="A868" s="9"/>
      <c r="B868" s="8"/>
      <c r="C868" s="8"/>
      <c r="D868" s="8"/>
      <c r="E868" s="8"/>
      <c r="F868" s="11" t="str">
        <f>IFERROR(INDEX(Reference!$B$23:$B$24,MATCH(D868,Reference!$A$23:$A$24,0)),"")</f>
        <v/>
      </c>
      <c r="G868" s="11" t="str">
        <f t="shared" si="26"/>
        <v/>
      </c>
      <c r="H868" s="10" t="str">
        <f t="shared" si="27"/>
        <v/>
      </c>
    </row>
    <row r="869" spans="1:8" ht="15" customHeight="1" x14ac:dyDescent="0.2">
      <c r="A869" s="9"/>
      <c r="B869" s="8"/>
      <c r="C869" s="8"/>
      <c r="D869" s="8"/>
      <c r="E869" s="8"/>
      <c r="F869" s="11" t="str">
        <f>IFERROR(INDEX(Reference!$B$23:$B$24,MATCH(D869,Reference!$A$23:$A$24,0)),"")</f>
        <v/>
      </c>
      <c r="G869" s="11" t="str">
        <f t="shared" si="26"/>
        <v/>
      </c>
      <c r="H869" s="10" t="str">
        <f t="shared" si="27"/>
        <v/>
      </c>
    </row>
    <row r="870" spans="1:8" ht="15" customHeight="1" x14ac:dyDescent="0.2">
      <c r="A870" s="9"/>
      <c r="B870" s="8"/>
      <c r="C870" s="8"/>
      <c r="D870" s="8"/>
      <c r="E870" s="8"/>
      <c r="F870" s="11" t="str">
        <f>IFERROR(INDEX(Reference!$B$23:$B$24,MATCH(D870,Reference!$A$23:$A$24,0)),"")</f>
        <v/>
      </c>
      <c r="G870" s="11" t="str">
        <f t="shared" si="26"/>
        <v/>
      </c>
      <c r="H870" s="10" t="str">
        <f t="shared" si="27"/>
        <v/>
      </c>
    </row>
    <row r="871" spans="1:8" ht="15" customHeight="1" x14ac:dyDescent="0.2">
      <c r="A871" s="9"/>
      <c r="B871" s="8"/>
      <c r="C871" s="8"/>
      <c r="D871" s="8"/>
      <c r="E871" s="8"/>
      <c r="F871" s="11" t="str">
        <f>IFERROR(INDEX(Reference!$B$23:$B$24,MATCH(D871,Reference!$A$23:$A$24,0)),"")</f>
        <v/>
      </c>
      <c r="G871" s="11" t="str">
        <f t="shared" si="26"/>
        <v/>
      </c>
      <c r="H871" s="10" t="str">
        <f t="shared" si="27"/>
        <v/>
      </c>
    </row>
    <row r="872" spans="1:8" ht="15" customHeight="1" x14ac:dyDescent="0.2">
      <c r="A872" s="9"/>
      <c r="B872" s="8"/>
      <c r="C872" s="8"/>
      <c r="D872" s="8"/>
      <c r="E872" s="8"/>
      <c r="F872" s="11" t="str">
        <f>IFERROR(INDEX(Reference!$B$23:$B$24,MATCH(D872,Reference!$A$23:$A$24,0)),"")</f>
        <v/>
      </c>
      <c r="G872" s="11" t="str">
        <f t="shared" si="26"/>
        <v/>
      </c>
      <c r="H872" s="10" t="str">
        <f t="shared" si="27"/>
        <v/>
      </c>
    </row>
    <row r="873" spans="1:8" ht="15" customHeight="1" x14ac:dyDescent="0.2">
      <c r="A873" s="9"/>
      <c r="B873" s="8"/>
      <c r="C873" s="8"/>
      <c r="D873" s="8"/>
      <c r="E873" s="8"/>
      <c r="F873" s="11" t="str">
        <f>IFERROR(INDEX(Reference!$B$23:$B$24,MATCH(D873,Reference!$A$23:$A$24,0)),"")</f>
        <v/>
      </c>
      <c r="G873" s="11" t="str">
        <f t="shared" si="26"/>
        <v/>
      </c>
      <c r="H873" s="10" t="str">
        <f t="shared" si="27"/>
        <v/>
      </c>
    </row>
    <row r="874" spans="1:8" ht="15" customHeight="1" x14ac:dyDescent="0.2">
      <c r="A874" s="9"/>
      <c r="B874" s="8"/>
      <c r="C874" s="8"/>
      <c r="D874" s="8"/>
      <c r="E874" s="8"/>
      <c r="F874" s="11" t="str">
        <f>IFERROR(INDEX(Reference!$B$23:$B$24,MATCH(D874,Reference!$A$23:$A$24,0)),"")</f>
        <v/>
      </c>
      <c r="G874" s="11" t="str">
        <f t="shared" si="26"/>
        <v/>
      </c>
      <c r="H874" s="10" t="str">
        <f t="shared" si="27"/>
        <v/>
      </c>
    </row>
    <row r="875" spans="1:8" ht="15" customHeight="1" x14ac:dyDescent="0.2">
      <c r="A875" s="9"/>
      <c r="B875" s="8"/>
      <c r="C875" s="8"/>
      <c r="D875" s="8"/>
      <c r="E875" s="8"/>
      <c r="F875" s="11" t="str">
        <f>IFERROR(INDEX(Reference!$B$23:$B$24,MATCH(D875,Reference!$A$23:$A$24,0)),"")</f>
        <v/>
      </c>
      <c r="G875" s="11" t="str">
        <f t="shared" si="26"/>
        <v/>
      </c>
      <c r="H875" s="10" t="str">
        <f t="shared" si="27"/>
        <v/>
      </c>
    </row>
    <row r="876" spans="1:8" ht="15" customHeight="1" x14ac:dyDescent="0.2">
      <c r="A876" s="9"/>
      <c r="B876" s="8"/>
      <c r="C876" s="8"/>
      <c r="D876" s="8"/>
      <c r="E876" s="8"/>
      <c r="F876" s="11" t="str">
        <f>IFERROR(INDEX(Reference!$B$23:$B$24,MATCH(D876,Reference!$A$23:$A$24,0)),"")</f>
        <v/>
      </c>
      <c r="G876" s="11" t="str">
        <f t="shared" si="26"/>
        <v/>
      </c>
      <c r="H876" s="10" t="str">
        <f t="shared" si="27"/>
        <v/>
      </c>
    </row>
    <row r="877" spans="1:8" ht="15" customHeight="1" x14ac:dyDescent="0.2">
      <c r="A877" s="9"/>
      <c r="B877" s="8"/>
      <c r="C877" s="8"/>
      <c r="D877" s="8"/>
      <c r="E877" s="8"/>
      <c r="F877" s="11" t="str">
        <f>IFERROR(INDEX(Reference!$B$23:$B$24,MATCH(D877,Reference!$A$23:$A$24,0)),"")</f>
        <v/>
      </c>
      <c r="G877" s="11" t="str">
        <f t="shared" si="26"/>
        <v/>
      </c>
      <c r="H877" s="10" t="str">
        <f t="shared" si="27"/>
        <v/>
      </c>
    </row>
    <row r="878" spans="1:8" ht="15" customHeight="1" x14ac:dyDescent="0.2">
      <c r="A878" s="9"/>
      <c r="B878" s="8"/>
      <c r="C878" s="8"/>
      <c r="D878" s="8"/>
      <c r="E878" s="8"/>
      <c r="F878" s="11" t="str">
        <f>IFERROR(INDEX(Reference!$B$23:$B$24,MATCH(D878,Reference!$A$23:$A$24,0)),"")</f>
        <v/>
      </c>
      <c r="G878" s="11" t="str">
        <f t="shared" si="26"/>
        <v/>
      </c>
      <c r="H878" s="10" t="str">
        <f t="shared" si="27"/>
        <v/>
      </c>
    </row>
    <row r="879" spans="1:8" ht="15" customHeight="1" x14ac:dyDescent="0.2">
      <c r="A879" s="9"/>
      <c r="B879" s="8"/>
      <c r="C879" s="8"/>
      <c r="D879" s="8"/>
      <c r="E879" s="8"/>
      <c r="F879" s="11" t="str">
        <f>IFERROR(INDEX(Reference!$B$23:$B$24,MATCH(D879,Reference!$A$23:$A$24,0)),"")</f>
        <v/>
      </c>
      <c r="G879" s="11" t="str">
        <f t="shared" si="26"/>
        <v/>
      </c>
      <c r="H879" s="10" t="str">
        <f t="shared" si="27"/>
        <v/>
      </c>
    </row>
    <row r="880" spans="1:8" ht="15" customHeight="1" x14ac:dyDescent="0.2">
      <c r="A880" s="9"/>
      <c r="B880" s="8"/>
      <c r="C880" s="8"/>
      <c r="D880" s="8"/>
      <c r="E880" s="8"/>
      <c r="F880" s="11" t="str">
        <f>IFERROR(INDEX(Reference!$B$23:$B$24,MATCH(D880,Reference!$A$23:$A$24,0)),"")</f>
        <v/>
      </c>
      <c r="G880" s="11" t="str">
        <f t="shared" si="26"/>
        <v/>
      </c>
      <c r="H880" s="10" t="str">
        <f t="shared" si="27"/>
        <v/>
      </c>
    </row>
    <row r="881" spans="1:8" ht="15" customHeight="1" x14ac:dyDescent="0.2">
      <c r="A881" s="9"/>
      <c r="B881" s="8"/>
      <c r="C881" s="8"/>
      <c r="D881" s="8"/>
      <c r="E881" s="8"/>
      <c r="F881" s="11" t="str">
        <f>IFERROR(INDEX(Reference!$B$23:$B$24,MATCH(D881,Reference!$A$23:$A$24,0)),"")</f>
        <v/>
      </c>
      <c r="G881" s="11" t="str">
        <f t="shared" si="26"/>
        <v/>
      </c>
      <c r="H881" s="10" t="str">
        <f t="shared" si="27"/>
        <v/>
      </c>
    </row>
    <row r="882" spans="1:8" ht="15" customHeight="1" x14ac:dyDescent="0.2">
      <c r="A882" s="9"/>
      <c r="B882" s="8"/>
      <c r="C882" s="8"/>
      <c r="D882" s="8"/>
      <c r="E882" s="8"/>
      <c r="F882" s="11" t="str">
        <f>IFERROR(INDEX(Reference!$B$23:$B$24,MATCH(D882,Reference!$A$23:$A$24,0)),"")</f>
        <v/>
      </c>
      <c r="G882" s="11" t="str">
        <f t="shared" si="26"/>
        <v/>
      </c>
      <c r="H882" s="10" t="str">
        <f t="shared" si="27"/>
        <v/>
      </c>
    </row>
    <row r="883" spans="1:8" ht="15" customHeight="1" x14ac:dyDescent="0.2">
      <c r="A883" s="9"/>
      <c r="B883" s="8"/>
      <c r="C883" s="8"/>
      <c r="D883" s="8"/>
      <c r="E883" s="8"/>
      <c r="F883" s="11" t="str">
        <f>IFERROR(INDEX(Reference!$B$23:$B$24,MATCH(D883,Reference!$A$23:$A$24,0)),"")</f>
        <v/>
      </c>
      <c r="G883" s="11" t="str">
        <f t="shared" si="26"/>
        <v/>
      </c>
      <c r="H883" s="10" t="str">
        <f t="shared" si="27"/>
        <v/>
      </c>
    </row>
    <row r="884" spans="1:8" ht="15" customHeight="1" x14ac:dyDescent="0.2">
      <c r="A884" s="9"/>
      <c r="B884" s="8"/>
      <c r="C884" s="8"/>
      <c r="D884" s="8"/>
      <c r="E884" s="8"/>
      <c r="F884" s="11" t="str">
        <f>IFERROR(INDEX(Reference!$B$23:$B$24,MATCH(D884,Reference!$A$23:$A$24,0)),"")</f>
        <v/>
      </c>
      <c r="G884" s="11" t="str">
        <f t="shared" si="26"/>
        <v/>
      </c>
      <c r="H884" s="10" t="str">
        <f t="shared" si="27"/>
        <v/>
      </c>
    </row>
    <row r="885" spans="1:8" ht="15" customHeight="1" x14ac:dyDescent="0.2">
      <c r="A885" s="9"/>
      <c r="B885" s="8"/>
      <c r="C885" s="8"/>
      <c r="D885" s="8"/>
      <c r="E885" s="8"/>
      <c r="F885" s="11" t="str">
        <f>IFERROR(INDEX(Reference!$B$23:$B$24,MATCH(D885,Reference!$A$23:$A$24,0)),"")</f>
        <v/>
      </c>
      <c r="G885" s="11" t="str">
        <f t="shared" si="26"/>
        <v/>
      </c>
      <c r="H885" s="10" t="str">
        <f t="shared" si="27"/>
        <v/>
      </c>
    </row>
    <row r="886" spans="1:8" ht="15" customHeight="1" x14ac:dyDescent="0.2">
      <c r="A886" s="9"/>
      <c r="B886" s="8"/>
      <c r="C886" s="8"/>
      <c r="D886" s="8"/>
      <c r="E886" s="8"/>
      <c r="F886" s="11" t="str">
        <f>IFERROR(INDEX(Reference!$B$23:$B$24,MATCH(D886,Reference!$A$23:$A$24,0)),"")</f>
        <v/>
      </c>
      <c r="G886" s="11" t="str">
        <f t="shared" si="26"/>
        <v/>
      </c>
      <c r="H886" s="10" t="str">
        <f t="shared" si="27"/>
        <v/>
      </c>
    </row>
    <row r="887" spans="1:8" ht="15" customHeight="1" x14ac:dyDescent="0.2">
      <c r="A887" s="9"/>
      <c r="B887" s="8"/>
      <c r="C887" s="8"/>
      <c r="D887" s="8"/>
      <c r="E887" s="8"/>
      <c r="F887" s="11" t="str">
        <f>IFERROR(INDEX(Reference!$B$23:$B$24,MATCH(D887,Reference!$A$23:$A$24,0)),"")</f>
        <v/>
      </c>
      <c r="G887" s="11" t="str">
        <f t="shared" si="26"/>
        <v/>
      </c>
      <c r="H887" s="10" t="str">
        <f t="shared" si="27"/>
        <v/>
      </c>
    </row>
    <row r="888" spans="1:8" ht="15" customHeight="1" x14ac:dyDescent="0.2">
      <c r="A888" s="9"/>
      <c r="B888" s="8"/>
      <c r="C888" s="8"/>
      <c r="D888" s="8"/>
      <c r="E888" s="8"/>
      <c r="F888" s="11" t="str">
        <f>IFERROR(INDEX(Reference!$B$23:$B$24,MATCH(D888,Reference!$A$23:$A$24,0)),"")</f>
        <v/>
      </c>
      <c r="G888" s="11" t="str">
        <f t="shared" si="26"/>
        <v/>
      </c>
      <c r="H888" s="10" t="str">
        <f t="shared" si="27"/>
        <v/>
      </c>
    </row>
    <row r="889" spans="1:8" ht="15" customHeight="1" x14ac:dyDescent="0.2">
      <c r="A889" s="9"/>
      <c r="B889" s="8"/>
      <c r="C889" s="8"/>
      <c r="D889" s="8"/>
      <c r="E889" s="8"/>
      <c r="F889" s="11" t="str">
        <f>IFERROR(INDEX(Reference!$B$23:$B$24,MATCH(D889,Reference!$A$23:$A$24,0)),"")</f>
        <v/>
      </c>
      <c r="G889" s="11" t="str">
        <f t="shared" si="26"/>
        <v/>
      </c>
      <c r="H889" s="10" t="str">
        <f t="shared" si="27"/>
        <v/>
      </c>
    </row>
    <row r="890" spans="1:8" ht="15" customHeight="1" x14ac:dyDescent="0.2">
      <c r="A890" s="9"/>
      <c r="B890" s="8"/>
      <c r="C890" s="8"/>
      <c r="D890" s="8"/>
      <c r="E890" s="8"/>
      <c r="F890" s="11" t="str">
        <f>IFERROR(INDEX(Reference!$B$23:$B$24,MATCH(D890,Reference!$A$23:$A$24,0)),"")</f>
        <v/>
      </c>
      <c r="G890" s="11" t="str">
        <f t="shared" si="26"/>
        <v/>
      </c>
      <c r="H890" s="10" t="str">
        <f t="shared" si="27"/>
        <v/>
      </c>
    </row>
    <row r="891" spans="1:8" ht="15" customHeight="1" x14ac:dyDescent="0.2">
      <c r="A891" s="9"/>
      <c r="B891" s="8"/>
      <c r="C891" s="8"/>
      <c r="D891" s="8"/>
      <c r="E891" s="8"/>
      <c r="F891" s="11" t="str">
        <f>IFERROR(INDEX(Reference!$B$23:$B$24,MATCH(D891,Reference!$A$23:$A$24,0)),"")</f>
        <v/>
      </c>
      <c r="G891" s="11" t="str">
        <f t="shared" si="26"/>
        <v/>
      </c>
      <c r="H891" s="10" t="str">
        <f t="shared" si="27"/>
        <v/>
      </c>
    </row>
    <row r="892" spans="1:8" ht="15" customHeight="1" x14ac:dyDescent="0.2">
      <c r="A892" s="9"/>
      <c r="B892" s="8"/>
      <c r="C892" s="8"/>
      <c r="D892" s="8"/>
      <c r="E892" s="8"/>
      <c r="F892" s="11" t="str">
        <f>IFERROR(INDEX(Reference!$B$23:$B$24,MATCH(D892,Reference!$A$23:$A$24,0)),"")</f>
        <v/>
      </c>
      <c r="G892" s="11" t="str">
        <f t="shared" si="26"/>
        <v/>
      </c>
      <c r="H892" s="10" t="str">
        <f t="shared" si="27"/>
        <v/>
      </c>
    </row>
    <row r="893" spans="1:8" ht="15" customHeight="1" x14ac:dyDescent="0.2">
      <c r="A893" s="9"/>
      <c r="B893" s="8"/>
      <c r="C893" s="8"/>
      <c r="D893" s="8"/>
      <c r="E893" s="8"/>
      <c r="F893" s="11" t="str">
        <f>IFERROR(INDEX(Reference!$B$23:$B$24,MATCH(D893,Reference!$A$23:$A$24,0)),"")</f>
        <v/>
      </c>
      <c r="G893" s="11" t="str">
        <f t="shared" si="26"/>
        <v/>
      </c>
      <c r="H893" s="10" t="str">
        <f t="shared" si="27"/>
        <v/>
      </c>
    </row>
    <row r="894" spans="1:8" ht="15" customHeight="1" x14ac:dyDescent="0.2">
      <c r="A894" s="9"/>
      <c r="B894" s="8"/>
      <c r="C894" s="8"/>
      <c r="D894" s="8"/>
      <c r="E894" s="8"/>
      <c r="F894" s="11" t="str">
        <f>IFERROR(INDEX(Reference!$B$23:$B$24,MATCH(D894,Reference!$A$23:$A$24,0)),"")</f>
        <v/>
      </c>
      <c r="G894" s="11" t="str">
        <f t="shared" si="26"/>
        <v/>
      </c>
      <c r="H894" s="10" t="str">
        <f t="shared" si="27"/>
        <v/>
      </c>
    </row>
    <row r="895" spans="1:8" ht="15" customHeight="1" x14ac:dyDescent="0.2">
      <c r="A895" s="9"/>
      <c r="B895" s="8"/>
      <c r="C895" s="8"/>
      <c r="D895" s="8"/>
      <c r="E895" s="8"/>
      <c r="F895" s="11" t="str">
        <f>IFERROR(INDEX(Reference!$B$23:$B$24,MATCH(D895,Reference!$A$23:$A$24,0)),"")</f>
        <v/>
      </c>
      <c r="G895" s="11" t="str">
        <f t="shared" si="26"/>
        <v/>
      </c>
      <c r="H895" s="10" t="str">
        <f t="shared" si="27"/>
        <v/>
      </c>
    </row>
    <row r="896" spans="1:8" ht="15" customHeight="1" x14ac:dyDescent="0.2">
      <c r="A896" s="9"/>
      <c r="B896" s="8"/>
      <c r="C896" s="8"/>
      <c r="D896" s="8"/>
      <c r="E896" s="8"/>
      <c r="F896" s="11" t="str">
        <f>IFERROR(INDEX(Reference!$B$23:$B$24,MATCH(D896,Reference!$A$23:$A$24,0)),"")</f>
        <v/>
      </c>
      <c r="G896" s="11" t="str">
        <f t="shared" si="26"/>
        <v/>
      </c>
      <c r="H896" s="10" t="str">
        <f t="shared" si="27"/>
        <v/>
      </c>
    </row>
    <row r="897" spans="1:8" ht="15" customHeight="1" x14ac:dyDescent="0.2">
      <c r="A897" s="9"/>
      <c r="B897" s="8"/>
      <c r="C897" s="8"/>
      <c r="D897" s="8"/>
      <c r="E897" s="8"/>
      <c r="F897" s="11" t="str">
        <f>IFERROR(INDEX(Reference!$B$23:$B$24,MATCH(D897,Reference!$A$23:$A$24,0)),"")</f>
        <v/>
      </c>
      <c r="G897" s="11" t="str">
        <f t="shared" si="26"/>
        <v/>
      </c>
      <c r="H897" s="10" t="str">
        <f t="shared" si="27"/>
        <v/>
      </c>
    </row>
    <row r="898" spans="1:8" ht="15" customHeight="1" x14ac:dyDescent="0.2">
      <c r="A898" s="9"/>
      <c r="B898" s="8"/>
      <c r="C898" s="8"/>
      <c r="D898" s="8"/>
      <c r="E898" s="8"/>
      <c r="F898" s="11" t="str">
        <f>IFERROR(INDEX(Reference!$B$23:$B$24,MATCH(D898,Reference!$A$23:$A$24,0)),"")</f>
        <v/>
      </c>
      <c r="G898" s="11" t="str">
        <f t="shared" ref="G898:G961" si="28">IF(OR(E898="",F898=""),"",E898*F898)</f>
        <v/>
      </c>
      <c r="H898" s="10" t="str">
        <f t="shared" ref="H898:H961" si="29">IF(A898="","",IF(MONTH(A898)&gt;=8,YEAR(A898)&amp;"-"&amp;RIGHT(YEAR(A898)+1,2),YEAR(A898)-1&amp;"-"&amp;RIGHT(YEAR(A898),2)))</f>
        <v/>
      </c>
    </row>
    <row r="899" spans="1:8" ht="15" customHeight="1" x14ac:dyDescent="0.2">
      <c r="A899" s="9"/>
      <c r="B899" s="8"/>
      <c r="C899" s="8"/>
      <c r="D899" s="8"/>
      <c r="E899" s="8"/>
      <c r="F899" s="11" t="str">
        <f>IFERROR(INDEX(Reference!$B$23:$B$24,MATCH(D899,Reference!$A$23:$A$24,0)),"")</f>
        <v/>
      </c>
      <c r="G899" s="11" t="str">
        <f t="shared" si="28"/>
        <v/>
      </c>
      <c r="H899" s="10" t="str">
        <f t="shared" si="29"/>
        <v/>
      </c>
    </row>
    <row r="900" spans="1:8" ht="15" customHeight="1" x14ac:dyDescent="0.2">
      <c r="A900" s="9"/>
      <c r="B900" s="8"/>
      <c r="C900" s="8"/>
      <c r="D900" s="8"/>
      <c r="E900" s="8"/>
      <c r="F900" s="11" t="str">
        <f>IFERROR(INDEX(Reference!$B$23:$B$24,MATCH(D900,Reference!$A$23:$A$24,0)),"")</f>
        <v/>
      </c>
      <c r="G900" s="11" t="str">
        <f t="shared" si="28"/>
        <v/>
      </c>
      <c r="H900" s="10" t="str">
        <f t="shared" si="29"/>
        <v/>
      </c>
    </row>
    <row r="901" spans="1:8" ht="15" customHeight="1" x14ac:dyDescent="0.2">
      <c r="A901" s="9"/>
      <c r="B901" s="8"/>
      <c r="C901" s="8"/>
      <c r="D901" s="8"/>
      <c r="E901" s="8"/>
      <c r="F901" s="11" t="str">
        <f>IFERROR(INDEX(Reference!$B$23:$B$24,MATCH(D901,Reference!$A$23:$A$24,0)),"")</f>
        <v/>
      </c>
      <c r="G901" s="11" t="str">
        <f t="shared" si="28"/>
        <v/>
      </c>
      <c r="H901" s="10" t="str">
        <f t="shared" si="29"/>
        <v/>
      </c>
    </row>
    <row r="902" spans="1:8" ht="15" customHeight="1" x14ac:dyDescent="0.2">
      <c r="A902" s="9"/>
      <c r="B902" s="8"/>
      <c r="C902" s="8"/>
      <c r="D902" s="8"/>
      <c r="E902" s="8"/>
      <c r="F902" s="11" t="str">
        <f>IFERROR(INDEX(Reference!$B$23:$B$24,MATCH(D902,Reference!$A$23:$A$24,0)),"")</f>
        <v/>
      </c>
      <c r="G902" s="11" t="str">
        <f t="shared" si="28"/>
        <v/>
      </c>
      <c r="H902" s="10" t="str">
        <f t="shared" si="29"/>
        <v/>
      </c>
    </row>
    <row r="903" spans="1:8" ht="15" customHeight="1" x14ac:dyDescent="0.2">
      <c r="A903" s="9"/>
      <c r="B903" s="8"/>
      <c r="C903" s="8"/>
      <c r="D903" s="8"/>
      <c r="E903" s="8"/>
      <c r="F903" s="11" t="str">
        <f>IFERROR(INDEX(Reference!$B$23:$B$24,MATCH(D903,Reference!$A$23:$A$24,0)),"")</f>
        <v/>
      </c>
      <c r="G903" s="11" t="str">
        <f t="shared" si="28"/>
        <v/>
      </c>
      <c r="H903" s="10" t="str">
        <f t="shared" si="29"/>
        <v/>
      </c>
    </row>
    <row r="904" spans="1:8" ht="15" customHeight="1" x14ac:dyDescent="0.2">
      <c r="A904" s="9"/>
      <c r="B904" s="8"/>
      <c r="C904" s="8"/>
      <c r="D904" s="8"/>
      <c r="E904" s="8"/>
      <c r="F904" s="11" t="str">
        <f>IFERROR(INDEX(Reference!$B$23:$B$24,MATCH(D904,Reference!$A$23:$A$24,0)),"")</f>
        <v/>
      </c>
      <c r="G904" s="11" t="str">
        <f t="shared" si="28"/>
        <v/>
      </c>
      <c r="H904" s="10" t="str">
        <f t="shared" si="29"/>
        <v/>
      </c>
    </row>
    <row r="905" spans="1:8" ht="15" customHeight="1" x14ac:dyDescent="0.2">
      <c r="A905" s="9"/>
      <c r="B905" s="8"/>
      <c r="C905" s="8"/>
      <c r="D905" s="8"/>
      <c r="E905" s="8"/>
      <c r="F905" s="11" t="str">
        <f>IFERROR(INDEX(Reference!$B$23:$B$24,MATCH(D905,Reference!$A$23:$A$24,0)),"")</f>
        <v/>
      </c>
      <c r="G905" s="11" t="str">
        <f t="shared" si="28"/>
        <v/>
      </c>
      <c r="H905" s="10" t="str">
        <f t="shared" si="29"/>
        <v/>
      </c>
    </row>
    <row r="906" spans="1:8" ht="15" customHeight="1" x14ac:dyDescent="0.2">
      <c r="A906" s="9"/>
      <c r="B906" s="8"/>
      <c r="C906" s="8"/>
      <c r="D906" s="8"/>
      <c r="E906" s="8"/>
      <c r="F906" s="11" t="str">
        <f>IFERROR(INDEX(Reference!$B$23:$B$24,MATCH(D906,Reference!$A$23:$A$24,0)),"")</f>
        <v/>
      </c>
      <c r="G906" s="11" t="str">
        <f t="shared" si="28"/>
        <v/>
      </c>
      <c r="H906" s="10" t="str">
        <f t="shared" si="29"/>
        <v/>
      </c>
    </row>
    <row r="907" spans="1:8" ht="15" customHeight="1" x14ac:dyDescent="0.2">
      <c r="A907" s="9"/>
      <c r="B907" s="8"/>
      <c r="C907" s="8"/>
      <c r="D907" s="8"/>
      <c r="E907" s="8"/>
      <c r="F907" s="11" t="str">
        <f>IFERROR(INDEX(Reference!$B$23:$B$24,MATCH(D907,Reference!$A$23:$A$24,0)),"")</f>
        <v/>
      </c>
      <c r="G907" s="11" t="str">
        <f t="shared" si="28"/>
        <v/>
      </c>
      <c r="H907" s="10" t="str">
        <f t="shared" si="29"/>
        <v/>
      </c>
    </row>
    <row r="908" spans="1:8" ht="15" customHeight="1" x14ac:dyDescent="0.2">
      <c r="A908" s="9"/>
      <c r="B908" s="8"/>
      <c r="C908" s="8"/>
      <c r="D908" s="8"/>
      <c r="E908" s="8"/>
      <c r="F908" s="11" t="str">
        <f>IFERROR(INDEX(Reference!$B$23:$B$24,MATCH(D908,Reference!$A$23:$A$24,0)),"")</f>
        <v/>
      </c>
      <c r="G908" s="11" t="str">
        <f t="shared" si="28"/>
        <v/>
      </c>
      <c r="H908" s="10" t="str">
        <f t="shared" si="29"/>
        <v/>
      </c>
    </row>
    <row r="909" spans="1:8" ht="15" customHeight="1" x14ac:dyDescent="0.2">
      <c r="A909" s="9"/>
      <c r="B909" s="8"/>
      <c r="C909" s="8"/>
      <c r="D909" s="8"/>
      <c r="E909" s="8"/>
      <c r="F909" s="11" t="str">
        <f>IFERROR(INDEX(Reference!$B$23:$B$24,MATCH(D909,Reference!$A$23:$A$24,0)),"")</f>
        <v/>
      </c>
      <c r="G909" s="11" t="str">
        <f t="shared" si="28"/>
        <v/>
      </c>
      <c r="H909" s="10" t="str">
        <f t="shared" si="29"/>
        <v/>
      </c>
    </row>
    <row r="910" spans="1:8" ht="15" customHeight="1" x14ac:dyDescent="0.2">
      <c r="A910" s="9"/>
      <c r="B910" s="8"/>
      <c r="C910" s="8"/>
      <c r="D910" s="8"/>
      <c r="E910" s="8"/>
      <c r="F910" s="11" t="str">
        <f>IFERROR(INDEX(Reference!$B$23:$B$24,MATCH(D910,Reference!$A$23:$A$24,0)),"")</f>
        <v/>
      </c>
      <c r="G910" s="11" t="str">
        <f t="shared" si="28"/>
        <v/>
      </c>
      <c r="H910" s="10" t="str">
        <f t="shared" si="29"/>
        <v/>
      </c>
    </row>
    <row r="911" spans="1:8" ht="15" customHeight="1" x14ac:dyDescent="0.2">
      <c r="A911" s="9"/>
      <c r="B911" s="8"/>
      <c r="C911" s="8"/>
      <c r="D911" s="8"/>
      <c r="E911" s="8"/>
      <c r="F911" s="11" t="str">
        <f>IFERROR(INDEX(Reference!$B$23:$B$24,MATCH(D911,Reference!$A$23:$A$24,0)),"")</f>
        <v/>
      </c>
      <c r="G911" s="11" t="str">
        <f t="shared" si="28"/>
        <v/>
      </c>
      <c r="H911" s="10" t="str">
        <f t="shared" si="29"/>
        <v/>
      </c>
    </row>
    <row r="912" spans="1:8" ht="15" customHeight="1" x14ac:dyDescent="0.2">
      <c r="A912" s="9"/>
      <c r="B912" s="8"/>
      <c r="C912" s="8"/>
      <c r="D912" s="8"/>
      <c r="E912" s="8"/>
      <c r="F912" s="11" t="str">
        <f>IFERROR(INDEX(Reference!$B$23:$B$24,MATCH(D912,Reference!$A$23:$A$24,0)),"")</f>
        <v/>
      </c>
      <c r="G912" s="11" t="str">
        <f t="shared" si="28"/>
        <v/>
      </c>
      <c r="H912" s="10" t="str">
        <f t="shared" si="29"/>
        <v/>
      </c>
    </row>
    <row r="913" spans="1:8" ht="15" customHeight="1" x14ac:dyDescent="0.2">
      <c r="A913" s="9"/>
      <c r="B913" s="8"/>
      <c r="C913" s="8"/>
      <c r="D913" s="8"/>
      <c r="E913" s="8"/>
      <c r="F913" s="11" t="str">
        <f>IFERROR(INDEX(Reference!$B$23:$B$24,MATCH(D913,Reference!$A$23:$A$24,0)),"")</f>
        <v/>
      </c>
      <c r="G913" s="11" t="str">
        <f t="shared" si="28"/>
        <v/>
      </c>
      <c r="H913" s="10" t="str">
        <f t="shared" si="29"/>
        <v/>
      </c>
    </row>
    <row r="914" spans="1:8" ht="15" customHeight="1" x14ac:dyDescent="0.2">
      <c r="A914" s="9"/>
      <c r="B914" s="8"/>
      <c r="C914" s="8"/>
      <c r="D914" s="8"/>
      <c r="E914" s="8"/>
      <c r="F914" s="11" t="str">
        <f>IFERROR(INDEX(Reference!$B$23:$B$24,MATCH(D914,Reference!$A$23:$A$24,0)),"")</f>
        <v/>
      </c>
      <c r="G914" s="11" t="str">
        <f t="shared" si="28"/>
        <v/>
      </c>
      <c r="H914" s="10" t="str">
        <f t="shared" si="29"/>
        <v/>
      </c>
    </row>
    <row r="915" spans="1:8" ht="15" customHeight="1" x14ac:dyDescent="0.2">
      <c r="A915" s="9"/>
      <c r="B915" s="8"/>
      <c r="C915" s="8"/>
      <c r="D915" s="8"/>
      <c r="E915" s="8"/>
      <c r="F915" s="11" t="str">
        <f>IFERROR(INDEX(Reference!$B$23:$B$24,MATCH(D915,Reference!$A$23:$A$24,0)),"")</f>
        <v/>
      </c>
      <c r="G915" s="11" t="str">
        <f t="shared" si="28"/>
        <v/>
      </c>
      <c r="H915" s="10" t="str">
        <f t="shared" si="29"/>
        <v/>
      </c>
    </row>
    <row r="916" spans="1:8" ht="15" customHeight="1" x14ac:dyDescent="0.2">
      <c r="A916" s="9"/>
      <c r="B916" s="8"/>
      <c r="C916" s="8"/>
      <c r="D916" s="8"/>
      <c r="E916" s="8"/>
      <c r="F916" s="11" t="str">
        <f>IFERROR(INDEX(Reference!$B$23:$B$24,MATCH(D916,Reference!$A$23:$A$24,0)),"")</f>
        <v/>
      </c>
      <c r="G916" s="11" t="str">
        <f t="shared" si="28"/>
        <v/>
      </c>
      <c r="H916" s="10" t="str">
        <f t="shared" si="29"/>
        <v/>
      </c>
    </row>
    <row r="917" spans="1:8" ht="15" customHeight="1" x14ac:dyDescent="0.2">
      <c r="A917" s="9"/>
      <c r="B917" s="8"/>
      <c r="C917" s="8"/>
      <c r="D917" s="8"/>
      <c r="E917" s="8"/>
      <c r="F917" s="11" t="str">
        <f>IFERROR(INDEX(Reference!$B$23:$B$24,MATCH(D917,Reference!$A$23:$A$24,0)),"")</f>
        <v/>
      </c>
      <c r="G917" s="11" t="str">
        <f t="shared" si="28"/>
        <v/>
      </c>
      <c r="H917" s="10" t="str">
        <f t="shared" si="29"/>
        <v/>
      </c>
    </row>
    <row r="918" spans="1:8" ht="15" customHeight="1" x14ac:dyDescent="0.2">
      <c r="A918" s="9"/>
      <c r="B918" s="8"/>
      <c r="C918" s="8"/>
      <c r="D918" s="8"/>
      <c r="E918" s="8"/>
      <c r="F918" s="11" t="str">
        <f>IFERROR(INDEX(Reference!$B$23:$B$24,MATCH(D918,Reference!$A$23:$A$24,0)),"")</f>
        <v/>
      </c>
      <c r="G918" s="11" t="str">
        <f t="shared" si="28"/>
        <v/>
      </c>
      <c r="H918" s="10" t="str">
        <f t="shared" si="29"/>
        <v/>
      </c>
    </row>
    <row r="919" spans="1:8" ht="15" customHeight="1" x14ac:dyDescent="0.2">
      <c r="A919" s="9"/>
      <c r="B919" s="8"/>
      <c r="C919" s="8"/>
      <c r="D919" s="8"/>
      <c r="E919" s="8"/>
      <c r="F919" s="11" t="str">
        <f>IFERROR(INDEX(Reference!$B$23:$B$24,MATCH(D919,Reference!$A$23:$A$24,0)),"")</f>
        <v/>
      </c>
      <c r="G919" s="11" t="str">
        <f t="shared" si="28"/>
        <v/>
      </c>
      <c r="H919" s="10" t="str">
        <f t="shared" si="29"/>
        <v/>
      </c>
    </row>
    <row r="920" spans="1:8" ht="15" customHeight="1" x14ac:dyDescent="0.2">
      <c r="A920" s="9"/>
      <c r="B920" s="8"/>
      <c r="C920" s="8"/>
      <c r="D920" s="8"/>
      <c r="E920" s="8"/>
      <c r="F920" s="11" t="str">
        <f>IFERROR(INDEX(Reference!$B$23:$B$24,MATCH(D920,Reference!$A$23:$A$24,0)),"")</f>
        <v/>
      </c>
      <c r="G920" s="11" t="str">
        <f t="shared" si="28"/>
        <v/>
      </c>
      <c r="H920" s="10" t="str">
        <f t="shared" si="29"/>
        <v/>
      </c>
    </row>
    <row r="921" spans="1:8" ht="15" customHeight="1" x14ac:dyDescent="0.2">
      <c r="A921" s="9"/>
      <c r="B921" s="8"/>
      <c r="C921" s="8"/>
      <c r="D921" s="8"/>
      <c r="E921" s="8"/>
      <c r="F921" s="11" t="str">
        <f>IFERROR(INDEX(Reference!$B$23:$B$24,MATCH(D921,Reference!$A$23:$A$24,0)),"")</f>
        <v/>
      </c>
      <c r="G921" s="11" t="str">
        <f t="shared" si="28"/>
        <v/>
      </c>
      <c r="H921" s="10" t="str">
        <f t="shared" si="29"/>
        <v/>
      </c>
    </row>
    <row r="922" spans="1:8" ht="15" customHeight="1" x14ac:dyDescent="0.2">
      <c r="A922" s="9"/>
      <c r="B922" s="8"/>
      <c r="C922" s="8"/>
      <c r="D922" s="8"/>
      <c r="E922" s="8"/>
      <c r="F922" s="11" t="str">
        <f>IFERROR(INDEX(Reference!$B$23:$B$24,MATCH(D922,Reference!$A$23:$A$24,0)),"")</f>
        <v/>
      </c>
      <c r="G922" s="11" t="str">
        <f t="shared" si="28"/>
        <v/>
      </c>
      <c r="H922" s="10" t="str">
        <f t="shared" si="29"/>
        <v/>
      </c>
    </row>
    <row r="923" spans="1:8" ht="15" customHeight="1" x14ac:dyDescent="0.2">
      <c r="A923" s="9"/>
      <c r="B923" s="8"/>
      <c r="C923" s="8"/>
      <c r="D923" s="8"/>
      <c r="E923" s="8"/>
      <c r="F923" s="11" t="str">
        <f>IFERROR(INDEX(Reference!$B$23:$B$24,MATCH(D923,Reference!$A$23:$A$24,0)),"")</f>
        <v/>
      </c>
      <c r="G923" s="11" t="str">
        <f t="shared" si="28"/>
        <v/>
      </c>
      <c r="H923" s="10" t="str">
        <f t="shared" si="29"/>
        <v/>
      </c>
    </row>
    <row r="924" spans="1:8" ht="15" customHeight="1" x14ac:dyDescent="0.2">
      <c r="A924" s="9"/>
      <c r="B924" s="8"/>
      <c r="C924" s="8"/>
      <c r="D924" s="8"/>
      <c r="E924" s="8"/>
      <c r="F924" s="11" t="str">
        <f>IFERROR(INDEX(Reference!$B$23:$B$24,MATCH(D924,Reference!$A$23:$A$24,0)),"")</f>
        <v/>
      </c>
      <c r="G924" s="11" t="str">
        <f t="shared" si="28"/>
        <v/>
      </c>
      <c r="H924" s="10" t="str">
        <f t="shared" si="29"/>
        <v/>
      </c>
    </row>
    <row r="925" spans="1:8" ht="15" customHeight="1" x14ac:dyDescent="0.2">
      <c r="A925" s="9"/>
      <c r="B925" s="8"/>
      <c r="C925" s="8"/>
      <c r="D925" s="8"/>
      <c r="E925" s="8"/>
      <c r="F925" s="11" t="str">
        <f>IFERROR(INDEX(Reference!$B$23:$B$24,MATCH(D925,Reference!$A$23:$A$24,0)),"")</f>
        <v/>
      </c>
      <c r="G925" s="11" t="str">
        <f t="shared" si="28"/>
        <v/>
      </c>
      <c r="H925" s="10" t="str">
        <f t="shared" si="29"/>
        <v/>
      </c>
    </row>
    <row r="926" spans="1:8" ht="15" customHeight="1" x14ac:dyDescent="0.2">
      <c r="A926" s="9"/>
      <c r="B926" s="8"/>
      <c r="C926" s="8"/>
      <c r="D926" s="8"/>
      <c r="E926" s="8"/>
      <c r="F926" s="11" t="str">
        <f>IFERROR(INDEX(Reference!$B$23:$B$24,MATCH(D926,Reference!$A$23:$A$24,0)),"")</f>
        <v/>
      </c>
      <c r="G926" s="11" t="str">
        <f t="shared" si="28"/>
        <v/>
      </c>
      <c r="H926" s="10" t="str">
        <f t="shared" si="29"/>
        <v/>
      </c>
    </row>
    <row r="927" spans="1:8" ht="15" customHeight="1" x14ac:dyDescent="0.2">
      <c r="A927" s="9"/>
      <c r="B927" s="8"/>
      <c r="C927" s="8"/>
      <c r="D927" s="8"/>
      <c r="E927" s="8"/>
      <c r="F927" s="11" t="str">
        <f>IFERROR(INDEX(Reference!$B$23:$B$24,MATCH(D927,Reference!$A$23:$A$24,0)),"")</f>
        <v/>
      </c>
      <c r="G927" s="11" t="str">
        <f t="shared" si="28"/>
        <v/>
      </c>
      <c r="H927" s="10" t="str">
        <f t="shared" si="29"/>
        <v/>
      </c>
    </row>
    <row r="928" spans="1:8" ht="15" customHeight="1" x14ac:dyDescent="0.2">
      <c r="A928" s="9"/>
      <c r="B928" s="8"/>
      <c r="C928" s="8"/>
      <c r="D928" s="8"/>
      <c r="E928" s="8"/>
      <c r="F928" s="11" t="str">
        <f>IFERROR(INDEX(Reference!$B$23:$B$24,MATCH(D928,Reference!$A$23:$A$24,0)),"")</f>
        <v/>
      </c>
      <c r="G928" s="11" t="str">
        <f t="shared" si="28"/>
        <v/>
      </c>
      <c r="H928" s="10" t="str">
        <f t="shared" si="29"/>
        <v/>
      </c>
    </row>
    <row r="929" spans="1:8" ht="15" customHeight="1" x14ac:dyDescent="0.2">
      <c r="A929" s="9"/>
      <c r="B929" s="8"/>
      <c r="C929" s="8"/>
      <c r="D929" s="8"/>
      <c r="E929" s="8"/>
      <c r="F929" s="11" t="str">
        <f>IFERROR(INDEX(Reference!$B$23:$B$24,MATCH(D929,Reference!$A$23:$A$24,0)),"")</f>
        <v/>
      </c>
      <c r="G929" s="11" t="str">
        <f t="shared" si="28"/>
        <v/>
      </c>
      <c r="H929" s="10" t="str">
        <f t="shared" si="29"/>
        <v/>
      </c>
    </row>
    <row r="930" spans="1:8" ht="15" customHeight="1" x14ac:dyDescent="0.2">
      <c r="A930" s="9"/>
      <c r="B930" s="8"/>
      <c r="C930" s="8"/>
      <c r="D930" s="8"/>
      <c r="E930" s="8"/>
      <c r="F930" s="11" t="str">
        <f>IFERROR(INDEX(Reference!$B$23:$B$24,MATCH(D930,Reference!$A$23:$A$24,0)),"")</f>
        <v/>
      </c>
      <c r="G930" s="11" t="str">
        <f t="shared" si="28"/>
        <v/>
      </c>
      <c r="H930" s="10" t="str">
        <f t="shared" si="29"/>
        <v/>
      </c>
    </row>
    <row r="931" spans="1:8" ht="15" customHeight="1" x14ac:dyDescent="0.2">
      <c r="A931" s="9"/>
      <c r="B931" s="8"/>
      <c r="C931" s="8"/>
      <c r="D931" s="8"/>
      <c r="E931" s="8"/>
      <c r="F931" s="11" t="str">
        <f>IFERROR(INDEX(Reference!$B$23:$B$24,MATCH(D931,Reference!$A$23:$A$24,0)),"")</f>
        <v/>
      </c>
      <c r="G931" s="11" t="str">
        <f t="shared" si="28"/>
        <v/>
      </c>
      <c r="H931" s="10" t="str">
        <f t="shared" si="29"/>
        <v/>
      </c>
    </row>
    <row r="932" spans="1:8" ht="15" customHeight="1" x14ac:dyDescent="0.2">
      <c r="A932" s="9"/>
      <c r="B932" s="8"/>
      <c r="C932" s="8"/>
      <c r="D932" s="8"/>
      <c r="E932" s="8"/>
      <c r="F932" s="11" t="str">
        <f>IFERROR(INDEX(Reference!$B$23:$B$24,MATCH(D932,Reference!$A$23:$A$24,0)),"")</f>
        <v/>
      </c>
      <c r="G932" s="11" t="str">
        <f t="shared" si="28"/>
        <v/>
      </c>
      <c r="H932" s="10" t="str">
        <f t="shared" si="29"/>
        <v/>
      </c>
    </row>
    <row r="933" spans="1:8" ht="15" customHeight="1" x14ac:dyDescent="0.2">
      <c r="A933" s="9"/>
      <c r="B933" s="8"/>
      <c r="C933" s="8"/>
      <c r="D933" s="8"/>
      <c r="E933" s="8"/>
      <c r="F933" s="11" t="str">
        <f>IFERROR(INDEX(Reference!$B$23:$B$24,MATCH(D933,Reference!$A$23:$A$24,0)),"")</f>
        <v/>
      </c>
      <c r="G933" s="11" t="str">
        <f t="shared" si="28"/>
        <v/>
      </c>
      <c r="H933" s="10" t="str">
        <f t="shared" si="29"/>
        <v/>
      </c>
    </row>
    <row r="934" spans="1:8" ht="15" customHeight="1" x14ac:dyDescent="0.2">
      <c r="A934" s="9"/>
      <c r="B934" s="8"/>
      <c r="C934" s="8"/>
      <c r="D934" s="8"/>
      <c r="E934" s="8"/>
      <c r="F934" s="11" t="str">
        <f>IFERROR(INDEX(Reference!$B$23:$B$24,MATCH(D934,Reference!$A$23:$A$24,0)),"")</f>
        <v/>
      </c>
      <c r="G934" s="11" t="str">
        <f t="shared" si="28"/>
        <v/>
      </c>
      <c r="H934" s="10" t="str">
        <f t="shared" si="29"/>
        <v/>
      </c>
    </row>
    <row r="935" spans="1:8" ht="15" customHeight="1" x14ac:dyDescent="0.2">
      <c r="A935" s="9"/>
      <c r="B935" s="8"/>
      <c r="C935" s="8"/>
      <c r="D935" s="8"/>
      <c r="E935" s="8"/>
      <c r="F935" s="11" t="str">
        <f>IFERROR(INDEX(Reference!$B$23:$B$24,MATCH(D935,Reference!$A$23:$A$24,0)),"")</f>
        <v/>
      </c>
      <c r="G935" s="11" t="str">
        <f t="shared" si="28"/>
        <v/>
      </c>
      <c r="H935" s="10" t="str">
        <f t="shared" si="29"/>
        <v/>
      </c>
    </row>
    <row r="936" spans="1:8" ht="15" customHeight="1" x14ac:dyDescent="0.2">
      <c r="A936" s="9"/>
      <c r="B936" s="8"/>
      <c r="C936" s="8"/>
      <c r="D936" s="8"/>
      <c r="E936" s="8"/>
      <c r="F936" s="11" t="str">
        <f>IFERROR(INDEX(Reference!$B$23:$B$24,MATCH(D936,Reference!$A$23:$A$24,0)),"")</f>
        <v/>
      </c>
      <c r="G936" s="11" t="str">
        <f t="shared" si="28"/>
        <v/>
      </c>
      <c r="H936" s="10" t="str">
        <f t="shared" si="29"/>
        <v/>
      </c>
    </row>
    <row r="937" spans="1:8" ht="15" customHeight="1" x14ac:dyDescent="0.2">
      <c r="A937" s="9"/>
      <c r="B937" s="8"/>
      <c r="C937" s="8"/>
      <c r="D937" s="8"/>
      <c r="E937" s="8"/>
      <c r="F937" s="11" t="str">
        <f>IFERROR(INDEX(Reference!$B$23:$B$24,MATCH(D937,Reference!$A$23:$A$24,0)),"")</f>
        <v/>
      </c>
      <c r="G937" s="11" t="str">
        <f t="shared" si="28"/>
        <v/>
      </c>
      <c r="H937" s="10" t="str">
        <f t="shared" si="29"/>
        <v/>
      </c>
    </row>
    <row r="938" spans="1:8" ht="15" customHeight="1" x14ac:dyDescent="0.2">
      <c r="A938" s="9"/>
      <c r="B938" s="8"/>
      <c r="C938" s="8"/>
      <c r="D938" s="8"/>
      <c r="E938" s="8"/>
      <c r="F938" s="11" t="str">
        <f>IFERROR(INDEX(Reference!$B$23:$B$24,MATCH(D938,Reference!$A$23:$A$24,0)),"")</f>
        <v/>
      </c>
      <c r="G938" s="11" t="str">
        <f t="shared" si="28"/>
        <v/>
      </c>
      <c r="H938" s="10" t="str">
        <f t="shared" si="29"/>
        <v/>
      </c>
    </row>
    <row r="939" spans="1:8" ht="15" customHeight="1" x14ac:dyDescent="0.2">
      <c r="A939" s="9"/>
      <c r="B939" s="8"/>
      <c r="C939" s="8"/>
      <c r="D939" s="8"/>
      <c r="E939" s="8"/>
      <c r="F939" s="11" t="str">
        <f>IFERROR(INDEX(Reference!$B$23:$B$24,MATCH(D939,Reference!$A$23:$A$24,0)),"")</f>
        <v/>
      </c>
      <c r="G939" s="11" t="str">
        <f t="shared" si="28"/>
        <v/>
      </c>
      <c r="H939" s="10" t="str">
        <f t="shared" si="29"/>
        <v/>
      </c>
    </row>
    <row r="940" spans="1:8" ht="15" customHeight="1" x14ac:dyDescent="0.2">
      <c r="A940" s="9"/>
      <c r="B940" s="8"/>
      <c r="C940" s="8"/>
      <c r="D940" s="8"/>
      <c r="E940" s="8"/>
      <c r="F940" s="11" t="str">
        <f>IFERROR(INDEX(Reference!$B$23:$B$24,MATCH(D940,Reference!$A$23:$A$24,0)),"")</f>
        <v/>
      </c>
      <c r="G940" s="11" t="str">
        <f t="shared" si="28"/>
        <v/>
      </c>
      <c r="H940" s="10" t="str">
        <f t="shared" si="29"/>
        <v/>
      </c>
    </row>
    <row r="941" spans="1:8" ht="15" customHeight="1" x14ac:dyDescent="0.2">
      <c r="A941" s="9"/>
      <c r="B941" s="8"/>
      <c r="C941" s="8"/>
      <c r="D941" s="8"/>
      <c r="E941" s="8"/>
      <c r="F941" s="11" t="str">
        <f>IFERROR(INDEX(Reference!$B$23:$B$24,MATCH(D941,Reference!$A$23:$A$24,0)),"")</f>
        <v/>
      </c>
      <c r="G941" s="11" t="str">
        <f t="shared" si="28"/>
        <v/>
      </c>
      <c r="H941" s="10" t="str">
        <f t="shared" si="29"/>
        <v/>
      </c>
    </row>
    <row r="942" spans="1:8" ht="15" customHeight="1" x14ac:dyDescent="0.2">
      <c r="A942" s="9"/>
      <c r="B942" s="8"/>
      <c r="C942" s="8"/>
      <c r="D942" s="8"/>
      <c r="E942" s="8"/>
      <c r="F942" s="11" t="str">
        <f>IFERROR(INDEX(Reference!$B$23:$B$24,MATCH(D942,Reference!$A$23:$A$24,0)),"")</f>
        <v/>
      </c>
      <c r="G942" s="11" t="str">
        <f t="shared" si="28"/>
        <v/>
      </c>
      <c r="H942" s="10" t="str">
        <f t="shared" si="29"/>
        <v/>
      </c>
    </row>
    <row r="943" spans="1:8" ht="15" customHeight="1" x14ac:dyDescent="0.2">
      <c r="A943" s="9"/>
      <c r="B943" s="8"/>
      <c r="C943" s="8"/>
      <c r="D943" s="8"/>
      <c r="E943" s="8"/>
      <c r="F943" s="11" t="str">
        <f>IFERROR(INDEX(Reference!$B$23:$B$24,MATCH(D943,Reference!$A$23:$A$24,0)),"")</f>
        <v/>
      </c>
      <c r="G943" s="11" t="str">
        <f t="shared" si="28"/>
        <v/>
      </c>
      <c r="H943" s="10" t="str">
        <f t="shared" si="29"/>
        <v/>
      </c>
    </row>
    <row r="944" spans="1:8" ht="15" customHeight="1" x14ac:dyDescent="0.2">
      <c r="A944" s="9"/>
      <c r="B944" s="8"/>
      <c r="C944" s="8"/>
      <c r="D944" s="8"/>
      <c r="E944" s="8"/>
      <c r="F944" s="11" t="str">
        <f>IFERROR(INDEX(Reference!$B$23:$B$24,MATCH(D944,Reference!$A$23:$A$24,0)),"")</f>
        <v/>
      </c>
      <c r="G944" s="11" t="str">
        <f t="shared" si="28"/>
        <v/>
      </c>
      <c r="H944" s="10" t="str">
        <f t="shared" si="29"/>
        <v/>
      </c>
    </row>
    <row r="945" spans="1:8" ht="15" customHeight="1" x14ac:dyDescent="0.2">
      <c r="A945" s="9"/>
      <c r="B945" s="8"/>
      <c r="C945" s="8"/>
      <c r="D945" s="8"/>
      <c r="E945" s="8"/>
      <c r="F945" s="11" t="str">
        <f>IFERROR(INDEX(Reference!$B$23:$B$24,MATCH(D945,Reference!$A$23:$A$24,0)),"")</f>
        <v/>
      </c>
      <c r="G945" s="11" t="str">
        <f t="shared" si="28"/>
        <v/>
      </c>
      <c r="H945" s="10" t="str">
        <f t="shared" si="29"/>
        <v/>
      </c>
    </row>
    <row r="946" spans="1:8" ht="15" customHeight="1" x14ac:dyDescent="0.2">
      <c r="A946" s="9"/>
      <c r="B946" s="8"/>
      <c r="C946" s="8"/>
      <c r="D946" s="8"/>
      <c r="E946" s="8"/>
      <c r="F946" s="11" t="str">
        <f>IFERROR(INDEX(Reference!$B$23:$B$24,MATCH(D946,Reference!$A$23:$A$24,0)),"")</f>
        <v/>
      </c>
      <c r="G946" s="11" t="str">
        <f t="shared" si="28"/>
        <v/>
      </c>
      <c r="H946" s="10" t="str">
        <f t="shared" si="29"/>
        <v/>
      </c>
    </row>
    <row r="947" spans="1:8" ht="15" customHeight="1" x14ac:dyDescent="0.2">
      <c r="A947" s="9"/>
      <c r="B947" s="8"/>
      <c r="C947" s="8"/>
      <c r="D947" s="8"/>
      <c r="E947" s="8"/>
      <c r="F947" s="11" t="str">
        <f>IFERROR(INDEX(Reference!$B$23:$B$24,MATCH(D947,Reference!$A$23:$A$24,0)),"")</f>
        <v/>
      </c>
      <c r="G947" s="11" t="str">
        <f t="shared" si="28"/>
        <v/>
      </c>
      <c r="H947" s="10" t="str">
        <f t="shared" si="29"/>
        <v/>
      </c>
    </row>
    <row r="948" spans="1:8" ht="15" customHeight="1" x14ac:dyDescent="0.2">
      <c r="A948" s="9"/>
      <c r="B948" s="8"/>
      <c r="C948" s="8"/>
      <c r="D948" s="8"/>
      <c r="E948" s="8"/>
      <c r="F948" s="11" t="str">
        <f>IFERROR(INDEX(Reference!$B$23:$B$24,MATCH(D948,Reference!$A$23:$A$24,0)),"")</f>
        <v/>
      </c>
      <c r="G948" s="11" t="str">
        <f t="shared" si="28"/>
        <v/>
      </c>
      <c r="H948" s="10" t="str">
        <f t="shared" si="29"/>
        <v/>
      </c>
    </row>
    <row r="949" spans="1:8" ht="15" customHeight="1" x14ac:dyDescent="0.2">
      <c r="A949" s="9"/>
      <c r="B949" s="8"/>
      <c r="C949" s="8"/>
      <c r="D949" s="8"/>
      <c r="E949" s="8"/>
      <c r="F949" s="11" t="str">
        <f>IFERROR(INDEX(Reference!$B$23:$B$24,MATCH(D949,Reference!$A$23:$A$24,0)),"")</f>
        <v/>
      </c>
      <c r="G949" s="11" t="str">
        <f t="shared" si="28"/>
        <v/>
      </c>
      <c r="H949" s="10" t="str">
        <f t="shared" si="29"/>
        <v/>
      </c>
    </row>
    <row r="950" spans="1:8" ht="15" customHeight="1" x14ac:dyDescent="0.2">
      <c r="A950" s="9"/>
      <c r="B950" s="8"/>
      <c r="C950" s="8"/>
      <c r="D950" s="8"/>
      <c r="E950" s="8"/>
      <c r="F950" s="11" t="str">
        <f>IFERROR(INDEX(Reference!$B$23:$B$24,MATCH(D950,Reference!$A$23:$A$24,0)),"")</f>
        <v/>
      </c>
      <c r="G950" s="11" t="str">
        <f t="shared" si="28"/>
        <v/>
      </c>
      <c r="H950" s="10" t="str">
        <f t="shared" si="29"/>
        <v/>
      </c>
    </row>
    <row r="951" spans="1:8" ht="15" customHeight="1" x14ac:dyDescent="0.2">
      <c r="A951" s="9"/>
      <c r="B951" s="8"/>
      <c r="C951" s="8"/>
      <c r="D951" s="8"/>
      <c r="E951" s="8"/>
      <c r="F951" s="11" t="str">
        <f>IFERROR(INDEX(Reference!$B$23:$B$24,MATCH(D951,Reference!$A$23:$A$24,0)),"")</f>
        <v/>
      </c>
      <c r="G951" s="11" t="str">
        <f t="shared" si="28"/>
        <v/>
      </c>
      <c r="H951" s="10" t="str">
        <f t="shared" si="29"/>
        <v/>
      </c>
    </row>
    <row r="952" spans="1:8" ht="15" customHeight="1" x14ac:dyDescent="0.2">
      <c r="A952" s="9"/>
      <c r="B952" s="8"/>
      <c r="C952" s="8"/>
      <c r="D952" s="8"/>
      <c r="E952" s="8"/>
      <c r="F952" s="11" t="str">
        <f>IFERROR(INDEX(Reference!$B$23:$B$24,MATCH(D952,Reference!$A$23:$A$24,0)),"")</f>
        <v/>
      </c>
      <c r="G952" s="11" t="str">
        <f t="shared" si="28"/>
        <v/>
      </c>
      <c r="H952" s="10" t="str">
        <f t="shared" si="29"/>
        <v/>
      </c>
    </row>
    <row r="953" spans="1:8" ht="15" customHeight="1" x14ac:dyDescent="0.2">
      <c r="A953" s="9"/>
      <c r="B953" s="8"/>
      <c r="C953" s="8"/>
      <c r="D953" s="8"/>
      <c r="E953" s="8"/>
      <c r="F953" s="11" t="str">
        <f>IFERROR(INDEX(Reference!$B$23:$B$24,MATCH(D953,Reference!$A$23:$A$24,0)),"")</f>
        <v/>
      </c>
      <c r="G953" s="11" t="str">
        <f t="shared" si="28"/>
        <v/>
      </c>
      <c r="H953" s="10" t="str">
        <f t="shared" si="29"/>
        <v/>
      </c>
    </row>
    <row r="954" spans="1:8" ht="15" customHeight="1" x14ac:dyDescent="0.2">
      <c r="A954" s="9"/>
      <c r="B954" s="8"/>
      <c r="C954" s="8"/>
      <c r="D954" s="8"/>
      <c r="E954" s="8"/>
      <c r="F954" s="11" t="str">
        <f>IFERROR(INDEX(Reference!$B$23:$B$24,MATCH(D954,Reference!$A$23:$A$24,0)),"")</f>
        <v/>
      </c>
      <c r="G954" s="11" t="str">
        <f t="shared" si="28"/>
        <v/>
      </c>
      <c r="H954" s="10" t="str">
        <f t="shared" si="29"/>
        <v/>
      </c>
    </row>
    <row r="955" spans="1:8" ht="15" customHeight="1" x14ac:dyDescent="0.2">
      <c r="A955" s="9"/>
      <c r="B955" s="8"/>
      <c r="C955" s="8"/>
      <c r="D955" s="8"/>
      <c r="E955" s="8"/>
      <c r="F955" s="11" t="str">
        <f>IFERROR(INDEX(Reference!$B$23:$B$24,MATCH(D955,Reference!$A$23:$A$24,0)),"")</f>
        <v/>
      </c>
      <c r="G955" s="11" t="str">
        <f t="shared" si="28"/>
        <v/>
      </c>
      <c r="H955" s="10" t="str">
        <f t="shared" si="29"/>
        <v/>
      </c>
    </row>
    <row r="956" spans="1:8" ht="15" customHeight="1" x14ac:dyDescent="0.2">
      <c r="A956" s="9"/>
      <c r="B956" s="8"/>
      <c r="C956" s="8"/>
      <c r="D956" s="8"/>
      <c r="E956" s="8"/>
      <c r="F956" s="11" t="str">
        <f>IFERROR(INDEX(Reference!$B$23:$B$24,MATCH(D956,Reference!$A$23:$A$24,0)),"")</f>
        <v/>
      </c>
      <c r="G956" s="11" t="str">
        <f t="shared" si="28"/>
        <v/>
      </c>
      <c r="H956" s="10" t="str">
        <f t="shared" si="29"/>
        <v/>
      </c>
    </row>
    <row r="957" spans="1:8" ht="15" customHeight="1" x14ac:dyDescent="0.2">
      <c r="A957" s="9"/>
      <c r="B957" s="8"/>
      <c r="C957" s="8"/>
      <c r="D957" s="8"/>
      <c r="E957" s="8"/>
      <c r="F957" s="11" t="str">
        <f>IFERROR(INDEX(Reference!$B$23:$B$24,MATCH(D957,Reference!$A$23:$A$24,0)),"")</f>
        <v/>
      </c>
      <c r="G957" s="11" t="str">
        <f t="shared" si="28"/>
        <v/>
      </c>
      <c r="H957" s="10" t="str">
        <f t="shared" si="29"/>
        <v/>
      </c>
    </row>
    <row r="958" spans="1:8" ht="15" customHeight="1" x14ac:dyDescent="0.2">
      <c r="A958" s="9"/>
      <c r="B958" s="8"/>
      <c r="C958" s="8"/>
      <c r="D958" s="8"/>
      <c r="E958" s="8"/>
      <c r="F958" s="11" t="str">
        <f>IFERROR(INDEX(Reference!$B$23:$B$24,MATCH(D958,Reference!$A$23:$A$24,0)),"")</f>
        <v/>
      </c>
      <c r="G958" s="11" t="str">
        <f t="shared" si="28"/>
        <v/>
      </c>
      <c r="H958" s="10" t="str">
        <f t="shared" si="29"/>
        <v/>
      </c>
    </row>
    <row r="959" spans="1:8" ht="15" customHeight="1" x14ac:dyDescent="0.2">
      <c r="A959" s="9"/>
      <c r="B959" s="8"/>
      <c r="C959" s="8"/>
      <c r="D959" s="8"/>
      <c r="E959" s="8"/>
      <c r="F959" s="11" t="str">
        <f>IFERROR(INDEX(Reference!$B$23:$B$24,MATCH(D959,Reference!$A$23:$A$24,0)),"")</f>
        <v/>
      </c>
      <c r="G959" s="11" t="str">
        <f t="shared" si="28"/>
        <v/>
      </c>
      <c r="H959" s="10" t="str">
        <f t="shared" si="29"/>
        <v/>
      </c>
    </row>
    <row r="960" spans="1:8" ht="15" customHeight="1" x14ac:dyDescent="0.2">
      <c r="A960" s="9"/>
      <c r="B960" s="8"/>
      <c r="C960" s="8"/>
      <c r="D960" s="8"/>
      <c r="E960" s="8"/>
      <c r="F960" s="11" t="str">
        <f>IFERROR(INDEX(Reference!$B$23:$B$24,MATCH(D960,Reference!$A$23:$A$24,0)),"")</f>
        <v/>
      </c>
      <c r="G960" s="11" t="str">
        <f t="shared" si="28"/>
        <v/>
      </c>
      <c r="H960" s="10" t="str">
        <f t="shared" si="29"/>
        <v/>
      </c>
    </row>
    <row r="961" spans="1:8" ht="15" customHeight="1" x14ac:dyDescent="0.2">
      <c r="A961" s="9"/>
      <c r="B961" s="8"/>
      <c r="C961" s="8"/>
      <c r="D961" s="8"/>
      <c r="E961" s="8"/>
      <c r="F961" s="11" t="str">
        <f>IFERROR(INDEX(Reference!$B$23:$B$24,MATCH(D961,Reference!$A$23:$A$24,0)),"")</f>
        <v/>
      </c>
      <c r="G961" s="11" t="str">
        <f t="shared" si="28"/>
        <v/>
      </c>
      <c r="H961" s="10" t="str">
        <f t="shared" si="29"/>
        <v/>
      </c>
    </row>
    <row r="962" spans="1:8" ht="15" customHeight="1" x14ac:dyDescent="0.2">
      <c r="A962" s="9"/>
      <c r="B962" s="8"/>
      <c r="C962" s="8"/>
      <c r="D962" s="8"/>
      <c r="E962" s="8"/>
      <c r="F962" s="11" t="str">
        <f>IFERROR(INDEX(Reference!$B$23:$B$24,MATCH(D962,Reference!$A$23:$A$24,0)),"")</f>
        <v/>
      </c>
      <c r="G962" s="11" t="str">
        <f t="shared" ref="G962:G1013" si="30">IF(OR(E962="",F962=""),"",E962*F962)</f>
        <v/>
      </c>
      <c r="H962" s="10" t="str">
        <f t="shared" ref="H962:H1013" si="31">IF(A962="","",IF(MONTH(A962)&gt;=8,YEAR(A962)&amp;"-"&amp;RIGHT(YEAR(A962)+1,2),YEAR(A962)-1&amp;"-"&amp;RIGHT(YEAR(A962),2)))</f>
        <v/>
      </c>
    </row>
    <row r="963" spans="1:8" ht="15" customHeight="1" x14ac:dyDescent="0.2">
      <c r="A963" s="9"/>
      <c r="B963" s="8"/>
      <c r="C963" s="8"/>
      <c r="D963" s="8"/>
      <c r="E963" s="8"/>
      <c r="F963" s="11" t="str">
        <f>IFERROR(INDEX(Reference!$B$23:$B$24,MATCH(D963,Reference!$A$23:$A$24,0)),"")</f>
        <v/>
      </c>
      <c r="G963" s="11" t="str">
        <f t="shared" si="30"/>
        <v/>
      </c>
      <c r="H963" s="10" t="str">
        <f t="shared" si="31"/>
        <v/>
      </c>
    </row>
    <row r="964" spans="1:8" ht="15" customHeight="1" x14ac:dyDescent="0.2">
      <c r="A964" s="9"/>
      <c r="B964" s="8"/>
      <c r="C964" s="8"/>
      <c r="D964" s="8"/>
      <c r="E964" s="8"/>
      <c r="F964" s="11" t="str">
        <f>IFERROR(INDEX(Reference!$B$23:$B$24,MATCH(D964,Reference!$A$23:$A$24,0)),"")</f>
        <v/>
      </c>
      <c r="G964" s="11" t="str">
        <f t="shared" si="30"/>
        <v/>
      </c>
      <c r="H964" s="10" t="str">
        <f t="shared" si="31"/>
        <v/>
      </c>
    </row>
    <row r="965" spans="1:8" ht="15" customHeight="1" x14ac:dyDescent="0.2">
      <c r="A965" s="9"/>
      <c r="B965" s="8"/>
      <c r="C965" s="8"/>
      <c r="D965" s="8"/>
      <c r="E965" s="8"/>
      <c r="F965" s="11" t="str">
        <f>IFERROR(INDEX(Reference!$B$23:$B$24,MATCH(D965,Reference!$A$23:$A$24,0)),"")</f>
        <v/>
      </c>
      <c r="G965" s="11" t="str">
        <f t="shared" si="30"/>
        <v/>
      </c>
      <c r="H965" s="10" t="str">
        <f t="shared" si="31"/>
        <v/>
      </c>
    </row>
    <row r="966" spans="1:8" ht="15" customHeight="1" x14ac:dyDescent="0.2">
      <c r="A966" s="9"/>
      <c r="B966" s="8"/>
      <c r="C966" s="8"/>
      <c r="D966" s="8"/>
      <c r="E966" s="8"/>
      <c r="F966" s="11" t="str">
        <f>IFERROR(INDEX(Reference!$B$23:$B$24,MATCH(D966,Reference!$A$23:$A$24,0)),"")</f>
        <v/>
      </c>
      <c r="G966" s="11" t="str">
        <f t="shared" si="30"/>
        <v/>
      </c>
      <c r="H966" s="10" t="str">
        <f t="shared" si="31"/>
        <v/>
      </c>
    </row>
    <row r="967" spans="1:8" ht="15" customHeight="1" x14ac:dyDescent="0.2">
      <c r="A967" s="9"/>
      <c r="B967" s="8"/>
      <c r="C967" s="8"/>
      <c r="D967" s="8"/>
      <c r="E967" s="8"/>
      <c r="F967" s="11" t="str">
        <f>IFERROR(INDEX(Reference!$B$23:$B$24,MATCH(D967,Reference!$A$23:$A$24,0)),"")</f>
        <v/>
      </c>
      <c r="G967" s="11" t="str">
        <f t="shared" si="30"/>
        <v/>
      </c>
      <c r="H967" s="10" t="str">
        <f t="shared" si="31"/>
        <v/>
      </c>
    </row>
    <row r="968" spans="1:8" ht="15" customHeight="1" x14ac:dyDescent="0.2">
      <c r="A968" s="9"/>
      <c r="B968" s="8"/>
      <c r="C968" s="8"/>
      <c r="D968" s="8"/>
      <c r="E968" s="8"/>
      <c r="F968" s="11" t="str">
        <f>IFERROR(INDEX(Reference!$B$23:$B$24,MATCH(D968,Reference!$A$23:$A$24,0)),"")</f>
        <v/>
      </c>
      <c r="G968" s="11" t="str">
        <f t="shared" si="30"/>
        <v/>
      </c>
      <c r="H968" s="10" t="str">
        <f t="shared" si="31"/>
        <v/>
      </c>
    </row>
    <row r="969" spans="1:8" ht="15" customHeight="1" x14ac:dyDescent="0.2">
      <c r="A969" s="9"/>
      <c r="B969" s="8"/>
      <c r="C969" s="8"/>
      <c r="D969" s="8"/>
      <c r="E969" s="8"/>
      <c r="F969" s="11" t="str">
        <f>IFERROR(INDEX(Reference!$B$23:$B$24,MATCH(D969,Reference!$A$23:$A$24,0)),"")</f>
        <v/>
      </c>
      <c r="G969" s="11" t="str">
        <f t="shared" si="30"/>
        <v/>
      </c>
      <c r="H969" s="10" t="str">
        <f t="shared" si="31"/>
        <v/>
      </c>
    </row>
    <row r="970" spans="1:8" ht="15" customHeight="1" x14ac:dyDescent="0.2">
      <c r="A970" s="9"/>
      <c r="B970" s="8"/>
      <c r="C970" s="8"/>
      <c r="D970" s="8"/>
      <c r="E970" s="8"/>
      <c r="F970" s="11" t="str">
        <f>IFERROR(INDEX(Reference!$B$23:$B$24,MATCH(D970,Reference!$A$23:$A$24,0)),"")</f>
        <v/>
      </c>
      <c r="G970" s="11" t="str">
        <f t="shared" si="30"/>
        <v/>
      </c>
      <c r="H970" s="10" t="str">
        <f t="shared" si="31"/>
        <v/>
      </c>
    </row>
    <row r="971" spans="1:8" ht="15" customHeight="1" x14ac:dyDescent="0.2">
      <c r="A971" s="9"/>
      <c r="B971" s="8"/>
      <c r="C971" s="8"/>
      <c r="D971" s="8"/>
      <c r="E971" s="8"/>
      <c r="F971" s="11" t="str">
        <f>IFERROR(INDEX(Reference!$B$23:$B$24,MATCH(D971,Reference!$A$23:$A$24,0)),"")</f>
        <v/>
      </c>
      <c r="G971" s="11" t="str">
        <f t="shared" si="30"/>
        <v/>
      </c>
      <c r="H971" s="10" t="str">
        <f t="shared" si="31"/>
        <v/>
      </c>
    </row>
    <row r="972" spans="1:8" ht="15" customHeight="1" x14ac:dyDescent="0.2">
      <c r="A972" s="9"/>
      <c r="B972" s="8"/>
      <c r="C972" s="8"/>
      <c r="D972" s="8"/>
      <c r="E972" s="8"/>
      <c r="F972" s="11" t="str">
        <f>IFERROR(INDEX(Reference!$B$23:$B$24,MATCH(D972,Reference!$A$23:$A$24,0)),"")</f>
        <v/>
      </c>
      <c r="G972" s="11" t="str">
        <f t="shared" si="30"/>
        <v/>
      </c>
      <c r="H972" s="10" t="str">
        <f t="shared" si="31"/>
        <v/>
      </c>
    </row>
    <row r="973" spans="1:8" ht="15" customHeight="1" x14ac:dyDescent="0.2">
      <c r="A973" s="9"/>
      <c r="B973" s="8"/>
      <c r="C973" s="8"/>
      <c r="D973" s="8"/>
      <c r="E973" s="8"/>
      <c r="F973" s="11" t="str">
        <f>IFERROR(INDEX(Reference!$B$23:$B$24,MATCH(D973,Reference!$A$23:$A$24,0)),"")</f>
        <v/>
      </c>
      <c r="G973" s="11" t="str">
        <f t="shared" si="30"/>
        <v/>
      </c>
      <c r="H973" s="10" t="str">
        <f t="shared" si="31"/>
        <v/>
      </c>
    </row>
    <row r="974" spans="1:8" ht="15" customHeight="1" x14ac:dyDescent="0.2">
      <c r="A974" s="9"/>
      <c r="B974" s="8"/>
      <c r="C974" s="8"/>
      <c r="D974" s="8"/>
      <c r="E974" s="8"/>
      <c r="F974" s="11" t="str">
        <f>IFERROR(INDEX(Reference!$B$23:$B$24,MATCH(D974,Reference!$A$23:$A$24,0)),"")</f>
        <v/>
      </c>
      <c r="G974" s="11" t="str">
        <f t="shared" si="30"/>
        <v/>
      </c>
      <c r="H974" s="10" t="str">
        <f t="shared" si="31"/>
        <v/>
      </c>
    </row>
    <row r="975" spans="1:8" ht="15" customHeight="1" x14ac:dyDescent="0.2">
      <c r="A975" s="9"/>
      <c r="B975" s="8"/>
      <c r="C975" s="8"/>
      <c r="D975" s="8"/>
      <c r="E975" s="8"/>
      <c r="F975" s="11" t="str">
        <f>IFERROR(INDEX(Reference!$B$23:$B$24,MATCH(D975,Reference!$A$23:$A$24,0)),"")</f>
        <v/>
      </c>
      <c r="G975" s="11" t="str">
        <f t="shared" si="30"/>
        <v/>
      </c>
      <c r="H975" s="10" t="str">
        <f t="shared" si="31"/>
        <v/>
      </c>
    </row>
    <row r="976" spans="1:8" ht="15" customHeight="1" x14ac:dyDescent="0.2">
      <c r="A976" s="9"/>
      <c r="B976" s="8"/>
      <c r="C976" s="8"/>
      <c r="D976" s="8"/>
      <c r="E976" s="8"/>
      <c r="F976" s="11" t="str">
        <f>IFERROR(INDEX(Reference!$B$23:$B$24,MATCH(D976,Reference!$A$23:$A$24,0)),"")</f>
        <v/>
      </c>
      <c r="G976" s="11" t="str">
        <f t="shared" si="30"/>
        <v/>
      </c>
      <c r="H976" s="10" t="str">
        <f t="shared" si="31"/>
        <v/>
      </c>
    </row>
    <row r="977" spans="1:8" ht="15" customHeight="1" x14ac:dyDescent="0.2">
      <c r="A977" s="9"/>
      <c r="B977" s="8"/>
      <c r="C977" s="8"/>
      <c r="D977" s="8"/>
      <c r="E977" s="8"/>
      <c r="F977" s="11" t="str">
        <f>IFERROR(INDEX(Reference!$B$23:$B$24,MATCH(D977,Reference!$A$23:$A$24,0)),"")</f>
        <v/>
      </c>
      <c r="G977" s="11" t="str">
        <f t="shared" si="30"/>
        <v/>
      </c>
      <c r="H977" s="10" t="str">
        <f t="shared" si="31"/>
        <v/>
      </c>
    </row>
    <row r="978" spans="1:8" ht="15" customHeight="1" x14ac:dyDescent="0.2">
      <c r="A978" s="9"/>
      <c r="B978" s="8"/>
      <c r="C978" s="8"/>
      <c r="D978" s="8"/>
      <c r="E978" s="8"/>
      <c r="F978" s="11" t="str">
        <f>IFERROR(INDEX(Reference!$B$23:$B$24,MATCH(D978,Reference!$A$23:$A$24,0)),"")</f>
        <v/>
      </c>
      <c r="G978" s="11" t="str">
        <f t="shared" si="30"/>
        <v/>
      </c>
      <c r="H978" s="10" t="str">
        <f t="shared" si="31"/>
        <v/>
      </c>
    </row>
    <row r="979" spans="1:8" ht="15" customHeight="1" x14ac:dyDescent="0.2">
      <c r="A979" s="9"/>
      <c r="B979" s="8"/>
      <c r="C979" s="8"/>
      <c r="D979" s="8"/>
      <c r="E979" s="8"/>
      <c r="F979" s="11" t="str">
        <f>IFERROR(INDEX(Reference!$B$23:$B$24,MATCH(D979,Reference!$A$23:$A$24,0)),"")</f>
        <v/>
      </c>
      <c r="G979" s="11" t="str">
        <f t="shared" si="30"/>
        <v/>
      </c>
      <c r="H979" s="10" t="str">
        <f t="shared" si="31"/>
        <v/>
      </c>
    </row>
    <row r="980" spans="1:8" ht="15" customHeight="1" x14ac:dyDescent="0.2">
      <c r="A980" s="9"/>
      <c r="B980" s="8"/>
      <c r="C980" s="8"/>
      <c r="D980" s="8"/>
      <c r="E980" s="8"/>
      <c r="F980" s="11" t="str">
        <f>IFERROR(INDEX(Reference!$B$23:$B$24,MATCH(D980,Reference!$A$23:$A$24,0)),"")</f>
        <v/>
      </c>
      <c r="G980" s="11" t="str">
        <f t="shared" si="30"/>
        <v/>
      </c>
      <c r="H980" s="10" t="str">
        <f t="shared" si="31"/>
        <v/>
      </c>
    </row>
    <row r="981" spans="1:8" ht="15" customHeight="1" x14ac:dyDescent="0.2">
      <c r="A981" s="9"/>
      <c r="B981" s="8"/>
      <c r="C981" s="8"/>
      <c r="D981" s="8"/>
      <c r="E981" s="8"/>
      <c r="F981" s="11" t="str">
        <f>IFERROR(INDEX(Reference!$B$23:$B$24,MATCH(D981,Reference!$A$23:$A$24,0)),"")</f>
        <v/>
      </c>
      <c r="G981" s="11" t="str">
        <f t="shared" si="30"/>
        <v/>
      </c>
      <c r="H981" s="10" t="str">
        <f t="shared" si="31"/>
        <v/>
      </c>
    </row>
    <row r="982" spans="1:8" ht="15" customHeight="1" x14ac:dyDescent="0.2">
      <c r="A982" s="9"/>
      <c r="B982" s="8"/>
      <c r="C982" s="8"/>
      <c r="D982" s="8"/>
      <c r="E982" s="8"/>
      <c r="F982" s="11" t="str">
        <f>IFERROR(INDEX(Reference!$B$23:$B$24,MATCH(D982,Reference!$A$23:$A$24,0)),"")</f>
        <v/>
      </c>
      <c r="G982" s="11" t="str">
        <f t="shared" si="30"/>
        <v/>
      </c>
      <c r="H982" s="10" t="str">
        <f t="shared" si="31"/>
        <v/>
      </c>
    </row>
    <row r="983" spans="1:8" ht="15" customHeight="1" x14ac:dyDescent="0.2">
      <c r="A983" s="9"/>
      <c r="B983" s="8"/>
      <c r="C983" s="8"/>
      <c r="D983" s="8"/>
      <c r="E983" s="8"/>
      <c r="F983" s="11" t="str">
        <f>IFERROR(INDEX(Reference!$B$23:$B$24,MATCH(D983,Reference!$A$23:$A$24,0)),"")</f>
        <v/>
      </c>
      <c r="G983" s="11" t="str">
        <f t="shared" si="30"/>
        <v/>
      </c>
      <c r="H983" s="10" t="str">
        <f t="shared" si="31"/>
        <v/>
      </c>
    </row>
    <row r="984" spans="1:8" ht="15" customHeight="1" x14ac:dyDescent="0.2">
      <c r="A984" s="9"/>
      <c r="B984" s="8"/>
      <c r="C984" s="8"/>
      <c r="D984" s="8"/>
      <c r="E984" s="8"/>
      <c r="F984" s="11" t="str">
        <f>IFERROR(INDEX(Reference!$B$23:$B$24,MATCH(D984,Reference!$A$23:$A$24,0)),"")</f>
        <v/>
      </c>
      <c r="G984" s="11" t="str">
        <f t="shared" si="30"/>
        <v/>
      </c>
      <c r="H984" s="10" t="str">
        <f t="shared" si="31"/>
        <v/>
      </c>
    </row>
    <row r="985" spans="1:8" ht="15" customHeight="1" x14ac:dyDescent="0.2">
      <c r="A985" s="9"/>
      <c r="B985" s="8"/>
      <c r="C985" s="8"/>
      <c r="D985" s="8"/>
      <c r="E985" s="8"/>
      <c r="F985" s="11" t="str">
        <f>IFERROR(INDEX(Reference!$B$23:$B$24,MATCH(D985,Reference!$A$23:$A$24,0)),"")</f>
        <v/>
      </c>
      <c r="G985" s="11" t="str">
        <f t="shared" si="30"/>
        <v/>
      </c>
      <c r="H985" s="10" t="str">
        <f t="shared" si="31"/>
        <v/>
      </c>
    </row>
    <row r="986" spans="1:8" ht="15" customHeight="1" x14ac:dyDescent="0.2">
      <c r="A986" s="9"/>
      <c r="B986" s="8"/>
      <c r="C986" s="8"/>
      <c r="D986" s="8"/>
      <c r="E986" s="8"/>
      <c r="F986" s="11" t="str">
        <f>IFERROR(INDEX(Reference!$B$23:$B$24,MATCH(D986,Reference!$A$23:$A$24,0)),"")</f>
        <v/>
      </c>
      <c r="G986" s="11" t="str">
        <f t="shared" si="30"/>
        <v/>
      </c>
      <c r="H986" s="10" t="str">
        <f t="shared" si="31"/>
        <v/>
      </c>
    </row>
    <row r="987" spans="1:8" ht="15" customHeight="1" x14ac:dyDescent="0.2">
      <c r="A987" s="9"/>
      <c r="B987" s="8"/>
      <c r="C987" s="8"/>
      <c r="D987" s="8"/>
      <c r="E987" s="8"/>
      <c r="F987" s="11" t="str">
        <f>IFERROR(INDEX(Reference!$B$23:$B$24,MATCH(D987,Reference!$A$23:$A$24,0)),"")</f>
        <v/>
      </c>
      <c r="G987" s="11" t="str">
        <f t="shared" si="30"/>
        <v/>
      </c>
      <c r="H987" s="10" t="str">
        <f t="shared" si="31"/>
        <v/>
      </c>
    </row>
    <row r="988" spans="1:8" ht="15" customHeight="1" x14ac:dyDescent="0.2">
      <c r="A988" s="9"/>
      <c r="B988" s="8"/>
      <c r="C988" s="8"/>
      <c r="D988" s="8"/>
      <c r="E988" s="8"/>
      <c r="F988" s="11" t="str">
        <f>IFERROR(INDEX(Reference!$B$23:$B$24,MATCH(D988,Reference!$A$23:$A$24,0)),"")</f>
        <v/>
      </c>
      <c r="G988" s="11" t="str">
        <f t="shared" si="30"/>
        <v/>
      </c>
      <c r="H988" s="10" t="str">
        <f t="shared" si="31"/>
        <v/>
      </c>
    </row>
    <row r="989" spans="1:8" ht="15" customHeight="1" x14ac:dyDescent="0.2">
      <c r="A989" s="9"/>
      <c r="B989" s="8"/>
      <c r="C989" s="8"/>
      <c r="D989" s="8"/>
      <c r="E989" s="8"/>
      <c r="F989" s="11" t="str">
        <f>IFERROR(INDEX(Reference!$B$23:$B$24,MATCH(D989,Reference!$A$23:$A$24,0)),"")</f>
        <v/>
      </c>
      <c r="G989" s="11" t="str">
        <f t="shared" si="30"/>
        <v/>
      </c>
      <c r="H989" s="10" t="str">
        <f t="shared" si="31"/>
        <v/>
      </c>
    </row>
    <row r="990" spans="1:8" ht="15" customHeight="1" x14ac:dyDescent="0.2">
      <c r="A990" s="9"/>
      <c r="B990" s="8"/>
      <c r="C990" s="8"/>
      <c r="D990" s="8"/>
      <c r="E990" s="8"/>
      <c r="F990" s="11" t="str">
        <f>IFERROR(INDEX(Reference!$B$23:$B$24,MATCH(D990,Reference!$A$23:$A$24,0)),"")</f>
        <v/>
      </c>
      <c r="G990" s="11" t="str">
        <f t="shared" si="30"/>
        <v/>
      </c>
      <c r="H990" s="10" t="str">
        <f t="shared" si="31"/>
        <v/>
      </c>
    </row>
    <row r="991" spans="1:8" ht="15" customHeight="1" x14ac:dyDescent="0.2">
      <c r="A991" s="9"/>
      <c r="B991" s="8"/>
      <c r="C991" s="8"/>
      <c r="D991" s="8"/>
      <c r="E991" s="8"/>
      <c r="F991" s="11" t="str">
        <f>IFERROR(INDEX(Reference!$B$23:$B$24,MATCH(D991,Reference!$A$23:$A$24,0)),"")</f>
        <v/>
      </c>
      <c r="G991" s="11" t="str">
        <f t="shared" si="30"/>
        <v/>
      </c>
      <c r="H991" s="10" t="str">
        <f t="shared" si="31"/>
        <v/>
      </c>
    </row>
    <row r="992" spans="1:8" ht="15" customHeight="1" x14ac:dyDescent="0.2">
      <c r="A992" s="9"/>
      <c r="B992" s="8"/>
      <c r="C992" s="8"/>
      <c r="D992" s="8"/>
      <c r="E992" s="8"/>
      <c r="F992" s="11" t="str">
        <f>IFERROR(INDEX(Reference!$B$23:$B$24,MATCH(D992,Reference!$A$23:$A$24,0)),"")</f>
        <v/>
      </c>
      <c r="G992" s="11" t="str">
        <f t="shared" si="30"/>
        <v/>
      </c>
      <c r="H992" s="10" t="str">
        <f t="shared" si="31"/>
        <v/>
      </c>
    </row>
    <row r="993" spans="1:8" ht="15" customHeight="1" x14ac:dyDescent="0.2">
      <c r="A993" s="9"/>
      <c r="B993" s="8"/>
      <c r="C993" s="8"/>
      <c r="D993" s="8"/>
      <c r="E993" s="8"/>
      <c r="F993" s="11" t="str">
        <f>IFERROR(INDEX(Reference!$B$23:$B$24,MATCH(D993,Reference!$A$23:$A$24,0)),"")</f>
        <v/>
      </c>
      <c r="G993" s="11" t="str">
        <f t="shared" si="30"/>
        <v/>
      </c>
      <c r="H993" s="10" t="str">
        <f t="shared" si="31"/>
        <v/>
      </c>
    </row>
    <row r="994" spans="1:8" ht="15" customHeight="1" x14ac:dyDescent="0.2">
      <c r="A994" s="9"/>
      <c r="B994" s="8"/>
      <c r="C994" s="8"/>
      <c r="D994" s="8"/>
      <c r="E994" s="8"/>
      <c r="F994" s="11" t="str">
        <f>IFERROR(INDEX(Reference!$B$23:$B$24,MATCH(D994,Reference!$A$23:$A$24,0)),"")</f>
        <v/>
      </c>
      <c r="G994" s="11" t="str">
        <f t="shared" si="30"/>
        <v/>
      </c>
      <c r="H994" s="10" t="str">
        <f t="shared" si="31"/>
        <v/>
      </c>
    </row>
    <row r="995" spans="1:8" ht="15" customHeight="1" x14ac:dyDescent="0.2">
      <c r="A995" s="9"/>
      <c r="B995" s="8"/>
      <c r="C995" s="8"/>
      <c r="D995" s="8"/>
      <c r="E995" s="8"/>
      <c r="F995" s="11" t="str">
        <f>IFERROR(INDEX(Reference!$B$23:$B$24,MATCH(D995,Reference!$A$23:$A$24,0)),"")</f>
        <v/>
      </c>
      <c r="G995" s="11" t="str">
        <f t="shared" si="30"/>
        <v/>
      </c>
      <c r="H995" s="10" t="str">
        <f t="shared" si="31"/>
        <v/>
      </c>
    </row>
    <row r="996" spans="1:8" ht="15" customHeight="1" x14ac:dyDescent="0.2">
      <c r="A996" s="9"/>
      <c r="B996" s="8"/>
      <c r="C996" s="8"/>
      <c r="D996" s="8"/>
      <c r="E996" s="8"/>
      <c r="F996" s="11" t="str">
        <f>IFERROR(INDEX(Reference!$B$23:$B$24,MATCH(D996,Reference!$A$23:$A$24,0)),"")</f>
        <v/>
      </c>
      <c r="G996" s="11" t="str">
        <f t="shared" si="30"/>
        <v/>
      </c>
      <c r="H996" s="10" t="str">
        <f t="shared" si="31"/>
        <v/>
      </c>
    </row>
    <row r="997" spans="1:8" ht="15" customHeight="1" x14ac:dyDescent="0.2">
      <c r="A997" s="9"/>
      <c r="B997" s="8"/>
      <c r="C997" s="8"/>
      <c r="D997" s="8"/>
      <c r="E997" s="8"/>
      <c r="F997" s="11" t="str">
        <f>IFERROR(INDEX(Reference!$B$23:$B$24,MATCH(D997,Reference!$A$23:$A$24,0)),"")</f>
        <v/>
      </c>
      <c r="G997" s="11" t="str">
        <f t="shared" si="30"/>
        <v/>
      </c>
      <c r="H997" s="10" t="str">
        <f t="shared" si="31"/>
        <v/>
      </c>
    </row>
    <row r="998" spans="1:8" ht="15" customHeight="1" x14ac:dyDescent="0.2">
      <c r="A998" s="9"/>
      <c r="B998" s="8"/>
      <c r="C998" s="8"/>
      <c r="D998" s="8"/>
      <c r="E998" s="8"/>
      <c r="F998" s="11" t="str">
        <f>IFERROR(INDEX(Reference!$B$23:$B$24,MATCH(D998,Reference!$A$23:$A$24,0)),"")</f>
        <v/>
      </c>
      <c r="G998" s="11" t="str">
        <f t="shared" si="30"/>
        <v/>
      </c>
      <c r="H998" s="10" t="str">
        <f t="shared" si="31"/>
        <v/>
      </c>
    </row>
    <row r="999" spans="1:8" ht="15" customHeight="1" x14ac:dyDescent="0.2">
      <c r="A999" s="9"/>
      <c r="B999" s="8"/>
      <c r="C999" s="8"/>
      <c r="D999" s="8"/>
      <c r="E999" s="8"/>
      <c r="F999" s="11" t="str">
        <f>IFERROR(INDEX(Reference!$B$23:$B$24,MATCH(D999,Reference!$A$23:$A$24,0)),"")</f>
        <v/>
      </c>
      <c r="G999" s="11" t="str">
        <f t="shared" si="30"/>
        <v/>
      </c>
      <c r="H999" s="10" t="str">
        <f t="shared" si="31"/>
        <v/>
      </c>
    </row>
    <row r="1000" spans="1:8" ht="15" customHeight="1" x14ac:dyDescent="0.2">
      <c r="A1000" s="9"/>
      <c r="B1000" s="8"/>
      <c r="C1000" s="8"/>
      <c r="D1000" s="8"/>
      <c r="E1000" s="8"/>
      <c r="F1000" s="11" t="str">
        <f>IFERROR(INDEX(Reference!$B$23:$B$24,MATCH(D1000,Reference!$A$23:$A$24,0)),"")</f>
        <v/>
      </c>
      <c r="G1000" s="11" t="str">
        <f t="shared" si="30"/>
        <v/>
      </c>
      <c r="H1000" s="10" t="str">
        <f t="shared" si="31"/>
        <v/>
      </c>
    </row>
    <row r="1001" spans="1:8" ht="15" customHeight="1" x14ac:dyDescent="0.2">
      <c r="A1001" s="9"/>
      <c r="B1001" s="8"/>
      <c r="C1001" s="8"/>
      <c r="D1001" s="8"/>
      <c r="E1001" s="8"/>
      <c r="F1001" s="11" t="str">
        <f>IFERROR(INDEX(Reference!$B$23:$B$24,MATCH(D1001,Reference!$A$23:$A$24,0)),"")</f>
        <v/>
      </c>
      <c r="G1001" s="11" t="str">
        <f t="shared" si="30"/>
        <v/>
      </c>
      <c r="H1001" s="10" t="str">
        <f t="shared" si="31"/>
        <v/>
      </c>
    </row>
    <row r="1002" spans="1:8" ht="15" customHeight="1" x14ac:dyDescent="0.2">
      <c r="A1002" s="9"/>
      <c r="B1002" s="8"/>
      <c r="C1002" s="8"/>
      <c r="D1002" s="8"/>
      <c r="E1002" s="8"/>
      <c r="F1002" s="11" t="str">
        <f>IFERROR(INDEX(Reference!$B$23:$B$24,MATCH(D1002,Reference!$A$23:$A$24,0)),"")</f>
        <v/>
      </c>
      <c r="G1002" s="11" t="str">
        <f t="shared" si="30"/>
        <v/>
      </c>
      <c r="H1002" s="10" t="str">
        <f t="shared" si="31"/>
        <v/>
      </c>
    </row>
    <row r="1003" spans="1:8" ht="15" customHeight="1" x14ac:dyDescent="0.2">
      <c r="A1003" s="9"/>
      <c r="B1003" s="8"/>
      <c r="C1003" s="8"/>
      <c r="D1003" s="8"/>
      <c r="E1003" s="8"/>
      <c r="F1003" s="11" t="str">
        <f>IFERROR(INDEX(Reference!$B$23:$B$24,MATCH(D1003,Reference!$A$23:$A$24,0)),"")</f>
        <v/>
      </c>
      <c r="G1003" s="11" t="str">
        <f t="shared" si="30"/>
        <v/>
      </c>
      <c r="H1003" s="10" t="str">
        <f t="shared" si="31"/>
        <v/>
      </c>
    </row>
    <row r="1004" spans="1:8" ht="15" customHeight="1" x14ac:dyDescent="0.2">
      <c r="A1004" s="9"/>
      <c r="B1004" s="8"/>
      <c r="C1004" s="8"/>
      <c r="D1004" s="8"/>
      <c r="E1004" s="8"/>
      <c r="F1004" s="11" t="str">
        <f>IFERROR(INDEX(Reference!$B$23:$B$24,MATCH(D1004,Reference!$A$23:$A$24,0)),"")</f>
        <v/>
      </c>
      <c r="G1004" s="11" t="str">
        <f t="shared" si="30"/>
        <v/>
      </c>
      <c r="H1004" s="10" t="str">
        <f t="shared" si="31"/>
        <v/>
      </c>
    </row>
    <row r="1005" spans="1:8" ht="15" customHeight="1" x14ac:dyDescent="0.2">
      <c r="A1005" s="9"/>
      <c r="B1005" s="8"/>
      <c r="C1005" s="8"/>
      <c r="D1005" s="8"/>
      <c r="E1005" s="8"/>
      <c r="F1005" s="11" t="str">
        <f>IFERROR(INDEX(Reference!$B$23:$B$24,MATCH(D1005,Reference!$A$23:$A$24,0)),"")</f>
        <v/>
      </c>
      <c r="G1005" s="11" t="str">
        <f t="shared" si="30"/>
        <v/>
      </c>
      <c r="H1005" s="10" t="str">
        <f t="shared" si="31"/>
        <v/>
      </c>
    </row>
    <row r="1006" spans="1:8" ht="15" customHeight="1" x14ac:dyDescent="0.2">
      <c r="A1006" s="9"/>
      <c r="B1006" s="8"/>
      <c r="C1006" s="8"/>
      <c r="D1006" s="8"/>
      <c r="E1006" s="8"/>
      <c r="F1006" s="11" t="str">
        <f>IFERROR(INDEX(Reference!$B$23:$B$24,MATCH(D1006,Reference!$A$23:$A$24,0)),"")</f>
        <v/>
      </c>
      <c r="G1006" s="11" t="str">
        <f t="shared" si="30"/>
        <v/>
      </c>
      <c r="H1006" s="10" t="str">
        <f t="shared" si="31"/>
        <v/>
      </c>
    </row>
    <row r="1007" spans="1:8" ht="15" customHeight="1" x14ac:dyDescent="0.2">
      <c r="A1007" s="9"/>
      <c r="B1007" s="8"/>
      <c r="C1007" s="8"/>
      <c r="D1007" s="8"/>
      <c r="E1007" s="8"/>
      <c r="F1007" s="11" t="str">
        <f>IFERROR(INDEX(Reference!$B$23:$B$24,MATCH(D1007,Reference!$A$23:$A$24,0)),"")</f>
        <v/>
      </c>
      <c r="G1007" s="11" t="str">
        <f t="shared" si="30"/>
        <v/>
      </c>
      <c r="H1007" s="10" t="str">
        <f t="shared" si="31"/>
        <v/>
      </c>
    </row>
    <row r="1008" spans="1:8" ht="15" customHeight="1" x14ac:dyDescent="0.2">
      <c r="A1008" s="9"/>
      <c r="B1008" s="8"/>
      <c r="C1008" s="8"/>
      <c r="D1008" s="8"/>
      <c r="E1008" s="8"/>
      <c r="F1008" s="11" t="str">
        <f>IFERROR(INDEX(Reference!$B$23:$B$24,MATCH(D1008,Reference!$A$23:$A$24,0)),"")</f>
        <v/>
      </c>
      <c r="G1008" s="11" t="str">
        <f t="shared" si="30"/>
        <v/>
      </c>
      <c r="H1008" s="10" t="str">
        <f t="shared" si="31"/>
        <v/>
      </c>
    </row>
    <row r="1009" spans="1:8" ht="15" customHeight="1" x14ac:dyDescent="0.2">
      <c r="A1009" s="9"/>
      <c r="B1009" s="8"/>
      <c r="C1009" s="8"/>
      <c r="D1009" s="8"/>
      <c r="E1009" s="8"/>
      <c r="F1009" s="11" t="str">
        <f>IFERROR(INDEX(Reference!$B$23:$B$24,MATCH(D1009,Reference!$A$23:$A$24,0)),"")</f>
        <v/>
      </c>
      <c r="G1009" s="11" t="str">
        <f t="shared" si="30"/>
        <v/>
      </c>
      <c r="H1009" s="10" t="str">
        <f t="shared" si="31"/>
        <v/>
      </c>
    </row>
    <row r="1010" spans="1:8" ht="15" customHeight="1" x14ac:dyDescent="0.2">
      <c r="A1010" s="9"/>
      <c r="B1010" s="8"/>
      <c r="C1010" s="8"/>
      <c r="D1010" s="8"/>
      <c r="E1010" s="8"/>
      <c r="F1010" s="11" t="str">
        <f>IFERROR(INDEX(Reference!$B$23:$B$24,MATCH(D1010,Reference!$A$23:$A$24,0)),"")</f>
        <v/>
      </c>
      <c r="G1010" s="11" t="str">
        <f t="shared" si="30"/>
        <v/>
      </c>
      <c r="H1010" s="10" t="str">
        <f t="shared" si="31"/>
        <v/>
      </c>
    </row>
    <row r="1011" spans="1:8" ht="15" customHeight="1" x14ac:dyDescent="0.2">
      <c r="A1011" s="9"/>
      <c r="B1011" s="8"/>
      <c r="C1011" s="8"/>
      <c r="D1011" s="8"/>
      <c r="E1011" s="8"/>
      <c r="F1011" s="11" t="str">
        <f>IFERROR(INDEX(Reference!$B$23:$B$24,MATCH(D1011,Reference!$A$23:$A$24,0)),"")</f>
        <v/>
      </c>
      <c r="G1011" s="11" t="str">
        <f t="shared" si="30"/>
        <v/>
      </c>
      <c r="H1011" s="10" t="str">
        <f t="shared" si="31"/>
        <v/>
      </c>
    </row>
    <row r="1012" spans="1:8" ht="15" customHeight="1" x14ac:dyDescent="0.2">
      <c r="A1012" s="9"/>
      <c r="B1012" s="8"/>
      <c r="C1012" s="8"/>
      <c r="D1012" s="8"/>
      <c r="E1012" s="8"/>
      <c r="F1012" s="11" t="str">
        <f>IFERROR(INDEX(Reference!$B$23:$B$24,MATCH(D1012,Reference!$A$23:$A$24,0)),"")</f>
        <v/>
      </c>
      <c r="G1012" s="11" t="str">
        <f t="shared" si="30"/>
        <v/>
      </c>
      <c r="H1012" s="10" t="str">
        <f t="shared" si="31"/>
        <v/>
      </c>
    </row>
    <row r="1013" spans="1:8" ht="15" customHeight="1" x14ac:dyDescent="0.2">
      <c r="A1013" s="9"/>
      <c r="B1013" s="8"/>
      <c r="C1013" s="8"/>
      <c r="D1013" s="8"/>
      <c r="E1013" s="8"/>
      <c r="F1013" s="11" t="str">
        <f>IFERROR(INDEX(Reference!$B$23:$B$24,MATCH(D1013,Reference!$A$23:$A$24,0)),"")</f>
        <v/>
      </c>
      <c r="G1013" s="11" t="str">
        <f t="shared" si="30"/>
        <v/>
      </c>
      <c r="H1013" s="10" t="str">
        <f t="shared" si="31"/>
        <v/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Reference!$A$23:$A$24</xm:f>
          </x14:formula1>
          <x14:formula2>
            <xm:f>0</xm:f>
          </x14:formula2>
          <xm:sqref>D2:D1013</xm:sqref>
        </x14:dataValidation>
        <x14:dataValidation type="list" allowBlank="1" xr:uid="{00000000-0002-0000-0400-000001000000}">
          <x14:formula1>
            <xm:f>Reference!$H$5:$H$8</xm:f>
          </x14:formula1>
          <x14:formula2>
            <xm:f>0</xm:f>
          </x14:formula2>
          <xm:sqref>C2:C1013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59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10" defaultColWidth="8.6640625" defaultRowHeight="15" x14ac:dyDescent="0.2"/>
  <cols>
    <col min="1" max="1" width="12" customWidth="1"/>
    <col min="2" max="2" width="32" customWidth="1"/>
    <col min="3" max="4" width="12" customWidth="1"/>
    <col min="5" max="5" width="10" customWidth="1"/>
    <col min="6" max="6" width="26" customWidth="1"/>
  </cols>
  <sheetData>
    <row r="1" spans="1:6" ht="15" customHeight="1" x14ac:dyDescent="0.2">
      <c r="A1" s="4" t="s">
        <v>148</v>
      </c>
      <c r="B1" s="4" t="s">
        <v>61</v>
      </c>
      <c r="C1" s="4" t="s">
        <v>62</v>
      </c>
      <c r="D1" s="4" t="s">
        <v>153</v>
      </c>
      <c r="E1" s="4" t="s">
        <v>147</v>
      </c>
      <c r="F1" s="4" t="s">
        <v>154</v>
      </c>
    </row>
    <row r="2" spans="1:6" ht="15" customHeight="1" x14ac:dyDescent="0.2">
      <c r="A2" s="9"/>
      <c r="B2" s="8"/>
      <c r="C2" s="10" t="str">
        <f>IFERROR(INDEX(Reference!$B$29:$B$200,MATCH(B2,Reference!$A$29:$A$200,0)),"")</f>
        <v/>
      </c>
      <c r="D2" s="13"/>
      <c r="E2" s="10" t="str">
        <f t="shared" ref="E2:E65" si="0">IF(A2="","",IF(MONTH(A2)&gt;=8,YEAR(A2)&amp;"-"&amp;RIGHT(YEAR(A2)+1,2),YEAR(A2)-1&amp;"-"&amp;RIGHT(YEAR(A2),2)))</f>
        <v/>
      </c>
      <c r="F2" s="8"/>
    </row>
    <row r="3" spans="1:6" ht="15" customHeight="1" x14ac:dyDescent="0.2">
      <c r="A3" s="9"/>
      <c r="B3" s="8"/>
      <c r="C3" s="10" t="str">
        <f>IFERROR(INDEX(Reference!$B$29:$B$200,MATCH(B3,Reference!$A$29:$A$200,0)),"")</f>
        <v/>
      </c>
      <c r="D3" s="13"/>
      <c r="E3" s="10" t="str">
        <f t="shared" si="0"/>
        <v/>
      </c>
      <c r="F3" s="8"/>
    </row>
    <row r="4" spans="1:6" ht="15" customHeight="1" x14ac:dyDescent="0.2">
      <c r="A4" s="9"/>
      <c r="B4" s="8"/>
      <c r="C4" s="10" t="str">
        <f>IFERROR(INDEX(Reference!$B$29:$B$200,MATCH(B4,Reference!$A$29:$A$200,0)),"")</f>
        <v/>
      </c>
      <c r="D4" s="13"/>
      <c r="E4" s="10" t="str">
        <f t="shared" si="0"/>
        <v/>
      </c>
      <c r="F4" s="8"/>
    </row>
    <row r="5" spans="1:6" ht="15" customHeight="1" x14ac:dyDescent="0.2">
      <c r="A5" s="9"/>
      <c r="B5" s="8"/>
      <c r="C5" s="10" t="str">
        <f>IFERROR(INDEX(Reference!$B$29:$B$200,MATCH(B5,Reference!$A$29:$A$200,0)),"")</f>
        <v/>
      </c>
      <c r="D5" s="13"/>
      <c r="E5" s="10" t="str">
        <f t="shared" si="0"/>
        <v/>
      </c>
      <c r="F5" s="8"/>
    </row>
    <row r="6" spans="1:6" ht="15" customHeight="1" x14ac:dyDescent="0.2">
      <c r="A6" s="9"/>
      <c r="B6" s="8"/>
      <c r="C6" s="10" t="str">
        <f>IFERROR(INDEX(Reference!$B$29:$B$200,MATCH(B6,Reference!$A$29:$A$200,0)),"")</f>
        <v/>
      </c>
      <c r="D6" s="13"/>
      <c r="E6" s="10" t="str">
        <f t="shared" si="0"/>
        <v/>
      </c>
      <c r="F6" s="8"/>
    </row>
    <row r="7" spans="1:6" ht="15" customHeight="1" x14ac:dyDescent="0.2">
      <c r="A7" s="9"/>
      <c r="B7" s="8"/>
      <c r="C7" s="10" t="str">
        <f>IFERROR(INDEX(Reference!$B$29:$B$200,MATCH(B7,Reference!$A$29:$A$200,0)),"")</f>
        <v/>
      </c>
      <c r="D7" s="13"/>
      <c r="E7" s="10" t="str">
        <f t="shared" si="0"/>
        <v/>
      </c>
      <c r="F7" s="8"/>
    </row>
    <row r="8" spans="1:6" ht="15" customHeight="1" x14ac:dyDescent="0.2">
      <c r="A8" s="9"/>
      <c r="B8" s="8"/>
      <c r="C8" s="10" t="str">
        <f>IFERROR(INDEX(Reference!$B$29:$B$200,MATCH(B8,Reference!$A$29:$A$200,0)),"")</f>
        <v/>
      </c>
      <c r="D8" s="13"/>
      <c r="E8" s="10" t="str">
        <f t="shared" si="0"/>
        <v/>
      </c>
      <c r="F8" s="8"/>
    </row>
    <row r="9" spans="1:6" ht="15" customHeight="1" x14ac:dyDescent="0.2">
      <c r="A9" s="9"/>
      <c r="B9" s="8"/>
      <c r="C9" s="10" t="str">
        <f>IFERROR(INDEX(Reference!$B$29:$B$200,MATCH(B9,Reference!$A$29:$A$200,0)),"")</f>
        <v/>
      </c>
      <c r="D9" s="13"/>
      <c r="E9" s="10" t="str">
        <f t="shared" si="0"/>
        <v/>
      </c>
      <c r="F9" s="8"/>
    </row>
    <row r="10" spans="1:6" ht="15" customHeight="1" x14ac:dyDescent="0.2">
      <c r="A10" s="9"/>
      <c r="B10" s="8"/>
      <c r="C10" s="10" t="str">
        <f>IFERROR(INDEX(Reference!$B$29:$B$200,MATCH(B10,Reference!$A$29:$A$200,0)),"")</f>
        <v/>
      </c>
      <c r="D10" s="13"/>
      <c r="E10" s="10" t="str">
        <f t="shared" si="0"/>
        <v/>
      </c>
      <c r="F10" s="8"/>
    </row>
    <row r="11" spans="1:6" ht="15" customHeight="1" x14ac:dyDescent="0.2">
      <c r="A11" s="9"/>
      <c r="B11" s="8"/>
      <c r="C11" s="10" t="str">
        <f>IFERROR(INDEX(Reference!$B$29:$B$200,MATCH(B11,Reference!$A$29:$A$200,0)),"")</f>
        <v/>
      </c>
      <c r="D11" s="13"/>
      <c r="E11" s="10" t="str">
        <f t="shared" si="0"/>
        <v/>
      </c>
      <c r="F11" s="8"/>
    </row>
    <row r="12" spans="1:6" ht="15" customHeight="1" x14ac:dyDescent="0.2">
      <c r="A12" s="9"/>
      <c r="B12" s="8"/>
      <c r="C12" s="10" t="str">
        <f>IFERROR(INDEX(Reference!$B$29:$B$200,MATCH(B12,Reference!$A$29:$A$200,0)),"")</f>
        <v/>
      </c>
      <c r="D12" s="13"/>
      <c r="E12" s="10" t="str">
        <f t="shared" si="0"/>
        <v/>
      </c>
      <c r="F12" s="8"/>
    </row>
    <row r="13" spans="1:6" ht="15" customHeight="1" x14ac:dyDescent="0.2">
      <c r="A13" s="9"/>
      <c r="B13" s="8"/>
      <c r="C13" s="10" t="str">
        <f>IFERROR(INDEX(Reference!$B$29:$B$200,MATCH(B13,Reference!$A$29:$A$200,0)),"")</f>
        <v/>
      </c>
      <c r="D13" s="13"/>
      <c r="E13" s="10" t="str">
        <f t="shared" si="0"/>
        <v/>
      </c>
      <c r="F13" s="8"/>
    </row>
    <row r="14" spans="1:6" ht="15" customHeight="1" x14ac:dyDescent="0.2">
      <c r="A14" s="9"/>
      <c r="B14" s="8"/>
      <c r="C14" s="10" t="str">
        <f>IFERROR(INDEX(Reference!$B$29:$B$200,MATCH(B14,Reference!$A$29:$A$200,0)),"")</f>
        <v/>
      </c>
      <c r="D14" s="13"/>
      <c r="E14" s="10" t="str">
        <f t="shared" si="0"/>
        <v/>
      </c>
      <c r="F14" s="8"/>
    </row>
    <row r="15" spans="1:6" ht="15" customHeight="1" x14ac:dyDescent="0.2">
      <c r="A15" s="9"/>
      <c r="B15" s="8"/>
      <c r="C15" s="10" t="str">
        <f>IFERROR(INDEX(Reference!$B$29:$B$200,MATCH(B15,Reference!$A$29:$A$200,0)),"")</f>
        <v/>
      </c>
      <c r="D15" s="13"/>
      <c r="E15" s="10" t="str">
        <f t="shared" si="0"/>
        <v/>
      </c>
      <c r="F15" s="8"/>
    </row>
    <row r="16" spans="1:6" ht="15" customHeight="1" x14ac:dyDescent="0.2">
      <c r="A16" s="9"/>
      <c r="B16" s="8"/>
      <c r="C16" s="10" t="str">
        <f>IFERROR(INDEX(Reference!$B$29:$B$200,MATCH(B16,Reference!$A$29:$A$200,0)),"")</f>
        <v/>
      </c>
      <c r="D16" s="13"/>
      <c r="E16" s="10" t="str">
        <f t="shared" si="0"/>
        <v/>
      </c>
      <c r="F16" s="8"/>
    </row>
    <row r="17" spans="1:6" ht="15" customHeight="1" x14ac:dyDescent="0.2">
      <c r="A17" s="9"/>
      <c r="B17" s="8"/>
      <c r="C17" s="10" t="str">
        <f>IFERROR(INDEX(Reference!$B$29:$B$200,MATCH(B17,Reference!$A$29:$A$200,0)),"")</f>
        <v/>
      </c>
      <c r="D17" s="13"/>
      <c r="E17" s="10" t="str">
        <f t="shared" si="0"/>
        <v/>
      </c>
      <c r="F17" s="8"/>
    </row>
    <row r="18" spans="1:6" ht="15" customHeight="1" x14ac:dyDescent="0.2">
      <c r="A18" s="9"/>
      <c r="B18" s="8"/>
      <c r="C18" s="10" t="str">
        <f>IFERROR(INDEX(Reference!$B$29:$B$200,MATCH(B18,Reference!$A$29:$A$200,0)),"")</f>
        <v/>
      </c>
      <c r="D18" s="13"/>
      <c r="E18" s="10" t="str">
        <f t="shared" si="0"/>
        <v/>
      </c>
      <c r="F18" s="8"/>
    </row>
    <row r="19" spans="1:6" ht="15" customHeight="1" x14ac:dyDescent="0.2">
      <c r="A19" s="9"/>
      <c r="B19" s="8"/>
      <c r="C19" s="10" t="str">
        <f>IFERROR(INDEX(Reference!$B$29:$B$200,MATCH(B19,Reference!$A$29:$A$200,0)),"")</f>
        <v/>
      </c>
      <c r="D19" s="13"/>
      <c r="E19" s="10" t="str">
        <f t="shared" si="0"/>
        <v/>
      </c>
      <c r="F19" s="8"/>
    </row>
    <row r="20" spans="1:6" ht="15" customHeight="1" x14ac:dyDescent="0.2">
      <c r="A20" s="9"/>
      <c r="B20" s="8"/>
      <c r="C20" s="10" t="str">
        <f>IFERROR(INDEX(Reference!$B$29:$B$200,MATCH(B20,Reference!$A$29:$A$200,0)),"")</f>
        <v/>
      </c>
      <c r="D20" s="13"/>
      <c r="E20" s="10" t="str">
        <f t="shared" si="0"/>
        <v/>
      </c>
      <c r="F20" s="8"/>
    </row>
    <row r="21" spans="1:6" ht="15" customHeight="1" x14ac:dyDescent="0.2">
      <c r="A21" s="9"/>
      <c r="B21" s="8"/>
      <c r="C21" s="10" t="str">
        <f>IFERROR(INDEX(Reference!$B$29:$B$200,MATCH(B21,Reference!$A$29:$A$200,0)),"")</f>
        <v/>
      </c>
      <c r="D21" s="13"/>
      <c r="E21" s="10" t="str">
        <f t="shared" si="0"/>
        <v/>
      </c>
      <c r="F21" s="8"/>
    </row>
    <row r="22" spans="1:6" ht="15" customHeight="1" x14ac:dyDescent="0.2">
      <c r="A22" s="9"/>
      <c r="B22" s="8"/>
      <c r="C22" s="10" t="str">
        <f>IFERROR(INDEX(Reference!$B$29:$B$200,MATCH(B22,Reference!$A$29:$A$200,0)),"")</f>
        <v/>
      </c>
      <c r="D22" s="13"/>
      <c r="E22" s="10" t="str">
        <f t="shared" si="0"/>
        <v/>
      </c>
      <c r="F22" s="8"/>
    </row>
    <row r="23" spans="1:6" ht="15" customHeight="1" x14ac:dyDescent="0.2">
      <c r="A23" s="9"/>
      <c r="B23" s="8"/>
      <c r="C23" s="10" t="str">
        <f>IFERROR(INDEX(Reference!$B$29:$B$200,MATCH(B23,Reference!$A$29:$A$200,0)),"")</f>
        <v/>
      </c>
      <c r="D23" s="13"/>
      <c r="E23" s="10" t="str">
        <f t="shared" si="0"/>
        <v/>
      </c>
      <c r="F23" s="8"/>
    </row>
    <row r="24" spans="1:6" ht="15" customHeight="1" x14ac:dyDescent="0.2">
      <c r="A24" s="9"/>
      <c r="B24" s="8"/>
      <c r="C24" s="10" t="str">
        <f>IFERROR(INDEX(Reference!$B$29:$B$200,MATCH(B24,Reference!$A$29:$A$200,0)),"")</f>
        <v/>
      </c>
      <c r="D24" s="13"/>
      <c r="E24" s="10" t="str">
        <f t="shared" si="0"/>
        <v/>
      </c>
      <c r="F24" s="8"/>
    </row>
    <row r="25" spans="1:6" ht="15" customHeight="1" x14ac:dyDescent="0.2">
      <c r="A25" s="9"/>
      <c r="B25" s="8"/>
      <c r="C25" s="10" t="str">
        <f>IFERROR(INDEX(Reference!$B$29:$B$200,MATCH(B25,Reference!$A$29:$A$200,0)),"")</f>
        <v/>
      </c>
      <c r="D25" s="13"/>
      <c r="E25" s="10" t="str">
        <f t="shared" si="0"/>
        <v/>
      </c>
      <c r="F25" s="8"/>
    </row>
    <row r="26" spans="1:6" ht="15" customHeight="1" x14ac:dyDescent="0.2">
      <c r="A26" s="9"/>
      <c r="B26" s="8"/>
      <c r="C26" s="10" t="str">
        <f>IFERROR(INDEX(Reference!$B$29:$B$200,MATCH(B26,Reference!$A$29:$A$200,0)),"")</f>
        <v/>
      </c>
      <c r="D26" s="13"/>
      <c r="E26" s="10" t="str">
        <f t="shared" si="0"/>
        <v/>
      </c>
      <c r="F26" s="8"/>
    </row>
    <row r="27" spans="1:6" ht="15" customHeight="1" x14ac:dyDescent="0.2">
      <c r="A27" s="9"/>
      <c r="B27" s="8"/>
      <c r="C27" s="10" t="str">
        <f>IFERROR(INDEX(Reference!$B$29:$B$200,MATCH(B27,Reference!$A$29:$A$200,0)),"")</f>
        <v/>
      </c>
      <c r="D27" s="13"/>
      <c r="E27" s="10" t="str">
        <f t="shared" si="0"/>
        <v/>
      </c>
      <c r="F27" s="8"/>
    </row>
    <row r="28" spans="1:6" ht="15" customHeight="1" x14ac:dyDescent="0.2">
      <c r="A28" s="9"/>
      <c r="B28" s="8"/>
      <c r="C28" s="10" t="str">
        <f>IFERROR(INDEX(Reference!$B$29:$B$200,MATCH(B28,Reference!$A$29:$A$200,0)),"")</f>
        <v/>
      </c>
      <c r="D28" s="13"/>
      <c r="E28" s="10" t="str">
        <f t="shared" si="0"/>
        <v/>
      </c>
      <c r="F28" s="8"/>
    </row>
    <row r="29" spans="1:6" ht="15" customHeight="1" x14ac:dyDescent="0.2">
      <c r="A29" s="9"/>
      <c r="B29" s="8"/>
      <c r="C29" s="10" t="str">
        <f>IFERROR(INDEX(Reference!$B$29:$B$200,MATCH(B29,Reference!$A$29:$A$200,0)),"")</f>
        <v/>
      </c>
      <c r="D29" s="13"/>
      <c r="E29" s="10" t="str">
        <f t="shared" si="0"/>
        <v/>
      </c>
      <c r="F29" s="8"/>
    </row>
    <row r="30" spans="1:6" ht="15" customHeight="1" x14ac:dyDescent="0.2">
      <c r="A30" s="9"/>
      <c r="B30" s="8"/>
      <c r="C30" s="10" t="str">
        <f>IFERROR(INDEX(Reference!$B$29:$B$200,MATCH(B30,Reference!$A$29:$A$200,0)),"")</f>
        <v/>
      </c>
      <c r="D30" s="13"/>
      <c r="E30" s="10" t="str">
        <f t="shared" si="0"/>
        <v/>
      </c>
      <c r="F30" s="8"/>
    </row>
    <row r="31" spans="1:6" ht="15" customHeight="1" x14ac:dyDescent="0.2">
      <c r="A31" s="9"/>
      <c r="B31" s="8"/>
      <c r="C31" s="10" t="str">
        <f>IFERROR(INDEX(Reference!$B$29:$B$200,MATCH(B31,Reference!$A$29:$A$200,0)),"")</f>
        <v/>
      </c>
      <c r="D31" s="13"/>
      <c r="E31" s="10" t="str">
        <f t="shared" si="0"/>
        <v/>
      </c>
      <c r="F31" s="8"/>
    </row>
    <row r="32" spans="1:6" ht="15" customHeight="1" x14ac:dyDescent="0.2">
      <c r="A32" s="9"/>
      <c r="B32" s="8"/>
      <c r="C32" s="10" t="str">
        <f>IFERROR(INDEX(Reference!$B$29:$B$200,MATCH(B32,Reference!$A$29:$A$200,0)),"")</f>
        <v/>
      </c>
      <c r="D32" s="13"/>
      <c r="E32" s="10" t="str">
        <f t="shared" si="0"/>
        <v/>
      </c>
      <c r="F32" s="8"/>
    </row>
    <row r="33" spans="1:6" ht="15" customHeight="1" x14ac:dyDescent="0.2">
      <c r="A33" s="9"/>
      <c r="B33" s="8"/>
      <c r="C33" s="10" t="str">
        <f>IFERROR(INDEX(Reference!$B$29:$B$200,MATCH(B33,Reference!$A$29:$A$200,0)),"")</f>
        <v/>
      </c>
      <c r="D33" s="13"/>
      <c r="E33" s="10" t="str">
        <f t="shared" si="0"/>
        <v/>
      </c>
      <c r="F33" s="8"/>
    </row>
    <row r="34" spans="1:6" ht="15" customHeight="1" x14ac:dyDescent="0.2">
      <c r="A34" s="9"/>
      <c r="B34" s="8"/>
      <c r="C34" s="10" t="str">
        <f>IFERROR(INDEX(Reference!$B$29:$B$200,MATCH(B34,Reference!$A$29:$A$200,0)),"")</f>
        <v/>
      </c>
      <c r="D34" s="13"/>
      <c r="E34" s="10" t="str">
        <f t="shared" si="0"/>
        <v/>
      </c>
      <c r="F34" s="8"/>
    </row>
    <row r="35" spans="1:6" ht="15" customHeight="1" x14ac:dyDescent="0.2">
      <c r="A35" s="9"/>
      <c r="B35" s="8"/>
      <c r="C35" s="10" t="str">
        <f>IFERROR(INDEX(Reference!$B$29:$B$200,MATCH(B35,Reference!$A$29:$A$200,0)),"")</f>
        <v/>
      </c>
      <c r="D35" s="13"/>
      <c r="E35" s="10" t="str">
        <f t="shared" si="0"/>
        <v/>
      </c>
      <c r="F35" s="8"/>
    </row>
    <row r="36" spans="1:6" ht="15" customHeight="1" x14ac:dyDescent="0.2">
      <c r="A36" s="9"/>
      <c r="B36" s="8"/>
      <c r="C36" s="10" t="str">
        <f>IFERROR(INDEX(Reference!$B$29:$B$200,MATCH(B36,Reference!$A$29:$A$200,0)),"")</f>
        <v/>
      </c>
      <c r="D36" s="13"/>
      <c r="E36" s="10" t="str">
        <f t="shared" si="0"/>
        <v/>
      </c>
      <c r="F36" s="8"/>
    </row>
    <row r="37" spans="1:6" ht="15" customHeight="1" x14ac:dyDescent="0.2">
      <c r="A37" s="9"/>
      <c r="B37" s="8"/>
      <c r="C37" s="10" t="str">
        <f>IFERROR(INDEX(Reference!$B$29:$B$200,MATCH(B37,Reference!$A$29:$A$200,0)),"")</f>
        <v/>
      </c>
      <c r="D37" s="13"/>
      <c r="E37" s="10" t="str">
        <f t="shared" si="0"/>
        <v/>
      </c>
      <c r="F37" s="8"/>
    </row>
    <row r="38" spans="1:6" ht="15" customHeight="1" x14ac:dyDescent="0.2">
      <c r="A38" s="9"/>
      <c r="B38" s="8"/>
      <c r="C38" s="10" t="str">
        <f>IFERROR(INDEX(Reference!$B$29:$B$200,MATCH(B38,Reference!$A$29:$A$200,0)),"")</f>
        <v/>
      </c>
      <c r="D38" s="13"/>
      <c r="E38" s="10" t="str">
        <f t="shared" si="0"/>
        <v/>
      </c>
      <c r="F38" s="8"/>
    </row>
    <row r="39" spans="1:6" ht="15" customHeight="1" x14ac:dyDescent="0.2">
      <c r="A39" s="9"/>
      <c r="B39" s="8"/>
      <c r="C39" s="10" t="str">
        <f>IFERROR(INDEX(Reference!$B$29:$B$200,MATCH(B39,Reference!$A$29:$A$200,0)),"")</f>
        <v/>
      </c>
      <c r="D39" s="13"/>
      <c r="E39" s="10" t="str">
        <f t="shared" si="0"/>
        <v/>
      </c>
      <c r="F39" s="8"/>
    </row>
    <row r="40" spans="1:6" ht="15" customHeight="1" x14ac:dyDescent="0.2">
      <c r="A40" s="9"/>
      <c r="B40" s="8"/>
      <c r="C40" s="10" t="str">
        <f>IFERROR(INDEX(Reference!$B$29:$B$200,MATCH(B40,Reference!$A$29:$A$200,0)),"")</f>
        <v/>
      </c>
      <c r="D40" s="13"/>
      <c r="E40" s="10" t="str">
        <f t="shared" si="0"/>
        <v/>
      </c>
      <c r="F40" s="8"/>
    </row>
    <row r="41" spans="1:6" ht="15" customHeight="1" x14ac:dyDescent="0.2">
      <c r="A41" s="9"/>
      <c r="B41" s="8"/>
      <c r="C41" s="10" t="str">
        <f>IFERROR(INDEX(Reference!$B$29:$B$200,MATCH(B41,Reference!$A$29:$A$200,0)),"")</f>
        <v/>
      </c>
      <c r="D41" s="13"/>
      <c r="E41" s="10" t="str">
        <f t="shared" si="0"/>
        <v/>
      </c>
      <c r="F41" s="8"/>
    </row>
    <row r="42" spans="1:6" ht="15" customHeight="1" x14ac:dyDescent="0.2">
      <c r="A42" s="9"/>
      <c r="B42" s="8"/>
      <c r="C42" s="10" t="str">
        <f>IFERROR(INDEX(Reference!$B$29:$B$200,MATCH(B42,Reference!$A$29:$A$200,0)),"")</f>
        <v/>
      </c>
      <c r="D42" s="13"/>
      <c r="E42" s="10" t="str">
        <f t="shared" si="0"/>
        <v/>
      </c>
      <c r="F42" s="8"/>
    </row>
    <row r="43" spans="1:6" ht="15" customHeight="1" x14ac:dyDescent="0.2">
      <c r="A43" s="9"/>
      <c r="B43" s="8"/>
      <c r="C43" s="10" t="str">
        <f>IFERROR(INDEX(Reference!$B$29:$B$200,MATCH(B43,Reference!$A$29:$A$200,0)),"")</f>
        <v/>
      </c>
      <c r="D43" s="13"/>
      <c r="E43" s="10" t="str">
        <f t="shared" si="0"/>
        <v/>
      </c>
      <c r="F43" s="8"/>
    </row>
    <row r="44" spans="1:6" ht="15" customHeight="1" x14ac:dyDescent="0.2">
      <c r="A44" s="9"/>
      <c r="B44" s="8"/>
      <c r="C44" s="10" t="str">
        <f>IFERROR(INDEX(Reference!$B$29:$B$200,MATCH(B44,Reference!$A$29:$A$200,0)),"")</f>
        <v/>
      </c>
      <c r="D44" s="13"/>
      <c r="E44" s="10" t="str">
        <f t="shared" si="0"/>
        <v/>
      </c>
      <c r="F44" s="8"/>
    </row>
    <row r="45" spans="1:6" ht="15" customHeight="1" x14ac:dyDescent="0.2">
      <c r="A45" s="9"/>
      <c r="B45" s="8"/>
      <c r="C45" s="10" t="str">
        <f>IFERROR(INDEX(Reference!$B$29:$B$200,MATCH(B45,Reference!$A$29:$A$200,0)),"")</f>
        <v/>
      </c>
      <c r="D45" s="13"/>
      <c r="E45" s="10" t="str">
        <f t="shared" si="0"/>
        <v/>
      </c>
      <c r="F45" s="8"/>
    </row>
    <row r="46" spans="1:6" ht="15" customHeight="1" x14ac:dyDescent="0.2">
      <c r="A46" s="9"/>
      <c r="B46" s="8"/>
      <c r="C46" s="10" t="str">
        <f>IFERROR(INDEX(Reference!$B$29:$B$200,MATCH(B46,Reference!$A$29:$A$200,0)),"")</f>
        <v/>
      </c>
      <c r="D46" s="13"/>
      <c r="E46" s="10" t="str">
        <f t="shared" si="0"/>
        <v/>
      </c>
      <c r="F46" s="8"/>
    </row>
    <row r="47" spans="1:6" ht="15" customHeight="1" x14ac:dyDescent="0.2">
      <c r="A47" s="9"/>
      <c r="B47" s="8"/>
      <c r="C47" s="10" t="str">
        <f>IFERROR(INDEX(Reference!$B$29:$B$200,MATCH(B47,Reference!$A$29:$A$200,0)),"")</f>
        <v/>
      </c>
      <c r="D47" s="13"/>
      <c r="E47" s="10" t="str">
        <f t="shared" si="0"/>
        <v/>
      </c>
      <c r="F47" s="8"/>
    </row>
    <row r="48" spans="1:6" ht="15" customHeight="1" x14ac:dyDescent="0.2">
      <c r="A48" s="9"/>
      <c r="B48" s="8"/>
      <c r="C48" s="10" t="str">
        <f>IFERROR(INDEX(Reference!$B$29:$B$200,MATCH(B48,Reference!$A$29:$A$200,0)),"")</f>
        <v/>
      </c>
      <c r="D48" s="13"/>
      <c r="E48" s="10" t="str">
        <f t="shared" si="0"/>
        <v/>
      </c>
      <c r="F48" s="8"/>
    </row>
    <row r="49" spans="1:6" ht="15" customHeight="1" x14ac:dyDescent="0.2">
      <c r="A49" s="9"/>
      <c r="B49" s="8"/>
      <c r="C49" s="10" t="str">
        <f>IFERROR(INDEX(Reference!$B$29:$B$200,MATCH(B49,Reference!$A$29:$A$200,0)),"")</f>
        <v/>
      </c>
      <c r="D49" s="13"/>
      <c r="E49" s="10" t="str">
        <f t="shared" si="0"/>
        <v/>
      </c>
      <c r="F49" s="8"/>
    </row>
    <row r="50" spans="1:6" ht="15" customHeight="1" x14ac:dyDescent="0.2">
      <c r="A50" s="9"/>
      <c r="B50" s="8"/>
      <c r="C50" s="10" t="str">
        <f>IFERROR(INDEX(Reference!$B$29:$B$200,MATCH(B50,Reference!$A$29:$A$200,0)),"")</f>
        <v/>
      </c>
      <c r="D50" s="13"/>
      <c r="E50" s="10" t="str">
        <f t="shared" si="0"/>
        <v/>
      </c>
      <c r="F50" s="8"/>
    </row>
    <row r="51" spans="1:6" ht="15" customHeight="1" x14ac:dyDescent="0.2">
      <c r="A51" s="9"/>
      <c r="B51" s="8"/>
      <c r="C51" s="10" t="str">
        <f>IFERROR(INDEX(Reference!$B$29:$B$200,MATCH(B51,Reference!$A$29:$A$200,0)),"")</f>
        <v/>
      </c>
      <c r="D51" s="13"/>
      <c r="E51" s="10" t="str">
        <f t="shared" si="0"/>
        <v/>
      </c>
      <c r="F51" s="8"/>
    </row>
    <row r="52" spans="1:6" ht="15" customHeight="1" x14ac:dyDescent="0.2">
      <c r="A52" s="9"/>
      <c r="B52" s="8"/>
      <c r="C52" s="10" t="str">
        <f>IFERROR(INDEX(Reference!$B$29:$B$200,MATCH(B52,Reference!$A$29:$A$200,0)),"")</f>
        <v/>
      </c>
      <c r="D52" s="13"/>
      <c r="E52" s="10" t="str">
        <f t="shared" si="0"/>
        <v/>
      </c>
      <c r="F52" s="8"/>
    </row>
    <row r="53" spans="1:6" ht="15" customHeight="1" x14ac:dyDescent="0.2">
      <c r="A53" s="9"/>
      <c r="B53" s="8"/>
      <c r="C53" s="10" t="str">
        <f>IFERROR(INDEX(Reference!$B$29:$B$200,MATCH(B53,Reference!$A$29:$A$200,0)),"")</f>
        <v/>
      </c>
      <c r="D53" s="13"/>
      <c r="E53" s="10" t="str">
        <f t="shared" si="0"/>
        <v/>
      </c>
      <c r="F53" s="8"/>
    </row>
    <row r="54" spans="1:6" ht="15" customHeight="1" x14ac:dyDescent="0.2">
      <c r="A54" s="9"/>
      <c r="B54" s="8"/>
      <c r="C54" s="10" t="str">
        <f>IFERROR(INDEX(Reference!$B$29:$B$200,MATCH(B54,Reference!$A$29:$A$200,0)),"")</f>
        <v/>
      </c>
      <c r="D54" s="13"/>
      <c r="E54" s="10" t="str">
        <f t="shared" si="0"/>
        <v/>
      </c>
      <c r="F54" s="8"/>
    </row>
    <row r="55" spans="1:6" ht="15" customHeight="1" x14ac:dyDescent="0.2">
      <c r="A55" s="9"/>
      <c r="B55" s="8"/>
      <c r="C55" s="10" t="str">
        <f>IFERROR(INDEX(Reference!$B$29:$B$200,MATCH(B55,Reference!$A$29:$A$200,0)),"")</f>
        <v/>
      </c>
      <c r="D55" s="13"/>
      <c r="E55" s="10" t="str">
        <f t="shared" si="0"/>
        <v/>
      </c>
      <c r="F55" s="8"/>
    </row>
    <row r="56" spans="1:6" ht="15" customHeight="1" x14ac:dyDescent="0.2">
      <c r="A56" s="9"/>
      <c r="B56" s="8"/>
      <c r="C56" s="10" t="str">
        <f>IFERROR(INDEX(Reference!$B$29:$B$200,MATCH(B56,Reference!$A$29:$A$200,0)),"")</f>
        <v/>
      </c>
      <c r="D56" s="13"/>
      <c r="E56" s="10" t="str">
        <f t="shared" si="0"/>
        <v/>
      </c>
      <c r="F56" s="8"/>
    </row>
    <row r="57" spans="1:6" ht="15" customHeight="1" x14ac:dyDescent="0.2">
      <c r="A57" s="9"/>
      <c r="B57" s="8"/>
      <c r="C57" s="10" t="str">
        <f>IFERROR(INDEX(Reference!$B$29:$B$200,MATCH(B57,Reference!$A$29:$A$200,0)),"")</f>
        <v/>
      </c>
      <c r="D57" s="13"/>
      <c r="E57" s="10" t="str">
        <f t="shared" si="0"/>
        <v/>
      </c>
      <c r="F57" s="8"/>
    </row>
    <row r="58" spans="1:6" ht="15" customHeight="1" x14ac:dyDescent="0.2">
      <c r="A58" s="9"/>
      <c r="B58" s="8"/>
      <c r="C58" s="10" t="str">
        <f>IFERROR(INDEX(Reference!$B$29:$B$200,MATCH(B58,Reference!$A$29:$A$200,0)),"")</f>
        <v/>
      </c>
      <c r="D58" s="13"/>
      <c r="E58" s="10" t="str">
        <f t="shared" si="0"/>
        <v/>
      </c>
      <c r="F58" s="8"/>
    </row>
    <row r="59" spans="1:6" ht="15" customHeight="1" x14ac:dyDescent="0.2">
      <c r="A59" s="9"/>
      <c r="B59" s="8"/>
      <c r="C59" s="10" t="str">
        <f>IFERROR(INDEX(Reference!$B$29:$B$200,MATCH(B59,Reference!$A$29:$A$200,0)),"")</f>
        <v/>
      </c>
      <c r="D59" s="13"/>
      <c r="E59" s="10" t="str">
        <f t="shared" si="0"/>
        <v/>
      </c>
      <c r="F59" s="8"/>
    </row>
    <row r="60" spans="1:6" ht="15" customHeight="1" x14ac:dyDescent="0.2">
      <c r="A60" s="9"/>
      <c r="B60" s="8"/>
      <c r="C60" s="10" t="str">
        <f>IFERROR(INDEX(Reference!$B$29:$B$200,MATCH(B60,Reference!$A$29:$A$200,0)),"")</f>
        <v/>
      </c>
      <c r="D60" s="13"/>
      <c r="E60" s="10" t="str">
        <f t="shared" si="0"/>
        <v/>
      </c>
      <c r="F60" s="8"/>
    </row>
    <row r="61" spans="1:6" ht="15" customHeight="1" x14ac:dyDescent="0.2">
      <c r="A61" s="9"/>
      <c r="B61" s="8"/>
      <c r="C61" s="10" t="str">
        <f>IFERROR(INDEX(Reference!$B$29:$B$200,MATCH(B61,Reference!$A$29:$A$200,0)),"")</f>
        <v/>
      </c>
      <c r="D61" s="13"/>
      <c r="E61" s="10" t="str">
        <f t="shared" si="0"/>
        <v/>
      </c>
      <c r="F61" s="8"/>
    </row>
    <row r="62" spans="1:6" ht="15" customHeight="1" x14ac:dyDescent="0.2">
      <c r="A62" s="9"/>
      <c r="B62" s="8"/>
      <c r="C62" s="10" t="str">
        <f>IFERROR(INDEX(Reference!$B$29:$B$200,MATCH(B62,Reference!$A$29:$A$200,0)),"")</f>
        <v/>
      </c>
      <c r="D62" s="13"/>
      <c r="E62" s="10" t="str">
        <f t="shared" si="0"/>
        <v/>
      </c>
      <c r="F62" s="8"/>
    </row>
    <row r="63" spans="1:6" ht="15" customHeight="1" x14ac:dyDescent="0.2">
      <c r="A63" s="9"/>
      <c r="B63" s="8"/>
      <c r="C63" s="10" t="str">
        <f>IFERROR(INDEX(Reference!$B$29:$B$200,MATCH(B63,Reference!$A$29:$A$200,0)),"")</f>
        <v/>
      </c>
      <c r="D63" s="13"/>
      <c r="E63" s="10" t="str">
        <f t="shared" si="0"/>
        <v/>
      </c>
      <c r="F63" s="8"/>
    </row>
    <row r="64" spans="1:6" ht="15" customHeight="1" x14ac:dyDescent="0.2">
      <c r="A64" s="9"/>
      <c r="B64" s="8"/>
      <c r="C64" s="10" t="str">
        <f>IFERROR(INDEX(Reference!$B$29:$B$200,MATCH(B64,Reference!$A$29:$A$200,0)),"")</f>
        <v/>
      </c>
      <c r="D64" s="13"/>
      <c r="E64" s="10" t="str">
        <f t="shared" si="0"/>
        <v/>
      </c>
      <c r="F64" s="8"/>
    </row>
    <row r="65" spans="1:6" ht="15" customHeight="1" x14ac:dyDescent="0.2">
      <c r="A65" s="9"/>
      <c r="B65" s="8"/>
      <c r="C65" s="10" t="str">
        <f>IFERROR(INDEX(Reference!$B$29:$B$200,MATCH(B65,Reference!$A$29:$A$200,0)),"")</f>
        <v/>
      </c>
      <c r="D65" s="13"/>
      <c r="E65" s="10" t="str">
        <f t="shared" si="0"/>
        <v/>
      </c>
      <c r="F65" s="8"/>
    </row>
    <row r="66" spans="1:6" ht="15" customHeight="1" x14ac:dyDescent="0.2">
      <c r="A66" s="9"/>
      <c r="B66" s="8"/>
      <c r="C66" s="10" t="str">
        <f>IFERROR(INDEX(Reference!$B$29:$B$200,MATCH(B66,Reference!$A$29:$A$200,0)),"")</f>
        <v/>
      </c>
      <c r="D66" s="13"/>
      <c r="E66" s="10" t="str">
        <f t="shared" ref="E66:E129" si="1">IF(A66="","",IF(MONTH(A66)&gt;=8,YEAR(A66)&amp;"-"&amp;RIGHT(YEAR(A66)+1,2),YEAR(A66)-1&amp;"-"&amp;RIGHT(YEAR(A66),2)))</f>
        <v/>
      </c>
      <c r="F66" s="8"/>
    </row>
    <row r="67" spans="1:6" ht="15" customHeight="1" x14ac:dyDescent="0.2">
      <c r="A67" s="9"/>
      <c r="B67" s="8"/>
      <c r="C67" s="10" t="str">
        <f>IFERROR(INDEX(Reference!$B$29:$B$200,MATCH(B67,Reference!$A$29:$A$200,0)),"")</f>
        <v/>
      </c>
      <c r="D67" s="13"/>
      <c r="E67" s="10" t="str">
        <f t="shared" si="1"/>
        <v/>
      </c>
      <c r="F67" s="8"/>
    </row>
    <row r="68" spans="1:6" ht="15" customHeight="1" x14ac:dyDescent="0.2">
      <c r="A68" s="9"/>
      <c r="B68" s="8"/>
      <c r="C68" s="10" t="str">
        <f>IFERROR(INDEX(Reference!$B$29:$B$200,MATCH(B68,Reference!$A$29:$A$200,0)),"")</f>
        <v/>
      </c>
      <c r="D68" s="13"/>
      <c r="E68" s="10" t="str">
        <f t="shared" si="1"/>
        <v/>
      </c>
      <c r="F68" s="8"/>
    </row>
    <row r="69" spans="1:6" ht="15" customHeight="1" x14ac:dyDescent="0.2">
      <c r="A69" s="9"/>
      <c r="B69" s="8"/>
      <c r="C69" s="10" t="str">
        <f>IFERROR(INDEX(Reference!$B$29:$B$200,MATCH(B69,Reference!$A$29:$A$200,0)),"")</f>
        <v/>
      </c>
      <c r="D69" s="13"/>
      <c r="E69" s="10" t="str">
        <f t="shared" si="1"/>
        <v/>
      </c>
      <c r="F69" s="8"/>
    </row>
    <row r="70" spans="1:6" ht="15" customHeight="1" x14ac:dyDescent="0.2">
      <c r="A70" s="9"/>
      <c r="B70" s="8"/>
      <c r="C70" s="10" t="str">
        <f>IFERROR(INDEX(Reference!$B$29:$B$200,MATCH(B70,Reference!$A$29:$A$200,0)),"")</f>
        <v/>
      </c>
      <c r="D70" s="13"/>
      <c r="E70" s="10" t="str">
        <f t="shared" si="1"/>
        <v/>
      </c>
      <c r="F70" s="8"/>
    </row>
    <row r="71" spans="1:6" ht="15" customHeight="1" x14ac:dyDescent="0.2">
      <c r="A71" s="9"/>
      <c r="B71" s="8"/>
      <c r="C71" s="10" t="str">
        <f>IFERROR(INDEX(Reference!$B$29:$B$200,MATCH(B71,Reference!$A$29:$A$200,0)),"")</f>
        <v/>
      </c>
      <c r="D71" s="13"/>
      <c r="E71" s="10" t="str">
        <f t="shared" si="1"/>
        <v/>
      </c>
      <c r="F71" s="8"/>
    </row>
    <row r="72" spans="1:6" ht="15" customHeight="1" x14ac:dyDescent="0.2">
      <c r="A72" s="9"/>
      <c r="B72" s="8"/>
      <c r="C72" s="10" t="str">
        <f>IFERROR(INDEX(Reference!$B$29:$B$200,MATCH(B72,Reference!$A$29:$A$200,0)),"")</f>
        <v/>
      </c>
      <c r="D72" s="13"/>
      <c r="E72" s="10" t="str">
        <f t="shared" si="1"/>
        <v/>
      </c>
      <c r="F72" s="8"/>
    </row>
    <row r="73" spans="1:6" ht="15" customHeight="1" x14ac:dyDescent="0.2">
      <c r="A73" s="9"/>
      <c r="B73" s="8"/>
      <c r="C73" s="10" t="str">
        <f>IFERROR(INDEX(Reference!$B$29:$B$200,MATCH(B73,Reference!$A$29:$A$200,0)),"")</f>
        <v/>
      </c>
      <c r="D73" s="13"/>
      <c r="E73" s="10" t="str">
        <f t="shared" si="1"/>
        <v/>
      </c>
      <c r="F73" s="8"/>
    </row>
    <row r="74" spans="1:6" ht="15" customHeight="1" x14ac:dyDescent="0.2">
      <c r="A74" s="9"/>
      <c r="B74" s="8"/>
      <c r="C74" s="10" t="str">
        <f>IFERROR(INDEX(Reference!$B$29:$B$200,MATCH(B74,Reference!$A$29:$A$200,0)),"")</f>
        <v/>
      </c>
      <c r="D74" s="13"/>
      <c r="E74" s="10" t="str">
        <f t="shared" si="1"/>
        <v/>
      </c>
      <c r="F74" s="8"/>
    </row>
    <row r="75" spans="1:6" ht="15" customHeight="1" x14ac:dyDescent="0.2">
      <c r="A75" s="9"/>
      <c r="B75" s="8"/>
      <c r="C75" s="10" t="str">
        <f>IFERROR(INDEX(Reference!$B$29:$B$200,MATCH(B75,Reference!$A$29:$A$200,0)),"")</f>
        <v/>
      </c>
      <c r="D75" s="13"/>
      <c r="E75" s="10" t="str">
        <f t="shared" si="1"/>
        <v/>
      </c>
      <c r="F75" s="8"/>
    </row>
    <row r="76" spans="1:6" ht="15" customHeight="1" x14ac:dyDescent="0.2">
      <c r="A76" s="9"/>
      <c r="B76" s="8"/>
      <c r="C76" s="10" t="str">
        <f>IFERROR(INDEX(Reference!$B$29:$B$200,MATCH(B76,Reference!$A$29:$A$200,0)),"")</f>
        <v/>
      </c>
      <c r="D76" s="13"/>
      <c r="E76" s="10" t="str">
        <f t="shared" si="1"/>
        <v/>
      </c>
      <c r="F76" s="8"/>
    </row>
    <row r="77" spans="1:6" ht="15" customHeight="1" x14ac:dyDescent="0.2">
      <c r="A77" s="9"/>
      <c r="B77" s="8"/>
      <c r="C77" s="10" t="str">
        <f>IFERROR(INDEX(Reference!$B$29:$B$200,MATCH(B77,Reference!$A$29:$A$200,0)),"")</f>
        <v/>
      </c>
      <c r="D77" s="13"/>
      <c r="E77" s="10" t="str">
        <f t="shared" si="1"/>
        <v/>
      </c>
      <c r="F77" s="8"/>
    </row>
    <row r="78" spans="1:6" ht="15" customHeight="1" x14ac:dyDescent="0.2">
      <c r="A78" s="9"/>
      <c r="B78" s="8"/>
      <c r="C78" s="10" t="str">
        <f>IFERROR(INDEX(Reference!$B$29:$B$200,MATCH(B78,Reference!$A$29:$A$200,0)),"")</f>
        <v/>
      </c>
      <c r="D78" s="13"/>
      <c r="E78" s="10" t="str">
        <f t="shared" si="1"/>
        <v/>
      </c>
      <c r="F78" s="8"/>
    </row>
    <row r="79" spans="1:6" ht="15" customHeight="1" x14ac:dyDescent="0.2">
      <c r="A79" s="9"/>
      <c r="B79" s="8"/>
      <c r="C79" s="10" t="str">
        <f>IFERROR(INDEX(Reference!$B$29:$B$200,MATCH(B79,Reference!$A$29:$A$200,0)),"")</f>
        <v/>
      </c>
      <c r="D79" s="13"/>
      <c r="E79" s="10" t="str">
        <f t="shared" si="1"/>
        <v/>
      </c>
      <c r="F79" s="8"/>
    </row>
    <row r="80" spans="1:6" ht="15" customHeight="1" x14ac:dyDescent="0.2">
      <c r="A80" s="9"/>
      <c r="B80" s="8"/>
      <c r="C80" s="10" t="str">
        <f>IFERROR(INDEX(Reference!$B$29:$B$200,MATCH(B80,Reference!$A$29:$A$200,0)),"")</f>
        <v/>
      </c>
      <c r="D80" s="13"/>
      <c r="E80" s="10" t="str">
        <f t="shared" si="1"/>
        <v/>
      </c>
      <c r="F80" s="8"/>
    </row>
    <row r="81" spans="1:6" ht="15" customHeight="1" x14ac:dyDescent="0.2">
      <c r="A81" s="9"/>
      <c r="B81" s="8"/>
      <c r="C81" s="10" t="str">
        <f>IFERROR(INDEX(Reference!$B$29:$B$200,MATCH(B81,Reference!$A$29:$A$200,0)),"")</f>
        <v/>
      </c>
      <c r="D81" s="13"/>
      <c r="E81" s="10" t="str">
        <f t="shared" si="1"/>
        <v/>
      </c>
      <c r="F81" s="8"/>
    </row>
    <row r="82" spans="1:6" ht="15" customHeight="1" x14ac:dyDescent="0.2">
      <c r="A82" s="9"/>
      <c r="B82" s="8"/>
      <c r="C82" s="10" t="str">
        <f>IFERROR(INDEX(Reference!$B$29:$B$200,MATCH(B82,Reference!$A$29:$A$200,0)),"")</f>
        <v/>
      </c>
      <c r="D82" s="13"/>
      <c r="E82" s="10" t="str">
        <f t="shared" si="1"/>
        <v/>
      </c>
      <c r="F82" s="8"/>
    </row>
    <row r="83" spans="1:6" ht="15" customHeight="1" x14ac:dyDescent="0.2">
      <c r="A83" s="9"/>
      <c r="B83" s="8"/>
      <c r="C83" s="10" t="str">
        <f>IFERROR(INDEX(Reference!$B$29:$B$200,MATCH(B83,Reference!$A$29:$A$200,0)),"")</f>
        <v/>
      </c>
      <c r="D83" s="13"/>
      <c r="E83" s="10" t="str">
        <f t="shared" si="1"/>
        <v/>
      </c>
      <c r="F83" s="8"/>
    </row>
    <row r="84" spans="1:6" ht="15" customHeight="1" x14ac:dyDescent="0.2">
      <c r="A84" s="9"/>
      <c r="B84" s="8"/>
      <c r="C84" s="10" t="str">
        <f>IFERROR(INDEX(Reference!$B$29:$B$200,MATCH(B84,Reference!$A$29:$A$200,0)),"")</f>
        <v/>
      </c>
      <c r="D84" s="13"/>
      <c r="E84" s="10" t="str">
        <f t="shared" si="1"/>
        <v/>
      </c>
      <c r="F84" s="8"/>
    </row>
    <row r="85" spans="1:6" ht="15" customHeight="1" x14ac:dyDescent="0.2">
      <c r="A85" s="9"/>
      <c r="B85" s="8"/>
      <c r="C85" s="10" t="str">
        <f>IFERROR(INDEX(Reference!$B$29:$B$200,MATCH(B85,Reference!$A$29:$A$200,0)),"")</f>
        <v/>
      </c>
      <c r="D85" s="13"/>
      <c r="E85" s="10" t="str">
        <f t="shared" si="1"/>
        <v/>
      </c>
      <c r="F85" s="8"/>
    </row>
    <row r="86" spans="1:6" ht="15" customHeight="1" x14ac:dyDescent="0.2">
      <c r="A86" s="9"/>
      <c r="B86" s="8"/>
      <c r="C86" s="10" t="str">
        <f>IFERROR(INDEX(Reference!$B$29:$B$200,MATCH(B86,Reference!$A$29:$A$200,0)),"")</f>
        <v/>
      </c>
      <c r="D86" s="13"/>
      <c r="E86" s="10" t="str">
        <f t="shared" si="1"/>
        <v/>
      </c>
      <c r="F86" s="8"/>
    </row>
    <row r="87" spans="1:6" ht="15" customHeight="1" x14ac:dyDescent="0.2">
      <c r="A87" s="9"/>
      <c r="B87" s="8"/>
      <c r="C87" s="10" t="str">
        <f>IFERROR(INDEX(Reference!$B$29:$B$200,MATCH(B87,Reference!$A$29:$A$200,0)),"")</f>
        <v/>
      </c>
      <c r="D87" s="13"/>
      <c r="E87" s="10" t="str">
        <f t="shared" si="1"/>
        <v/>
      </c>
      <c r="F87" s="8"/>
    </row>
    <row r="88" spans="1:6" ht="15" customHeight="1" x14ac:dyDescent="0.2">
      <c r="A88" s="9"/>
      <c r="B88" s="8"/>
      <c r="C88" s="10" t="str">
        <f>IFERROR(INDEX(Reference!$B$29:$B$200,MATCH(B88,Reference!$A$29:$A$200,0)),"")</f>
        <v/>
      </c>
      <c r="D88" s="13"/>
      <c r="E88" s="10" t="str">
        <f t="shared" si="1"/>
        <v/>
      </c>
      <c r="F88" s="8"/>
    </row>
    <row r="89" spans="1:6" ht="15" customHeight="1" x14ac:dyDescent="0.2">
      <c r="A89" s="9"/>
      <c r="B89" s="8"/>
      <c r="C89" s="10" t="str">
        <f>IFERROR(INDEX(Reference!$B$29:$B$200,MATCH(B89,Reference!$A$29:$A$200,0)),"")</f>
        <v/>
      </c>
      <c r="D89" s="13"/>
      <c r="E89" s="10" t="str">
        <f t="shared" si="1"/>
        <v/>
      </c>
      <c r="F89" s="8"/>
    </row>
    <row r="90" spans="1:6" ht="15" customHeight="1" x14ac:dyDescent="0.2">
      <c r="A90" s="9"/>
      <c r="B90" s="8"/>
      <c r="C90" s="10" t="str">
        <f>IFERROR(INDEX(Reference!$B$29:$B$200,MATCH(B90,Reference!$A$29:$A$200,0)),"")</f>
        <v/>
      </c>
      <c r="D90" s="13"/>
      <c r="E90" s="10" t="str">
        <f t="shared" si="1"/>
        <v/>
      </c>
      <c r="F90" s="8"/>
    </row>
    <row r="91" spans="1:6" ht="15" customHeight="1" x14ac:dyDescent="0.2">
      <c r="A91" s="9"/>
      <c r="B91" s="8"/>
      <c r="C91" s="10" t="str">
        <f>IFERROR(INDEX(Reference!$B$29:$B$200,MATCH(B91,Reference!$A$29:$A$200,0)),"")</f>
        <v/>
      </c>
      <c r="D91" s="13"/>
      <c r="E91" s="10" t="str">
        <f t="shared" si="1"/>
        <v/>
      </c>
      <c r="F91" s="8"/>
    </row>
    <row r="92" spans="1:6" ht="15" customHeight="1" x14ac:dyDescent="0.2">
      <c r="A92" s="9"/>
      <c r="B92" s="8"/>
      <c r="C92" s="10" t="str">
        <f>IFERROR(INDEX(Reference!$B$29:$B$200,MATCH(B92,Reference!$A$29:$A$200,0)),"")</f>
        <v/>
      </c>
      <c r="D92" s="13"/>
      <c r="E92" s="10" t="str">
        <f t="shared" si="1"/>
        <v/>
      </c>
      <c r="F92" s="8"/>
    </row>
    <row r="93" spans="1:6" ht="15" customHeight="1" x14ac:dyDescent="0.2">
      <c r="A93" s="9"/>
      <c r="B93" s="8"/>
      <c r="C93" s="10" t="str">
        <f>IFERROR(INDEX(Reference!$B$29:$B$200,MATCH(B93,Reference!$A$29:$A$200,0)),"")</f>
        <v/>
      </c>
      <c r="D93" s="13"/>
      <c r="E93" s="10" t="str">
        <f t="shared" si="1"/>
        <v/>
      </c>
      <c r="F93" s="8"/>
    </row>
    <row r="94" spans="1:6" ht="15" customHeight="1" x14ac:dyDescent="0.2">
      <c r="A94" s="9"/>
      <c r="B94" s="8"/>
      <c r="C94" s="10" t="str">
        <f>IFERROR(INDEX(Reference!$B$29:$B$200,MATCH(B94,Reference!$A$29:$A$200,0)),"")</f>
        <v/>
      </c>
      <c r="D94" s="13"/>
      <c r="E94" s="10" t="str">
        <f t="shared" si="1"/>
        <v/>
      </c>
      <c r="F94" s="8"/>
    </row>
    <row r="95" spans="1:6" ht="15" customHeight="1" x14ac:dyDescent="0.2">
      <c r="A95" s="9"/>
      <c r="B95" s="8"/>
      <c r="C95" s="10" t="str">
        <f>IFERROR(INDEX(Reference!$B$29:$B$200,MATCH(B95,Reference!$A$29:$A$200,0)),"")</f>
        <v/>
      </c>
      <c r="D95" s="13"/>
      <c r="E95" s="10" t="str">
        <f t="shared" si="1"/>
        <v/>
      </c>
      <c r="F95" s="8"/>
    </row>
    <row r="96" spans="1:6" ht="15" customHeight="1" x14ac:dyDescent="0.2">
      <c r="A96" s="9"/>
      <c r="B96" s="8"/>
      <c r="C96" s="10" t="str">
        <f>IFERROR(INDEX(Reference!$B$29:$B$200,MATCH(B96,Reference!$A$29:$A$200,0)),"")</f>
        <v/>
      </c>
      <c r="D96" s="13"/>
      <c r="E96" s="10" t="str">
        <f t="shared" si="1"/>
        <v/>
      </c>
      <c r="F96" s="8"/>
    </row>
    <row r="97" spans="1:6" ht="15" customHeight="1" x14ac:dyDescent="0.2">
      <c r="A97" s="9"/>
      <c r="B97" s="8"/>
      <c r="C97" s="10" t="str">
        <f>IFERROR(INDEX(Reference!$B$29:$B$200,MATCH(B97,Reference!$A$29:$A$200,0)),"")</f>
        <v/>
      </c>
      <c r="D97" s="13"/>
      <c r="E97" s="10" t="str">
        <f t="shared" si="1"/>
        <v/>
      </c>
      <c r="F97" s="8"/>
    </row>
    <row r="98" spans="1:6" ht="15" customHeight="1" x14ac:dyDescent="0.2">
      <c r="A98" s="9"/>
      <c r="B98" s="8"/>
      <c r="C98" s="10" t="str">
        <f>IFERROR(INDEX(Reference!$B$29:$B$200,MATCH(B98,Reference!$A$29:$A$200,0)),"")</f>
        <v/>
      </c>
      <c r="D98" s="13"/>
      <c r="E98" s="10" t="str">
        <f t="shared" si="1"/>
        <v/>
      </c>
      <c r="F98" s="8"/>
    </row>
    <row r="99" spans="1:6" ht="15" customHeight="1" x14ac:dyDescent="0.2">
      <c r="A99" s="9"/>
      <c r="B99" s="8"/>
      <c r="C99" s="10" t="str">
        <f>IFERROR(INDEX(Reference!$B$29:$B$200,MATCH(B99,Reference!$A$29:$A$200,0)),"")</f>
        <v/>
      </c>
      <c r="D99" s="13"/>
      <c r="E99" s="10" t="str">
        <f t="shared" si="1"/>
        <v/>
      </c>
      <c r="F99" s="8"/>
    </row>
    <row r="100" spans="1:6" ht="15" customHeight="1" x14ac:dyDescent="0.2">
      <c r="A100" s="9"/>
      <c r="B100" s="8"/>
      <c r="C100" s="10" t="str">
        <f>IFERROR(INDEX(Reference!$B$29:$B$200,MATCH(B100,Reference!$A$29:$A$200,0)),"")</f>
        <v/>
      </c>
      <c r="D100" s="13"/>
      <c r="E100" s="10" t="str">
        <f t="shared" si="1"/>
        <v/>
      </c>
      <c r="F100" s="8"/>
    </row>
    <row r="101" spans="1:6" ht="15" customHeight="1" x14ac:dyDescent="0.2">
      <c r="A101" s="9"/>
      <c r="B101" s="8"/>
      <c r="C101" s="10" t="str">
        <f>IFERROR(INDEX(Reference!$B$29:$B$200,MATCH(B101,Reference!$A$29:$A$200,0)),"")</f>
        <v/>
      </c>
      <c r="D101" s="13"/>
      <c r="E101" s="10" t="str">
        <f t="shared" si="1"/>
        <v/>
      </c>
      <c r="F101" s="8"/>
    </row>
    <row r="102" spans="1:6" ht="15" customHeight="1" x14ac:dyDescent="0.2">
      <c r="A102" s="9"/>
      <c r="B102" s="8"/>
      <c r="C102" s="10" t="str">
        <f>IFERROR(INDEX(Reference!$B$29:$B$200,MATCH(B102,Reference!$A$29:$A$200,0)),"")</f>
        <v/>
      </c>
      <c r="D102" s="13"/>
      <c r="E102" s="10" t="str">
        <f t="shared" si="1"/>
        <v/>
      </c>
      <c r="F102" s="8"/>
    </row>
    <row r="103" spans="1:6" ht="15" customHeight="1" x14ac:dyDescent="0.2">
      <c r="A103" s="9"/>
      <c r="B103" s="8"/>
      <c r="C103" s="10" t="str">
        <f>IFERROR(INDEX(Reference!$B$29:$B$200,MATCH(B103,Reference!$A$29:$A$200,0)),"")</f>
        <v/>
      </c>
      <c r="D103" s="13"/>
      <c r="E103" s="10" t="str">
        <f t="shared" si="1"/>
        <v/>
      </c>
      <c r="F103" s="8"/>
    </row>
    <row r="104" spans="1:6" ht="15" customHeight="1" x14ac:dyDescent="0.2">
      <c r="A104" s="9"/>
      <c r="B104" s="8"/>
      <c r="C104" s="10" t="str">
        <f>IFERROR(INDEX(Reference!$B$29:$B$200,MATCH(B104,Reference!$A$29:$A$200,0)),"")</f>
        <v/>
      </c>
      <c r="D104" s="13"/>
      <c r="E104" s="10" t="str">
        <f t="shared" si="1"/>
        <v/>
      </c>
      <c r="F104" s="8"/>
    </row>
    <row r="105" spans="1:6" ht="15" customHeight="1" x14ac:dyDescent="0.2">
      <c r="A105" s="9"/>
      <c r="B105" s="8"/>
      <c r="C105" s="10" t="str">
        <f>IFERROR(INDEX(Reference!$B$29:$B$200,MATCH(B105,Reference!$A$29:$A$200,0)),"")</f>
        <v/>
      </c>
      <c r="D105" s="13"/>
      <c r="E105" s="10" t="str">
        <f t="shared" si="1"/>
        <v/>
      </c>
      <c r="F105" s="8"/>
    </row>
    <row r="106" spans="1:6" ht="15" customHeight="1" x14ac:dyDescent="0.2">
      <c r="A106" s="9"/>
      <c r="B106" s="8"/>
      <c r="C106" s="10" t="str">
        <f>IFERROR(INDEX(Reference!$B$29:$B$200,MATCH(B106,Reference!$A$29:$A$200,0)),"")</f>
        <v/>
      </c>
      <c r="D106" s="13"/>
      <c r="E106" s="10" t="str">
        <f t="shared" si="1"/>
        <v/>
      </c>
      <c r="F106" s="8"/>
    </row>
    <row r="107" spans="1:6" ht="15" customHeight="1" x14ac:dyDescent="0.2">
      <c r="A107" s="9"/>
      <c r="B107" s="8"/>
      <c r="C107" s="10" t="str">
        <f>IFERROR(INDEX(Reference!$B$29:$B$200,MATCH(B107,Reference!$A$29:$A$200,0)),"")</f>
        <v/>
      </c>
      <c r="D107" s="13"/>
      <c r="E107" s="10" t="str">
        <f t="shared" si="1"/>
        <v/>
      </c>
      <c r="F107" s="8"/>
    </row>
    <row r="108" spans="1:6" ht="15" customHeight="1" x14ac:dyDescent="0.2">
      <c r="A108" s="9"/>
      <c r="B108" s="8"/>
      <c r="C108" s="10" t="str">
        <f>IFERROR(INDEX(Reference!$B$29:$B$200,MATCH(B108,Reference!$A$29:$A$200,0)),"")</f>
        <v/>
      </c>
      <c r="D108" s="13"/>
      <c r="E108" s="10" t="str">
        <f t="shared" si="1"/>
        <v/>
      </c>
      <c r="F108" s="8"/>
    </row>
    <row r="109" spans="1:6" ht="15" customHeight="1" x14ac:dyDescent="0.2">
      <c r="A109" s="9"/>
      <c r="B109" s="8"/>
      <c r="C109" s="10" t="str">
        <f>IFERROR(INDEX(Reference!$B$29:$B$200,MATCH(B109,Reference!$A$29:$A$200,0)),"")</f>
        <v/>
      </c>
      <c r="D109" s="13"/>
      <c r="E109" s="10" t="str">
        <f t="shared" si="1"/>
        <v/>
      </c>
      <c r="F109" s="8"/>
    </row>
    <row r="110" spans="1:6" ht="15" customHeight="1" x14ac:dyDescent="0.2">
      <c r="A110" s="9"/>
      <c r="B110" s="8"/>
      <c r="C110" s="10" t="str">
        <f>IFERROR(INDEX(Reference!$B$29:$B$200,MATCH(B110,Reference!$A$29:$A$200,0)),"")</f>
        <v/>
      </c>
      <c r="D110" s="13"/>
      <c r="E110" s="10" t="str">
        <f t="shared" si="1"/>
        <v/>
      </c>
      <c r="F110" s="8"/>
    </row>
    <row r="111" spans="1:6" ht="15" customHeight="1" x14ac:dyDescent="0.2">
      <c r="A111" s="9"/>
      <c r="B111" s="8"/>
      <c r="C111" s="10" t="str">
        <f>IFERROR(INDEX(Reference!$B$29:$B$200,MATCH(B111,Reference!$A$29:$A$200,0)),"")</f>
        <v/>
      </c>
      <c r="D111" s="13"/>
      <c r="E111" s="10" t="str">
        <f t="shared" si="1"/>
        <v/>
      </c>
      <c r="F111" s="8"/>
    </row>
    <row r="112" spans="1:6" ht="15" customHeight="1" x14ac:dyDescent="0.2">
      <c r="A112" s="9"/>
      <c r="B112" s="8"/>
      <c r="C112" s="10" t="str">
        <f>IFERROR(INDEX(Reference!$B$29:$B$200,MATCH(B112,Reference!$A$29:$A$200,0)),"")</f>
        <v/>
      </c>
      <c r="D112" s="13"/>
      <c r="E112" s="10" t="str">
        <f t="shared" si="1"/>
        <v/>
      </c>
      <c r="F112" s="8"/>
    </row>
    <row r="113" spans="1:6" ht="15" customHeight="1" x14ac:dyDescent="0.2">
      <c r="A113" s="9"/>
      <c r="B113" s="8"/>
      <c r="C113" s="10" t="str">
        <f>IFERROR(INDEX(Reference!$B$29:$B$200,MATCH(B113,Reference!$A$29:$A$200,0)),"")</f>
        <v/>
      </c>
      <c r="D113" s="13"/>
      <c r="E113" s="10" t="str">
        <f t="shared" si="1"/>
        <v/>
      </c>
      <c r="F113" s="8"/>
    </row>
    <row r="114" spans="1:6" ht="15" customHeight="1" x14ac:dyDescent="0.2">
      <c r="A114" s="9"/>
      <c r="B114" s="8"/>
      <c r="C114" s="10" t="str">
        <f>IFERROR(INDEX(Reference!$B$29:$B$200,MATCH(B114,Reference!$A$29:$A$200,0)),"")</f>
        <v/>
      </c>
      <c r="D114" s="13"/>
      <c r="E114" s="10" t="str">
        <f t="shared" si="1"/>
        <v/>
      </c>
      <c r="F114" s="8"/>
    </row>
    <row r="115" spans="1:6" ht="15" customHeight="1" x14ac:dyDescent="0.2">
      <c r="A115" s="9"/>
      <c r="B115" s="8"/>
      <c r="C115" s="10" t="str">
        <f>IFERROR(INDEX(Reference!$B$29:$B$200,MATCH(B115,Reference!$A$29:$A$200,0)),"")</f>
        <v/>
      </c>
      <c r="D115" s="13"/>
      <c r="E115" s="10" t="str">
        <f t="shared" si="1"/>
        <v/>
      </c>
      <c r="F115" s="8"/>
    </row>
    <row r="116" spans="1:6" ht="15" customHeight="1" x14ac:dyDescent="0.2">
      <c r="A116" s="9"/>
      <c r="B116" s="8"/>
      <c r="C116" s="10" t="str">
        <f>IFERROR(INDEX(Reference!$B$29:$B$200,MATCH(B116,Reference!$A$29:$A$200,0)),"")</f>
        <v/>
      </c>
      <c r="D116" s="13"/>
      <c r="E116" s="10" t="str">
        <f t="shared" si="1"/>
        <v/>
      </c>
      <c r="F116" s="8"/>
    </row>
    <row r="117" spans="1:6" ht="15" customHeight="1" x14ac:dyDescent="0.2">
      <c r="A117" s="9"/>
      <c r="B117" s="8"/>
      <c r="C117" s="10" t="str">
        <f>IFERROR(INDEX(Reference!$B$29:$B$200,MATCH(B117,Reference!$A$29:$A$200,0)),"")</f>
        <v/>
      </c>
      <c r="D117" s="13"/>
      <c r="E117" s="10" t="str">
        <f t="shared" si="1"/>
        <v/>
      </c>
      <c r="F117" s="8"/>
    </row>
    <row r="118" spans="1:6" ht="15" customHeight="1" x14ac:dyDescent="0.2">
      <c r="A118" s="9"/>
      <c r="B118" s="8"/>
      <c r="C118" s="10" t="str">
        <f>IFERROR(INDEX(Reference!$B$29:$B$200,MATCH(B118,Reference!$A$29:$A$200,0)),"")</f>
        <v/>
      </c>
      <c r="D118" s="13"/>
      <c r="E118" s="10" t="str">
        <f t="shared" si="1"/>
        <v/>
      </c>
      <c r="F118" s="8"/>
    </row>
    <row r="119" spans="1:6" ht="15" customHeight="1" x14ac:dyDescent="0.2">
      <c r="A119" s="9"/>
      <c r="B119" s="8"/>
      <c r="C119" s="10" t="str">
        <f>IFERROR(INDEX(Reference!$B$29:$B$200,MATCH(B119,Reference!$A$29:$A$200,0)),"")</f>
        <v/>
      </c>
      <c r="D119" s="13"/>
      <c r="E119" s="10" t="str">
        <f t="shared" si="1"/>
        <v/>
      </c>
      <c r="F119" s="8"/>
    </row>
    <row r="120" spans="1:6" ht="15" customHeight="1" x14ac:dyDescent="0.2">
      <c r="A120" s="9"/>
      <c r="B120" s="8"/>
      <c r="C120" s="10" t="str">
        <f>IFERROR(INDEX(Reference!$B$29:$B$200,MATCH(B120,Reference!$A$29:$A$200,0)),"")</f>
        <v/>
      </c>
      <c r="D120" s="13"/>
      <c r="E120" s="10" t="str">
        <f t="shared" si="1"/>
        <v/>
      </c>
      <c r="F120" s="8"/>
    </row>
    <row r="121" spans="1:6" ht="15" customHeight="1" x14ac:dyDescent="0.2">
      <c r="A121" s="9"/>
      <c r="B121" s="8"/>
      <c r="C121" s="10" t="str">
        <f>IFERROR(INDEX(Reference!$B$29:$B$200,MATCH(B121,Reference!$A$29:$A$200,0)),"")</f>
        <v/>
      </c>
      <c r="D121" s="13"/>
      <c r="E121" s="10" t="str">
        <f t="shared" si="1"/>
        <v/>
      </c>
      <c r="F121" s="8"/>
    </row>
    <row r="122" spans="1:6" ht="15" customHeight="1" x14ac:dyDescent="0.2">
      <c r="A122" s="9"/>
      <c r="B122" s="8"/>
      <c r="C122" s="10" t="str">
        <f>IFERROR(INDEX(Reference!$B$29:$B$200,MATCH(B122,Reference!$A$29:$A$200,0)),"")</f>
        <v/>
      </c>
      <c r="D122" s="13"/>
      <c r="E122" s="10" t="str">
        <f t="shared" si="1"/>
        <v/>
      </c>
      <c r="F122" s="8"/>
    </row>
    <row r="123" spans="1:6" ht="15" customHeight="1" x14ac:dyDescent="0.2">
      <c r="A123" s="9"/>
      <c r="B123" s="8"/>
      <c r="C123" s="10" t="str">
        <f>IFERROR(INDEX(Reference!$B$29:$B$200,MATCH(B123,Reference!$A$29:$A$200,0)),"")</f>
        <v/>
      </c>
      <c r="D123" s="13"/>
      <c r="E123" s="10" t="str">
        <f t="shared" si="1"/>
        <v/>
      </c>
      <c r="F123" s="8"/>
    </row>
    <row r="124" spans="1:6" ht="15" customHeight="1" x14ac:dyDescent="0.2">
      <c r="A124" s="9"/>
      <c r="B124" s="8"/>
      <c r="C124" s="10" t="str">
        <f>IFERROR(INDEX(Reference!$B$29:$B$200,MATCH(B124,Reference!$A$29:$A$200,0)),"")</f>
        <v/>
      </c>
      <c r="D124" s="13"/>
      <c r="E124" s="10" t="str">
        <f t="shared" si="1"/>
        <v/>
      </c>
      <c r="F124" s="8"/>
    </row>
    <row r="125" spans="1:6" ht="15" customHeight="1" x14ac:dyDescent="0.2">
      <c r="A125" s="9"/>
      <c r="B125" s="8"/>
      <c r="C125" s="10" t="str">
        <f>IFERROR(INDEX(Reference!$B$29:$B$200,MATCH(B125,Reference!$A$29:$A$200,0)),"")</f>
        <v/>
      </c>
      <c r="D125" s="13"/>
      <c r="E125" s="10" t="str">
        <f t="shared" si="1"/>
        <v/>
      </c>
      <c r="F125" s="8"/>
    </row>
    <row r="126" spans="1:6" ht="15" customHeight="1" x14ac:dyDescent="0.2">
      <c r="A126" s="9"/>
      <c r="B126" s="8"/>
      <c r="C126" s="10" t="str">
        <f>IFERROR(INDEX(Reference!$B$29:$B$200,MATCH(B126,Reference!$A$29:$A$200,0)),"")</f>
        <v/>
      </c>
      <c r="D126" s="13"/>
      <c r="E126" s="10" t="str">
        <f t="shared" si="1"/>
        <v/>
      </c>
      <c r="F126" s="8"/>
    </row>
    <row r="127" spans="1:6" ht="15" customHeight="1" x14ac:dyDescent="0.2">
      <c r="A127" s="9"/>
      <c r="B127" s="8"/>
      <c r="C127" s="10" t="str">
        <f>IFERROR(INDEX(Reference!$B$29:$B$200,MATCH(B127,Reference!$A$29:$A$200,0)),"")</f>
        <v/>
      </c>
      <c r="D127" s="13"/>
      <c r="E127" s="10" t="str">
        <f t="shared" si="1"/>
        <v/>
      </c>
      <c r="F127" s="8"/>
    </row>
    <row r="128" spans="1:6" ht="15" customHeight="1" x14ac:dyDescent="0.2">
      <c r="A128" s="9"/>
      <c r="B128" s="8"/>
      <c r="C128" s="10" t="str">
        <f>IFERROR(INDEX(Reference!$B$29:$B$200,MATCH(B128,Reference!$A$29:$A$200,0)),"")</f>
        <v/>
      </c>
      <c r="D128" s="13"/>
      <c r="E128" s="10" t="str">
        <f t="shared" si="1"/>
        <v/>
      </c>
      <c r="F128" s="8"/>
    </row>
    <row r="129" spans="1:6" ht="15" customHeight="1" x14ac:dyDescent="0.2">
      <c r="A129" s="9"/>
      <c r="B129" s="8"/>
      <c r="C129" s="10" t="str">
        <f>IFERROR(INDEX(Reference!$B$29:$B$200,MATCH(B129,Reference!$A$29:$A$200,0)),"")</f>
        <v/>
      </c>
      <c r="D129" s="13"/>
      <c r="E129" s="10" t="str">
        <f t="shared" si="1"/>
        <v/>
      </c>
      <c r="F129" s="8"/>
    </row>
    <row r="130" spans="1:6" ht="15" customHeight="1" x14ac:dyDescent="0.2">
      <c r="A130" s="9"/>
      <c r="B130" s="8"/>
      <c r="C130" s="10" t="str">
        <f>IFERROR(INDEX(Reference!$B$29:$B$200,MATCH(B130,Reference!$A$29:$A$200,0)),"")</f>
        <v/>
      </c>
      <c r="D130" s="13"/>
      <c r="E130" s="10" t="str">
        <f t="shared" ref="E130:E193" si="2">IF(A130="","",IF(MONTH(A130)&gt;=8,YEAR(A130)&amp;"-"&amp;RIGHT(YEAR(A130)+1,2),YEAR(A130)-1&amp;"-"&amp;RIGHT(YEAR(A130),2)))</f>
        <v/>
      </c>
      <c r="F130" s="8"/>
    </row>
    <row r="131" spans="1:6" ht="15" customHeight="1" x14ac:dyDescent="0.2">
      <c r="A131" s="9"/>
      <c r="B131" s="8"/>
      <c r="C131" s="10" t="str">
        <f>IFERROR(INDEX(Reference!$B$29:$B$200,MATCH(B131,Reference!$A$29:$A$200,0)),"")</f>
        <v/>
      </c>
      <c r="D131" s="13"/>
      <c r="E131" s="10" t="str">
        <f t="shared" si="2"/>
        <v/>
      </c>
      <c r="F131" s="8"/>
    </row>
    <row r="132" spans="1:6" ht="15" customHeight="1" x14ac:dyDescent="0.2">
      <c r="A132" s="9"/>
      <c r="B132" s="8"/>
      <c r="C132" s="10" t="str">
        <f>IFERROR(INDEX(Reference!$B$29:$B$200,MATCH(B132,Reference!$A$29:$A$200,0)),"")</f>
        <v/>
      </c>
      <c r="D132" s="13"/>
      <c r="E132" s="10" t="str">
        <f t="shared" si="2"/>
        <v/>
      </c>
      <c r="F132" s="8"/>
    </row>
    <row r="133" spans="1:6" ht="15" customHeight="1" x14ac:dyDescent="0.2">
      <c r="A133" s="9"/>
      <c r="B133" s="8"/>
      <c r="C133" s="10" t="str">
        <f>IFERROR(INDEX(Reference!$B$29:$B$200,MATCH(B133,Reference!$A$29:$A$200,0)),"")</f>
        <v/>
      </c>
      <c r="D133" s="13"/>
      <c r="E133" s="10" t="str">
        <f t="shared" si="2"/>
        <v/>
      </c>
      <c r="F133" s="8"/>
    </row>
    <row r="134" spans="1:6" ht="15" customHeight="1" x14ac:dyDescent="0.2">
      <c r="A134" s="9"/>
      <c r="B134" s="8"/>
      <c r="C134" s="10" t="str">
        <f>IFERROR(INDEX(Reference!$B$29:$B$200,MATCH(B134,Reference!$A$29:$A$200,0)),"")</f>
        <v/>
      </c>
      <c r="D134" s="13"/>
      <c r="E134" s="10" t="str">
        <f t="shared" si="2"/>
        <v/>
      </c>
      <c r="F134" s="8"/>
    </row>
    <row r="135" spans="1:6" ht="15" customHeight="1" x14ac:dyDescent="0.2">
      <c r="A135" s="9"/>
      <c r="B135" s="8"/>
      <c r="C135" s="10" t="str">
        <f>IFERROR(INDEX(Reference!$B$29:$B$200,MATCH(B135,Reference!$A$29:$A$200,0)),"")</f>
        <v/>
      </c>
      <c r="D135" s="13"/>
      <c r="E135" s="10" t="str">
        <f t="shared" si="2"/>
        <v/>
      </c>
      <c r="F135" s="8"/>
    </row>
    <row r="136" spans="1:6" ht="15" customHeight="1" x14ac:dyDescent="0.2">
      <c r="A136" s="9"/>
      <c r="B136" s="8"/>
      <c r="C136" s="10" t="str">
        <f>IFERROR(INDEX(Reference!$B$29:$B$200,MATCH(B136,Reference!$A$29:$A$200,0)),"")</f>
        <v/>
      </c>
      <c r="D136" s="13"/>
      <c r="E136" s="10" t="str">
        <f t="shared" si="2"/>
        <v/>
      </c>
      <c r="F136" s="8"/>
    </row>
    <row r="137" spans="1:6" ht="15" customHeight="1" x14ac:dyDescent="0.2">
      <c r="A137" s="9"/>
      <c r="B137" s="8"/>
      <c r="C137" s="10" t="str">
        <f>IFERROR(INDEX(Reference!$B$29:$B$200,MATCH(B137,Reference!$A$29:$A$200,0)),"")</f>
        <v/>
      </c>
      <c r="D137" s="13"/>
      <c r="E137" s="10" t="str">
        <f t="shared" si="2"/>
        <v/>
      </c>
      <c r="F137" s="8"/>
    </row>
    <row r="138" spans="1:6" ht="15" customHeight="1" x14ac:dyDescent="0.2">
      <c r="A138" s="9"/>
      <c r="B138" s="8"/>
      <c r="C138" s="10" t="str">
        <f>IFERROR(INDEX(Reference!$B$29:$B$200,MATCH(B138,Reference!$A$29:$A$200,0)),"")</f>
        <v/>
      </c>
      <c r="D138" s="13"/>
      <c r="E138" s="10" t="str">
        <f t="shared" si="2"/>
        <v/>
      </c>
      <c r="F138" s="8"/>
    </row>
    <row r="139" spans="1:6" ht="15" customHeight="1" x14ac:dyDescent="0.2">
      <c r="A139" s="9"/>
      <c r="B139" s="8"/>
      <c r="C139" s="10" t="str">
        <f>IFERROR(INDEX(Reference!$B$29:$B$200,MATCH(B139,Reference!$A$29:$A$200,0)),"")</f>
        <v/>
      </c>
      <c r="D139" s="13"/>
      <c r="E139" s="10" t="str">
        <f t="shared" si="2"/>
        <v/>
      </c>
      <c r="F139" s="8"/>
    </row>
    <row r="140" spans="1:6" ht="15" customHeight="1" x14ac:dyDescent="0.2">
      <c r="A140" s="9"/>
      <c r="B140" s="8"/>
      <c r="C140" s="10" t="str">
        <f>IFERROR(INDEX(Reference!$B$29:$B$200,MATCH(B140,Reference!$A$29:$A$200,0)),"")</f>
        <v/>
      </c>
      <c r="D140" s="13"/>
      <c r="E140" s="10" t="str">
        <f t="shared" si="2"/>
        <v/>
      </c>
      <c r="F140" s="8"/>
    </row>
    <row r="141" spans="1:6" ht="15" customHeight="1" x14ac:dyDescent="0.2">
      <c r="A141" s="9"/>
      <c r="B141" s="8"/>
      <c r="C141" s="10" t="str">
        <f>IFERROR(INDEX(Reference!$B$29:$B$200,MATCH(B141,Reference!$A$29:$A$200,0)),"")</f>
        <v/>
      </c>
      <c r="D141" s="13"/>
      <c r="E141" s="10" t="str">
        <f t="shared" si="2"/>
        <v/>
      </c>
      <c r="F141" s="8"/>
    </row>
    <row r="142" spans="1:6" ht="15" customHeight="1" x14ac:dyDescent="0.2">
      <c r="A142" s="9"/>
      <c r="B142" s="8"/>
      <c r="C142" s="10" t="str">
        <f>IFERROR(INDEX(Reference!$B$29:$B$200,MATCH(B142,Reference!$A$29:$A$200,0)),"")</f>
        <v/>
      </c>
      <c r="D142" s="13"/>
      <c r="E142" s="10" t="str">
        <f t="shared" si="2"/>
        <v/>
      </c>
      <c r="F142" s="8"/>
    </row>
    <row r="143" spans="1:6" ht="15" customHeight="1" x14ac:dyDescent="0.2">
      <c r="A143" s="9"/>
      <c r="B143" s="8"/>
      <c r="C143" s="10" t="str">
        <f>IFERROR(INDEX(Reference!$B$29:$B$200,MATCH(B143,Reference!$A$29:$A$200,0)),"")</f>
        <v/>
      </c>
      <c r="D143" s="13"/>
      <c r="E143" s="10" t="str">
        <f t="shared" si="2"/>
        <v/>
      </c>
      <c r="F143" s="8"/>
    </row>
    <row r="144" spans="1:6" ht="15" customHeight="1" x14ac:dyDescent="0.2">
      <c r="A144" s="9"/>
      <c r="B144" s="8"/>
      <c r="C144" s="10" t="str">
        <f>IFERROR(INDEX(Reference!$B$29:$B$200,MATCH(B144,Reference!$A$29:$A$200,0)),"")</f>
        <v/>
      </c>
      <c r="D144" s="13"/>
      <c r="E144" s="10" t="str">
        <f t="shared" si="2"/>
        <v/>
      </c>
      <c r="F144" s="8"/>
    </row>
    <row r="145" spans="1:6" ht="15" customHeight="1" x14ac:dyDescent="0.2">
      <c r="A145" s="9"/>
      <c r="B145" s="8"/>
      <c r="C145" s="10" t="str">
        <f>IFERROR(INDEX(Reference!$B$29:$B$200,MATCH(B145,Reference!$A$29:$A$200,0)),"")</f>
        <v/>
      </c>
      <c r="D145" s="13"/>
      <c r="E145" s="10" t="str">
        <f t="shared" si="2"/>
        <v/>
      </c>
      <c r="F145" s="8"/>
    </row>
    <row r="146" spans="1:6" ht="15" customHeight="1" x14ac:dyDescent="0.2">
      <c r="A146" s="9"/>
      <c r="B146" s="8"/>
      <c r="C146" s="10" t="str">
        <f>IFERROR(INDEX(Reference!$B$29:$B$200,MATCH(B146,Reference!$A$29:$A$200,0)),"")</f>
        <v/>
      </c>
      <c r="D146" s="13"/>
      <c r="E146" s="10" t="str">
        <f t="shared" si="2"/>
        <v/>
      </c>
      <c r="F146" s="8"/>
    </row>
    <row r="147" spans="1:6" ht="15" customHeight="1" x14ac:dyDescent="0.2">
      <c r="A147" s="9"/>
      <c r="B147" s="8"/>
      <c r="C147" s="10" t="str">
        <f>IFERROR(INDEX(Reference!$B$29:$B$200,MATCH(B147,Reference!$A$29:$A$200,0)),"")</f>
        <v/>
      </c>
      <c r="D147" s="13"/>
      <c r="E147" s="10" t="str">
        <f t="shared" si="2"/>
        <v/>
      </c>
      <c r="F147" s="8"/>
    </row>
    <row r="148" spans="1:6" ht="15" customHeight="1" x14ac:dyDescent="0.2">
      <c r="A148" s="9"/>
      <c r="B148" s="8"/>
      <c r="C148" s="10" t="str">
        <f>IFERROR(INDEX(Reference!$B$29:$B$200,MATCH(B148,Reference!$A$29:$A$200,0)),"")</f>
        <v/>
      </c>
      <c r="D148" s="13"/>
      <c r="E148" s="10" t="str">
        <f t="shared" si="2"/>
        <v/>
      </c>
      <c r="F148" s="8"/>
    </row>
    <row r="149" spans="1:6" ht="15" customHeight="1" x14ac:dyDescent="0.2">
      <c r="A149" s="9"/>
      <c r="B149" s="8"/>
      <c r="C149" s="10" t="str">
        <f>IFERROR(INDEX(Reference!$B$29:$B$200,MATCH(B149,Reference!$A$29:$A$200,0)),"")</f>
        <v/>
      </c>
      <c r="D149" s="13"/>
      <c r="E149" s="10" t="str">
        <f t="shared" si="2"/>
        <v/>
      </c>
      <c r="F149" s="8"/>
    </row>
    <row r="150" spans="1:6" ht="15" customHeight="1" x14ac:dyDescent="0.2">
      <c r="A150" s="9"/>
      <c r="B150" s="8"/>
      <c r="C150" s="10" t="str">
        <f>IFERROR(INDEX(Reference!$B$29:$B$200,MATCH(B150,Reference!$A$29:$A$200,0)),"")</f>
        <v/>
      </c>
      <c r="D150" s="13"/>
      <c r="E150" s="10" t="str">
        <f t="shared" si="2"/>
        <v/>
      </c>
      <c r="F150" s="8"/>
    </row>
    <row r="151" spans="1:6" ht="15" customHeight="1" x14ac:dyDescent="0.2">
      <c r="A151" s="9"/>
      <c r="B151" s="8"/>
      <c r="C151" s="10" t="str">
        <f>IFERROR(INDEX(Reference!$B$29:$B$200,MATCH(B151,Reference!$A$29:$A$200,0)),"")</f>
        <v/>
      </c>
      <c r="D151" s="13"/>
      <c r="E151" s="10" t="str">
        <f t="shared" si="2"/>
        <v/>
      </c>
      <c r="F151" s="8"/>
    </row>
    <row r="152" spans="1:6" ht="15" customHeight="1" x14ac:dyDescent="0.2">
      <c r="A152" s="9"/>
      <c r="B152" s="8"/>
      <c r="C152" s="10" t="str">
        <f>IFERROR(INDEX(Reference!$B$29:$B$200,MATCH(B152,Reference!$A$29:$A$200,0)),"")</f>
        <v/>
      </c>
      <c r="D152" s="13"/>
      <c r="E152" s="10" t="str">
        <f t="shared" si="2"/>
        <v/>
      </c>
      <c r="F152" s="8"/>
    </row>
    <row r="153" spans="1:6" ht="15" customHeight="1" x14ac:dyDescent="0.2">
      <c r="A153" s="9"/>
      <c r="B153" s="8"/>
      <c r="C153" s="10" t="str">
        <f>IFERROR(INDEX(Reference!$B$29:$B$200,MATCH(B153,Reference!$A$29:$A$200,0)),"")</f>
        <v/>
      </c>
      <c r="D153" s="13"/>
      <c r="E153" s="10" t="str">
        <f t="shared" si="2"/>
        <v/>
      </c>
      <c r="F153" s="8"/>
    </row>
    <row r="154" spans="1:6" ht="15" customHeight="1" x14ac:dyDescent="0.2">
      <c r="A154" s="9"/>
      <c r="B154" s="8"/>
      <c r="C154" s="10" t="str">
        <f>IFERROR(INDEX(Reference!$B$29:$B$200,MATCH(B154,Reference!$A$29:$A$200,0)),"")</f>
        <v/>
      </c>
      <c r="D154" s="13"/>
      <c r="E154" s="10" t="str">
        <f t="shared" si="2"/>
        <v/>
      </c>
      <c r="F154" s="8"/>
    </row>
    <row r="155" spans="1:6" ht="15" customHeight="1" x14ac:dyDescent="0.2">
      <c r="A155" s="9"/>
      <c r="B155" s="8"/>
      <c r="C155" s="10" t="str">
        <f>IFERROR(INDEX(Reference!$B$29:$B$200,MATCH(B155,Reference!$A$29:$A$200,0)),"")</f>
        <v/>
      </c>
      <c r="D155" s="13"/>
      <c r="E155" s="10" t="str">
        <f t="shared" si="2"/>
        <v/>
      </c>
      <c r="F155" s="8"/>
    </row>
    <row r="156" spans="1:6" ht="15" customHeight="1" x14ac:dyDescent="0.2">
      <c r="A156" s="9"/>
      <c r="B156" s="8"/>
      <c r="C156" s="10" t="str">
        <f>IFERROR(INDEX(Reference!$B$29:$B$200,MATCH(B156,Reference!$A$29:$A$200,0)),"")</f>
        <v/>
      </c>
      <c r="D156" s="13"/>
      <c r="E156" s="10" t="str">
        <f t="shared" si="2"/>
        <v/>
      </c>
      <c r="F156" s="8"/>
    </row>
    <row r="157" spans="1:6" ht="15" customHeight="1" x14ac:dyDescent="0.2">
      <c r="A157" s="9"/>
      <c r="B157" s="8"/>
      <c r="C157" s="10" t="str">
        <f>IFERROR(INDEX(Reference!$B$29:$B$200,MATCH(B157,Reference!$A$29:$A$200,0)),"")</f>
        <v/>
      </c>
      <c r="D157" s="13"/>
      <c r="E157" s="10" t="str">
        <f t="shared" si="2"/>
        <v/>
      </c>
      <c r="F157" s="8"/>
    </row>
    <row r="158" spans="1:6" ht="15" customHeight="1" x14ac:dyDescent="0.2">
      <c r="A158" s="9"/>
      <c r="B158" s="8"/>
      <c r="C158" s="10" t="str">
        <f>IFERROR(INDEX(Reference!$B$29:$B$200,MATCH(B158,Reference!$A$29:$A$200,0)),"")</f>
        <v/>
      </c>
      <c r="D158" s="13"/>
      <c r="E158" s="10" t="str">
        <f t="shared" si="2"/>
        <v/>
      </c>
      <c r="F158" s="8"/>
    </row>
    <row r="159" spans="1:6" ht="15" customHeight="1" x14ac:dyDescent="0.2">
      <c r="A159" s="9"/>
      <c r="B159" s="8"/>
      <c r="C159" s="10" t="str">
        <f>IFERROR(INDEX(Reference!$B$29:$B$200,MATCH(B159,Reference!$A$29:$A$200,0)),"")</f>
        <v/>
      </c>
      <c r="D159" s="13"/>
      <c r="E159" s="10" t="str">
        <f t="shared" si="2"/>
        <v/>
      </c>
      <c r="F159" s="8"/>
    </row>
    <row r="160" spans="1:6" ht="15" customHeight="1" x14ac:dyDescent="0.2">
      <c r="A160" s="9"/>
      <c r="B160" s="8"/>
      <c r="C160" s="10" t="str">
        <f>IFERROR(INDEX(Reference!$B$29:$B$200,MATCH(B160,Reference!$A$29:$A$200,0)),"")</f>
        <v/>
      </c>
      <c r="D160" s="13"/>
      <c r="E160" s="10" t="str">
        <f t="shared" si="2"/>
        <v/>
      </c>
      <c r="F160" s="8"/>
    </row>
    <row r="161" spans="1:6" ht="15" customHeight="1" x14ac:dyDescent="0.2">
      <c r="A161" s="9"/>
      <c r="B161" s="8"/>
      <c r="C161" s="10" t="str">
        <f>IFERROR(INDEX(Reference!$B$29:$B$200,MATCH(B161,Reference!$A$29:$A$200,0)),"")</f>
        <v/>
      </c>
      <c r="D161" s="13"/>
      <c r="E161" s="10" t="str">
        <f t="shared" si="2"/>
        <v/>
      </c>
      <c r="F161" s="8"/>
    </row>
    <row r="162" spans="1:6" ht="15" customHeight="1" x14ac:dyDescent="0.2">
      <c r="A162" s="9"/>
      <c r="B162" s="8"/>
      <c r="C162" s="10" t="str">
        <f>IFERROR(INDEX(Reference!$B$29:$B$200,MATCH(B162,Reference!$A$29:$A$200,0)),"")</f>
        <v/>
      </c>
      <c r="D162" s="13"/>
      <c r="E162" s="10" t="str">
        <f t="shared" si="2"/>
        <v/>
      </c>
      <c r="F162" s="8"/>
    </row>
    <row r="163" spans="1:6" ht="15" customHeight="1" x14ac:dyDescent="0.2">
      <c r="A163" s="9"/>
      <c r="B163" s="8"/>
      <c r="C163" s="10" t="str">
        <f>IFERROR(INDEX(Reference!$B$29:$B$200,MATCH(B163,Reference!$A$29:$A$200,0)),"")</f>
        <v/>
      </c>
      <c r="D163" s="13"/>
      <c r="E163" s="10" t="str">
        <f t="shared" si="2"/>
        <v/>
      </c>
      <c r="F163" s="8"/>
    </row>
    <row r="164" spans="1:6" ht="15" customHeight="1" x14ac:dyDescent="0.2">
      <c r="A164" s="9"/>
      <c r="B164" s="8"/>
      <c r="C164" s="10" t="str">
        <f>IFERROR(INDEX(Reference!$B$29:$B$200,MATCH(B164,Reference!$A$29:$A$200,0)),"")</f>
        <v/>
      </c>
      <c r="D164" s="13"/>
      <c r="E164" s="10" t="str">
        <f t="shared" si="2"/>
        <v/>
      </c>
      <c r="F164" s="8"/>
    </row>
    <row r="165" spans="1:6" ht="15" customHeight="1" x14ac:dyDescent="0.2">
      <c r="A165" s="9"/>
      <c r="B165" s="8"/>
      <c r="C165" s="10" t="str">
        <f>IFERROR(INDEX(Reference!$B$29:$B$200,MATCH(B165,Reference!$A$29:$A$200,0)),"")</f>
        <v/>
      </c>
      <c r="D165" s="13"/>
      <c r="E165" s="10" t="str">
        <f t="shared" si="2"/>
        <v/>
      </c>
      <c r="F165" s="8"/>
    </row>
    <row r="166" spans="1:6" ht="15" customHeight="1" x14ac:dyDescent="0.2">
      <c r="A166" s="9"/>
      <c r="B166" s="8"/>
      <c r="C166" s="10" t="str">
        <f>IFERROR(INDEX(Reference!$B$29:$B$200,MATCH(B166,Reference!$A$29:$A$200,0)),"")</f>
        <v/>
      </c>
      <c r="D166" s="13"/>
      <c r="E166" s="10" t="str">
        <f t="shared" si="2"/>
        <v/>
      </c>
      <c r="F166" s="8"/>
    </row>
    <row r="167" spans="1:6" ht="15" customHeight="1" x14ac:dyDescent="0.2">
      <c r="A167" s="9"/>
      <c r="B167" s="8"/>
      <c r="C167" s="10" t="str">
        <f>IFERROR(INDEX(Reference!$B$29:$B$200,MATCH(B167,Reference!$A$29:$A$200,0)),"")</f>
        <v/>
      </c>
      <c r="D167" s="13"/>
      <c r="E167" s="10" t="str">
        <f t="shared" si="2"/>
        <v/>
      </c>
      <c r="F167" s="8"/>
    </row>
    <row r="168" spans="1:6" ht="15" customHeight="1" x14ac:dyDescent="0.2">
      <c r="A168" s="9"/>
      <c r="B168" s="8"/>
      <c r="C168" s="10" t="str">
        <f>IFERROR(INDEX(Reference!$B$29:$B$200,MATCH(B168,Reference!$A$29:$A$200,0)),"")</f>
        <v/>
      </c>
      <c r="D168" s="13"/>
      <c r="E168" s="10" t="str">
        <f t="shared" si="2"/>
        <v/>
      </c>
      <c r="F168" s="8"/>
    </row>
    <row r="169" spans="1:6" ht="15" customHeight="1" x14ac:dyDescent="0.2">
      <c r="A169" s="9"/>
      <c r="B169" s="8"/>
      <c r="C169" s="10" t="str">
        <f>IFERROR(INDEX(Reference!$B$29:$B$200,MATCH(B169,Reference!$A$29:$A$200,0)),"")</f>
        <v/>
      </c>
      <c r="D169" s="13"/>
      <c r="E169" s="10" t="str">
        <f t="shared" si="2"/>
        <v/>
      </c>
      <c r="F169" s="8"/>
    </row>
    <row r="170" spans="1:6" ht="15" customHeight="1" x14ac:dyDescent="0.2">
      <c r="A170" s="9"/>
      <c r="B170" s="8"/>
      <c r="C170" s="10" t="str">
        <f>IFERROR(INDEX(Reference!$B$29:$B$200,MATCH(B170,Reference!$A$29:$A$200,0)),"")</f>
        <v/>
      </c>
      <c r="D170" s="13"/>
      <c r="E170" s="10" t="str">
        <f t="shared" si="2"/>
        <v/>
      </c>
      <c r="F170" s="8"/>
    </row>
    <row r="171" spans="1:6" ht="15" customHeight="1" x14ac:dyDescent="0.2">
      <c r="A171" s="9"/>
      <c r="B171" s="8"/>
      <c r="C171" s="10" t="str">
        <f>IFERROR(INDEX(Reference!$B$29:$B$200,MATCH(B171,Reference!$A$29:$A$200,0)),"")</f>
        <v/>
      </c>
      <c r="D171" s="13"/>
      <c r="E171" s="10" t="str">
        <f t="shared" si="2"/>
        <v/>
      </c>
      <c r="F171" s="8"/>
    </row>
    <row r="172" spans="1:6" ht="15" customHeight="1" x14ac:dyDescent="0.2">
      <c r="A172" s="9"/>
      <c r="B172" s="8"/>
      <c r="C172" s="10" t="str">
        <f>IFERROR(INDEX(Reference!$B$29:$B$200,MATCH(B172,Reference!$A$29:$A$200,0)),"")</f>
        <v/>
      </c>
      <c r="D172" s="13"/>
      <c r="E172" s="10" t="str">
        <f t="shared" si="2"/>
        <v/>
      </c>
      <c r="F172" s="8"/>
    </row>
    <row r="173" spans="1:6" ht="15" customHeight="1" x14ac:dyDescent="0.2">
      <c r="A173" s="9"/>
      <c r="B173" s="8"/>
      <c r="C173" s="10" t="str">
        <f>IFERROR(INDEX(Reference!$B$29:$B$200,MATCH(B173,Reference!$A$29:$A$200,0)),"")</f>
        <v/>
      </c>
      <c r="D173" s="13"/>
      <c r="E173" s="10" t="str">
        <f t="shared" si="2"/>
        <v/>
      </c>
      <c r="F173" s="8"/>
    </row>
    <row r="174" spans="1:6" ht="15" customHeight="1" x14ac:dyDescent="0.2">
      <c r="A174" s="9"/>
      <c r="B174" s="8"/>
      <c r="C174" s="10" t="str">
        <f>IFERROR(INDEX(Reference!$B$29:$B$200,MATCH(B174,Reference!$A$29:$A$200,0)),"")</f>
        <v/>
      </c>
      <c r="D174" s="13"/>
      <c r="E174" s="10" t="str">
        <f t="shared" si="2"/>
        <v/>
      </c>
      <c r="F174" s="8"/>
    </row>
    <row r="175" spans="1:6" ht="15" customHeight="1" x14ac:dyDescent="0.2">
      <c r="A175" s="9"/>
      <c r="B175" s="8"/>
      <c r="C175" s="10" t="str">
        <f>IFERROR(INDEX(Reference!$B$29:$B$200,MATCH(B175,Reference!$A$29:$A$200,0)),"")</f>
        <v/>
      </c>
      <c r="D175" s="13"/>
      <c r="E175" s="10" t="str">
        <f t="shared" si="2"/>
        <v/>
      </c>
      <c r="F175" s="8"/>
    </row>
    <row r="176" spans="1:6" ht="15" customHeight="1" x14ac:dyDescent="0.2">
      <c r="A176" s="9"/>
      <c r="B176" s="8"/>
      <c r="C176" s="10" t="str">
        <f>IFERROR(INDEX(Reference!$B$29:$B$200,MATCH(B176,Reference!$A$29:$A$200,0)),"")</f>
        <v/>
      </c>
      <c r="D176" s="13"/>
      <c r="E176" s="10" t="str">
        <f t="shared" si="2"/>
        <v/>
      </c>
      <c r="F176" s="8"/>
    </row>
    <row r="177" spans="1:6" ht="15" customHeight="1" x14ac:dyDescent="0.2">
      <c r="A177" s="9"/>
      <c r="B177" s="8"/>
      <c r="C177" s="10" t="str">
        <f>IFERROR(INDEX(Reference!$B$29:$B$200,MATCH(B177,Reference!$A$29:$A$200,0)),"")</f>
        <v/>
      </c>
      <c r="D177" s="13"/>
      <c r="E177" s="10" t="str">
        <f t="shared" si="2"/>
        <v/>
      </c>
      <c r="F177" s="8"/>
    </row>
    <row r="178" spans="1:6" ht="15" customHeight="1" x14ac:dyDescent="0.2">
      <c r="A178" s="9"/>
      <c r="B178" s="8"/>
      <c r="C178" s="10" t="str">
        <f>IFERROR(INDEX(Reference!$B$29:$B$200,MATCH(B178,Reference!$A$29:$A$200,0)),"")</f>
        <v/>
      </c>
      <c r="D178" s="13"/>
      <c r="E178" s="10" t="str">
        <f t="shared" si="2"/>
        <v/>
      </c>
      <c r="F178" s="8"/>
    </row>
    <row r="179" spans="1:6" ht="15" customHeight="1" x14ac:dyDescent="0.2">
      <c r="A179" s="9"/>
      <c r="B179" s="8"/>
      <c r="C179" s="10" t="str">
        <f>IFERROR(INDEX(Reference!$B$29:$B$200,MATCH(B179,Reference!$A$29:$A$200,0)),"")</f>
        <v/>
      </c>
      <c r="D179" s="13"/>
      <c r="E179" s="10" t="str">
        <f t="shared" si="2"/>
        <v/>
      </c>
      <c r="F179" s="8"/>
    </row>
    <row r="180" spans="1:6" ht="15" customHeight="1" x14ac:dyDescent="0.2">
      <c r="A180" s="9"/>
      <c r="B180" s="8"/>
      <c r="C180" s="10" t="str">
        <f>IFERROR(INDEX(Reference!$B$29:$B$200,MATCH(B180,Reference!$A$29:$A$200,0)),"")</f>
        <v/>
      </c>
      <c r="D180" s="13"/>
      <c r="E180" s="10" t="str">
        <f t="shared" si="2"/>
        <v/>
      </c>
      <c r="F180" s="8"/>
    </row>
    <row r="181" spans="1:6" ht="15" customHeight="1" x14ac:dyDescent="0.2">
      <c r="A181" s="9"/>
      <c r="B181" s="8"/>
      <c r="C181" s="10" t="str">
        <f>IFERROR(INDEX(Reference!$B$29:$B$200,MATCH(B181,Reference!$A$29:$A$200,0)),"")</f>
        <v/>
      </c>
      <c r="D181" s="13"/>
      <c r="E181" s="10" t="str">
        <f t="shared" si="2"/>
        <v/>
      </c>
      <c r="F181" s="8"/>
    </row>
    <row r="182" spans="1:6" ht="15" customHeight="1" x14ac:dyDescent="0.2">
      <c r="A182" s="9"/>
      <c r="B182" s="8"/>
      <c r="C182" s="10" t="str">
        <f>IFERROR(INDEX(Reference!$B$29:$B$200,MATCH(B182,Reference!$A$29:$A$200,0)),"")</f>
        <v/>
      </c>
      <c r="D182" s="13"/>
      <c r="E182" s="10" t="str">
        <f t="shared" si="2"/>
        <v/>
      </c>
      <c r="F182" s="8"/>
    </row>
    <row r="183" spans="1:6" ht="15" customHeight="1" x14ac:dyDescent="0.2">
      <c r="A183" s="9"/>
      <c r="B183" s="8"/>
      <c r="C183" s="10" t="str">
        <f>IFERROR(INDEX(Reference!$B$29:$B$200,MATCH(B183,Reference!$A$29:$A$200,0)),"")</f>
        <v/>
      </c>
      <c r="D183" s="13"/>
      <c r="E183" s="10" t="str">
        <f t="shared" si="2"/>
        <v/>
      </c>
      <c r="F183" s="8"/>
    </row>
    <row r="184" spans="1:6" ht="15" customHeight="1" x14ac:dyDescent="0.2">
      <c r="A184" s="9"/>
      <c r="B184" s="8"/>
      <c r="C184" s="10" t="str">
        <f>IFERROR(INDEX(Reference!$B$29:$B$200,MATCH(B184,Reference!$A$29:$A$200,0)),"")</f>
        <v/>
      </c>
      <c r="D184" s="13"/>
      <c r="E184" s="10" t="str">
        <f t="shared" si="2"/>
        <v/>
      </c>
      <c r="F184" s="8"/>
    </row>
    <row r="185" spans="1:6" ht="15" customHeight="1" x14ac:dyDescent="0.2">
      <c r="A185" s="9"/>
      <c r="B185" s="8"/>
      <c r="C185" s="10" t="str">
        <f>IFERROR(INDEX(Reference!$B$29:$B$200,MATCH(B185,Reference!$A$29:$A$200,0)),"")</f>
        <v/>
      </c>
      <c r="D185" s="13"/>
      <c r="E185" s="10" t="str">
        <f t="shared" si="2"/>
        <v/>
      </c>
      <c r="F185" s="8"/>
    </row>
    <row r="186" spans="1:6" ht="15" customHeight="1" x14ac:dyDescent="0.2">
      <c r="A186" s="9"/>
      <c r="B186" s="8"/>
      <c r="C186" s="10" t="str">
        <f>IFERROR(INDEX(Reference!$B$29:$B$200,MATCH(B186,Reference!$A$29:$A$200,0)),"")</f>
        <v/>
      </c>
      <c r="D186" s="13"/>
      <c r="E186" s="10" t="str">
        <f t="shared" si="2"/>
        <v/>
      </c>
      <c r="F186" s="8"/>
    </row>
    <row r="187" spans="1:6" ht="15" customHeight="1" x14ac:dyDescent="0.2">
      <c r="A187" s="9"/>
      <c r="B187" s="8"/>
      <c r="C187" s="10" t="str">
        <f>IFERROR(INDEX(Reference!$B$29:$B$200,MATCH(B187,Reference!$A$29:$A$200,0)),"")</f>
        <v/>
      </c>
      <c r="D187" s="13"/>
      <c r="E187" s="10" t="str">
        <f t="shared" si="2"/>
        <v/>
      </c>
      <c r="F187" s="8"/>
    </row>
    <row r="188" spans="1:6" ht="15" customHeight="1" x14ac:dyDescent="0.2">
      <c r="A188" s="9"/>
      <c r="B188" s="8"/>
      <c r="C188" s="10" t="str">
        <f>IFERROR(INDEX(Reference!$B$29:$B$200,MATCH(B188,Reference!$A$29:$A$200,0)),"")</f>
        <v/>
      </c>
      <c r="D188" s="13"/>
      <c r="E188" s="10" t="str">
        <f t="shared" si="2"/>
        <v/>
      </c>
      <c r="F188" s="8"/>
    </row>
    <row r="189" spans="1:6" ht="15" customHeight="1" x14ac:dyDescent="0.2">
      <c r="A189" s="9"/>
      <c r="B189" s="8"/>
      <c r="C189" s="10" t="str">
        <f>IFERROR(INDEX(Reference!$B$29:$B$200,MATCH(B189,Reference!$A$29:$A$200,0)),"")</f>
        <v/>
      </c>
      <c r="D189" s="13"/>
      <c r="E189" s="10" t="str">
        <f t="shared" si="2"/>
        <v/>
      </c>
      <c r="F189" s="8"/>
    </row>
    <row r="190" spans="1:6" ht="15" customHeight="1" x14ac:dyDescent="0.2">
      <c r="A190" s="9"/>
      <c r="B190" s="8"/>
      <c r="C190" s="10" t="str">
        <f>IFERROR(INDEX(Reference!$B$29:$B$200,MATCH(B190,Reference!$A$29:$A$200,0)),"")</f>
        <v/>
      </c>
      <c r="D190" s="13"/>
      <c r="E190" s="10" t="str">
        <f t="shared" si="2"/>
        <v/>
      </c>
      <c r="F190" s="8"/>
    </row>
    <row r="191" spans="1:6" ht="15" customHeight="1" x14ac:dyDescent="0.2">
      <c r="A191" s="9"/>
      <c r="B191" s="8"/>
      <c r="C191" s="10" t="str">
        <f>IFERROR(INDEX(Reference!$B$29:$B$200,MATCH(B191,Reference!$A$29:$A$200,0)),"")</f>
        <v/>
      </c>
      <c r="D191" s="13"/>
      <c r="E191" s="10" t="str">
        <f t="shared" si="2"/>
        <v/>
      </c>
      <c r="F191" s="8"/>
    </row>
    <row r="192" spans="1:6" ht="15" customHeight="1" x14ac:dyDescent="0.2">
      <c r="A192" s="9"/>
      <c r="B192" s="8"/>
      <c r="C192" s="10" t="str">
        <f>IFERROR(INDEX(Reference!$B$29:$B$200,MATCH(B192,Reference!$A$29:$A$200,0)),"")</f>
        <v/>
      </c>
      <c r="D192" s="13"/>
      <c r="E192" s="10" t="str">
        <f t="shared" si="2"/>
        <v/>
      </c>
      <c r="F192" s="8"/>
    </row>
    <row r="193" spans="1:6" ht="15" customHeight="1" x14ac:dyDescent="0.2">
      <c r="A193" s="9"/>
      <c r="B193" s="8"/>
      <c r="C193" s="10" t="str">
        <f>IFERROR(INDEX(Reference!$B$29:$B$200,MATCH(B193,Reference!$A$29:$A$200,0)),"")</f>
        <v/>
      </c>
      <c r="D193" s="13"/>
      <c r="E193" s="10" t="str">
        <f t="shared" si="2"/>
        <v/>
      </c>
      <c r="F193" s="8"/>
    </row>
    <row r="194" spans="1:6" ht="15" customHeight="1" x14ac:dyDescent="0.2">
      <c r="A194" s="9"/>
      <c r="B194" s="8"/>
      <c r="C194" s="10" t="str">
        <f>IFERROR(INDEX(Reference!$B$29:$B$200,MATCH(B194,Reference!$A$29:$A$200,0)),"")</f>
        <v/>
      </c>
      <c r="D194" s="13"/>
      <c r="E194" s="10" t="str">
        <f t="shared" ref="E194:E257" si="3">IF(A194="","",IF(MONTH(A194)&gt;=8,YEAR(A194)&amp;"-"&amp;RIGHT(YEAR(A194)+1,2),YEAR(A194)-1&amp;"-"&amp;RIGHT(YEAR(A194),2)))</f>
        <v/>
      </c>
      <c r="F194" s="8"/>
    </row>
    <row r="195" spans="1:6" ht="15" customHeight="1" x14ac:dyDescent="0.2">
      <c r="A195" s="9"/>
      <c r="B195" s="8"/>
      <c r="C195" s="10" t="str">
        <f>IFERROR(INDEX(Reference!$B$29:$B$200,MATCH(B195,Reference!$A$29:$A$200,0)),"")</f>
        <v/>
      </c>
      <c r="D195" s="13"/>
      <c r="E195" s="10" t="str">
        <f t="shared" si="3"/>
        <v/>
      </c>
      <c r="F195" s="8"/>
    </row>
    <row r="196" spans="1:6" ht="15" customHeight="1" x14ac:dyDescent="0.2">
      <c r="A196" s="9"/>
      <c r="B196" s="8"/>
      <c r="C196" s="10" t="str">
        <f>IFERROR(INDEX(Reference!$B$29:$B$200,MATCH(B196,Reference!$A$29:$A$200,0)),"")</f>
        <v/>
      </c>
      <c r="D196" s="13"/>
      <c r="E196" s="10" t="str">
        <f t="shared" si="3"/>
        <v/>
      </c>
      <c r="F196" s="8"/>
    </row>
    <row r="197" spans="1:6" ht="15" customHeight="1" x14ac:dyDescent="0.2">
      <c r="A197" s="9"/>
      <c r="B197" s="8"/>
      <c r="C197" s="10" t="str">
        <f>IFERROR(INDEX(Reference!$B$29:$B$200,MATCH(B197,Reference!$A$29:$A$200,0)),"")</f>
        <v/>
      </c>
      <c r="D197" s="13"/>
      <c r="E197" s="10" t="str">
        <f t="shared" si="3"/>
        <v/>
      </c>
      <c r="F197" s="8"/>
    </row>
    <row r="198" spans="1:6" ht="15" customHeight="1" x14ac:dyDescent="0.2">
      <c r="A198" s="9"/>
      <c r="B198" s="8"/>
      <c r="C198" s="10" t="str">
        <f>IFERROR(INDEX(Reference!$B$29:$B$200,MATCH(B198,Reference!$A$29:$A$200,0)),"")</f>
        <v/>
      </c>
      <c r="D198" s="13"/>
      <c r="E198" s="10" t="str">
        <f t="shared" si="3"/>
        <v/>
      </c>
      <c r="F198" s="8"/>
    </row>
    <row r="199" spans="1:6" ht="15" customHeight="1" x14ac:dyDescent="0.2">
      <c r="A199" s="9"/>
      <c r="B199" s="8"/>
      <c r="C199" s="10" t="str">
        <f>IFERROR(INDEX(Reference!$B$29:$B$200,MATCH(B199,Reference!$A$29:$A$200,0)),"")</f>
        <v/>
      </c>
      <c r="D199" s="13"/>
      <c r="E199" s="10" t="str">
        <f t="shared" si="3"/>
        <v/>
      </c>
      <c r="F199" s="8"/>
    </row>
    <row r="200" spans="1:6" ht="15" customHeight="1" x14ac:dyDescent="0.2">
      <c r="A200" s="9"/>
      <c r="B200" s="8"/>
      <c r="C200" s="10" t="str">
        <f>IFERROR(INDEX(Reference!$B$29:$B$200,MATCH(B200,Reference!$A$29:$A$200,0)),"")</f>
        <v/>
      </c>
      <c r="D200" s="13"/>
      <c r="E200" s="10" t="str">
        <f t="shared" si="3"/>
        <v/>
      </c>
      <c r="F200" s="8"/>
    </row>
    <row r="201" spans="1:6" ht="15" customHeight="1" x14ac:dyDescent="0.2">
      <c r="A201" s="9"/>
      <c r="B201" s="8"/>
      <c r="C201" s="10" t="str">
        <f>IFERROR(INDEX(Reference!$B$29:$B$200,MATCH(B201,Reference!$A$29:$A$200,0)),"")</f>
        <v/>
      </c>
      <c r="D201" s="13"/>
      <c r="E201" s="10" t="str">
        <f t="shared" si="3"/>
        <v/>
      </c>
      <c r="F201" s="8"/>
    </row>
    <row r="202" spans="1:6" ht="15" customHeight="1" x14ac:dyDescent="0.2">
      <c r="A202" s="9"/>
      <c r="B202" s="8"/>
      <c r="C202" s="10" t="str">
        <f>IFERROR(INDEX(Reference!$B$29:$B$200,MATCH(B202,Reference!$A$29:$A$200,0)),"")</f>
        <v/>
      </c>
      <c r="D202" s="13"/>
      <c r="E202" s="10" t="str">
        <f t="shared" si="3"/>
        <v/>
      </c>
      <c r="F202" s="8"/>
    </row>
    <row r="203" spans="1:6" ht="15" customHeight="1" x14ac:dyDescent="0.2">
      <c r="A203" s="9"/>
      <c r="B203" s="8"/>
      <c r="C203" s="10" t="str">
        <f>IFERROR(INDEX(Reference!$B$29:$B$200,MATCH(B203,Reference!$A$29:$A$200,0)),"")</f>
        <v/>
      </c>
      <c r="D203" s="13"/>
      <c r="E203" s="10" t="str">
        <f t="shared" si="3"/>
        <v/>
      </c>
      <c r="F203" s="8"/>
    </row>
    <row r="204" spans="1:6" ht="15" customHeight="1" x14ac:dyDescent="0.2">
      <c r="A204" s="9"/>
      <c r="B204" s="8"/>
      <c r="C204" s="10" t="str">
        <f>IFERROR(INDEX(Reference!$B$29:$B$200,MATCH(B204,Reference!$A$29:$A$200,0)),"")</f>
        <v/>
      </c>
      <c r="D204" s="13"/>
      <c r="E204" s="10" t="str">
        <f t="shared" si="3"/>
        <v/>
      </c>
      <c r="F204" s="8"/>
    </row>
    <row r="205" spans="1:6" ht="15" customHeight="1" x14ac:dyDescent="0.2">
      <c r="A205" s="9"/>
      <c r="B205" s="8"/>
      <c r="C205" s="10" t="str">
        <f>IFERROR(INDEX(Reference!$B$29:$B$200,MATCH(B205,Reference!$A$29:$A$200,0)),"")</f>
        <v/>
      </c>
      <c r="D205" s="13"/>
      <c r="E205" s="10" t="str">
        <f t="shared" si="3"/>
        <v/>
      </c>
      <c r="F205" s="8"/>
    </row>
    <row r="206" spans="1:6" ht="15" customHeight="1" x14ac:dyDescent="0.2">
      <c r="A206" s="9"/>
      <c r="B206" s="8"/>
      <c r="C206" s="10" t="str">
        <f>IFERROR(INDEX(Reference!$B$29:$B$200,MATCH(B206,Reference!$A$29:$A$200,0)),"")</f>
        <v/>
      </c>
      <c r="D206" s="13"/>
      <c r="E206" s="10" t="str">
        <f t="shared" si="3"/>
        <v/>
      </c>
      <c r="F206" s="8"/>
    </row>
    <row r="207" spans="1:6" ht="15" customHeight="1" x14ac:dyDescent="0.2">
      <c r="A207" s="9"/>
      <c r="B207" s="8"/>
      <c r="C207" s="10" t="str">
        <f>IFERROR(INDEX(Reference!$B$29:$B$200,MATCH(B207,Reference!$A$29:$A$200,0)),"")</f>
        <v/>
      </c>
      <c r="D207" s="13"/>
      <c r="E207" s="10" t="str">
        <f t="shared" si="3"/>
        <v/>
      </c>
      <c r="F207" s="8"/>
    </row>
    <row r="208" spans="1:6" ht="15" customHeight="1" x14ac:dyDescent="0.2">
      <c r="A208" s="9"/>
      <c r="B208" s="8"/>
      <c r="C208" s="10" t="str">
        <f>IFERROR(INDEX(Reference!$B$29:$B$200,MATCH(B208,Reference!$A$29:$A$200,0)),"")</f>
        <v/>
      </c>
      <c r="D208" s="13"/>
      <c r="E208" s="10" t="str">
        <f t="shared" si="3"/>
        <v/>
      </c>
      <c r="F208" s="8"/>
    </row>
    <row r="209" spans="1:6" ht="15" customHeight="1" x14ac:dyDescent="0.2">
      <c r="A209" s="9"/>
      <c r="B209" s="8"/>
      <c r="C209" s="10" t="str">
        <f>IFERROR(INDEX(Reference!$B$29:$B$200,MATCH(B209,Reference!$A$29:$A$200,0)),"")</f>
        <v/>
      </c>
      <c r="D209" s="13"/>
      <c r="E209" s="10" t="str">
        <f t="shared" si="3"/>
        <v/>
      </c>
      <c r="F209" s="8"/>
    </row>
    <row r="210" spans="1:6" ht="15" customHeight="1" x14ac:dyDescent="0.2">
      <c r="A210" s="9"/>
      <c r="B210" s="8"/>
      <c r="C210" s="10" t="str">
        <f>IFERROR(INDEX(Reference!$B$29:$B$200,MATCH(B210,Reference!$A$29:$A$200,0)),"")</f>
        <v/>
      </c>
      <c r="D210" s="13"/>
      <c r="E210" s="10" t="str">
        <f t="shared" si="3"/>
        <v/>
      </c>
      <c r="F210" s="8"/>
    </row>
    <row r="211" spans="1:6" ht="15" customHeight="1" x14ac:dyDescent="0.2">
      <c r="A211" s="9"/>
      <c r="B211" s="8"/>
      <c r="C211" s="10" t="str">
        <f>IFERROR(INDEX(Reference!$B$29:$B$200,MATCH(B211,Reference!$A$29:$A$200,0)),"")</f>
        <v/>
      </c>
      <c r="D211" s="13"/>
      <c r="E211" s="10" t="str">
        <f t="shared" si="3"/>
        <v/>
      </c>
      <c r="F211" s="8"/>
    </row>
    <row r="212" spans="1:6" ht="15" customHeight="1" x14ac:dyDescent="0.2">
      <c r="A212" s="9"/>
      <c r="B212" s="8"/>
      <c r="C212" s="10" t="str">
        <f>IFERROR(INDEX(Reference!$B$29:$B$200,MATCH(B212,Reference!$A$29:$A$200,0)),"")</f>
        <v/>
      </c>
      <c r="D212" s="13"/>
      <c r="E212" s="10" t="str">
        <f t="shared" si="3"/>
        <v/>
      </c>
      <c r="F212" s="8"/>
    </row>
    <row r="213" spans="1:6" ht="15" customHeight="1" x14ac:dyDescent="0.2">
      <c r="A213" s="9"/>
      <c r="B213" s="8"/>
      <c r="C213" s="10" t="str">
        <f>IFERROR(INDEX(Reference!$B$29:$B$200,MATCH(B213,Reference!$A$29:$A$200,0)),"")</f>
        <v/>
      </c>
      <c r="D213" s="13"/>
      <c r="E213" s="10" t="str">
        <f t="shared" si="3"/>
        <v/>
      </c>
      <c r="F213" s="8"/>
    </row>
    <row r="214" spans="1:6" ht="15" customHeight="1" x14ac:dyDescent="0.2">
      <c r="A214" s="9"/>
      <c r="B214" s="8"/>
      <c r="C214" s="10" t="str">
        <f>IFERROR(INDEX(Reference!$B$29:$B$200,MATCH(B214,Reference!$A$29:$A$200,0)),"")</f>
        <v/>
      </c>
      <c r="D214" s="13"/>
      <c r="E214" s="10" t="str">
        <f t="shared" si="3"/>
        <v/>
      </c>
      <c r="F214" s="8"/>
    </row>
    <row r="215" spans="1:6" ht="15" customHeight="1" x14ac:dyDescent="0.2">
      <c r="A215" s="9"/>
      <c r="B215" s="8"/>
      <c r="C215" s="10" t="str">
        <f>IFERROR(INDEX(Reference!$B$29:$B$200,MATCH(B215,Reference!$A$29:$A$200,0)),"")</f>
        <v/>
      </c>
      <c r="D215" s="13"/>
      <c r="E215" s="10" t="str">
        <f t="shared" si="3"/>
        <v/>
      </c>
      <c r="F215" s="8"/>
    </row>
    <row r="216" spans="1:6" ht="15" customHeight="1" x14ac:dyDescent="0.2">
      <c r="A216" s="9"/>
      <c r="B216" s="8"/>
      <c r="C216" s="10" t="str">
        <f>IFERROR(INDEX(Reference!$B$29:$B$200,MATCH(B216,Reference!$A$29:$A$200,0)),"")</f>
        <v/>
      </c>
      <c r="D216" s="13"/>
      <c r="E216" s="10" t="str">
        <f t="shared" si="3"/>
        <v/>
      </c>
      <c r="F216" s="8"/>
    </row>
    <row r="217" spans="1:6" ht="15" customHeight="1" x14ac:dyDescent="0.2">
      <c r="A217" s="9"/>
      <c r="B217" s="8"/>
      <c r="C217" s="10" t="str">
        <f>IFERROR(INDEX(Reference!$B$29:$B$200,MATCH(B217,Reference!$A$29:$A$200,0)),"")</f>
        <v/>
      </c>
      <c r="D217" s="13"/>
      <c r="E217" s="10" t="str">
        <f t="shared" si="3"/>
        <v/>
      </c>
      <c r="F217" s="8"/>
    </row>
    <row r="218" spans="1:6" ht="15" customHeight="1" x14ac:dyDescent="0.2">
      <c r="A218" s="9"/>
      <c r="B218" s="8"/>
      <c r="C218" s="10" t="str">
        <f>IFERROR(INDEX(Reference!$B$29:$B$200,MATCH(B218,Reference!$A$29:$A$200,0)),"")</f>
        <v/>
      </c>
      <c r="D218" s="13"/>
      <c r="E218" s="10" t="str">
        <f t="shared" si="3"/>
        <v/>
      </c>
      <c r="F218" s="8"/>
    </row>
    <row r="219" spans="1:6" ht="15" customHeight="1" x14ac:dyDescent="0.2">
      <c r="A219" s="9"/>
      <c r="B219" s="8"/>
      <c r="C219" s="10" t="str">
        <f>IFERROR(INDEX(Reference!$B$29:$B$200,MATCH(B219,Reference!$A$29:$A$200,0)),"")</f>
        <v/>
      </c>
      <c r="D219" s="13"/>
      <c r="E219" s="10" t="str">
        <f t="shared" si="3"/>
        <v/>
      </c>
      <c r="F219" s="8"/>
    </row>
    <row r="220" spans="1:6" ht="15" customHeight="1" x14ac:dyDescent="0.2">
      <c r="A220" s="9"/>
      <c r="B220" s="8"/>
      <c r="C220" s="10" t="str">
        <f>IFERROR(INDEX(Reference!$B$29:$B$200,MATCH(B220,Reference!$A$29:$A$200,0)),"")</f>
        <v/>
      </c>
      <c r="D220" s="13"/>
      <c r="E220" s="10" t="str">
        <f t="shared" si="3"/>
        <v/>
      </c>
      <c r="F220" s="8"/>
    </row>
    <row r="221" spans="1:6" ht="15" customHeight="1" x14ac:dyDescent="0.2">
      <c r="A221" s="9"/>
      <c r="B221" s="8"/>
      <c r="C221" s="10" t="str">
        <f>IFERROR(INDEX(Reference!$B$29:$B$200,MATCH(B221,Reference!$A$29:$A$200,0)),"")</f>
        <v/>
      </c>
      <c r="D221" s="13"/>
      <c r="E221" s="10" t="str">
        <f t="shared" si="3"/>
        <v/>
      </c>
      <c r="F221" s="8"/>
    </row>
    <row r="222" spans="1:6" ht="15" customHeight="1" x14ac:dyDescent="0.2">
      <c r="A222" s="9"/>
      <c r="B222" s="8"/>
      <c r="C222" s="10" t="str">
        <f>IFERROR(INDEX(Reference!$B$29:$B$200,MATCH(B222,Reference!$A$29:$A$200,0)),"")</f>
        <v/>
      </c>
      <c r="D222" s="13"/>
      <c r="E222" s="10" t="str">
        <f t="shared" si="3"/>
        <v/>
      </c>
      <c r="F222" s="8"/>
    </row>
    <row r="223" spans="1:6" ht="15" customHeight="1" x14ac:dyDescent="0.2">
      <c r="A223" s="9"/>
      <c r="B223" s="8"/>
      <c r="C223" s="10" t="str">
        <f>IFERROR(INDEX(Reference!$B$29:$B$200,MATCH(B223,Reference!$A$29:$A$200,0)),"")</f>
        <v/>
      </c>
      <c r="D223" s="13"/>
      <c r="E223" s="10" t="str">
        <f t="shared" si="3"/>
        <v/>
      </c>
      <c r="F223" s="8"/>
    </row>
    <row r="224" spans="1:6" ht="15" customHeight="1" x14ac:dyDescent="0.2">
      <c r="A224" s="9"/>
      <c r="B224" s="8"/>
      <c r="C224" s="10" t="str">
        <f>IFERROR(INDEX(Reference!$B$29:$B$200,MATCH(B224,Reference!$A$29:$A$200,0)),"")</f>
        <v/>
      </c>
      <c r="D224" s="13"/>
      <c r="E224" s="10" t="str">
        <f t="shared" si="3"/>
        <v/>
      </c>
      <c r="F224" s="8"/>
    </row>
    <row r="225" spans="1:6" ht="15" customHeight="1" x14ac:dyDescent="0.2">
      <c r="A225" s="9"/>
      <c r="B225" s="8"/>
      <c r="C225" s="10" t="str">
        <f>IFERROR(INDEX(Reference!$B$29:$B$200,MATCH(B225,Reference!$A$29:$A$200,0)),"")</f>
        <v/>
      </c>
      <c r="D225" s="13"/>
      <c r="E225" s="10" t="str">
        <f t="shared" si="3"/>
        <v/>
      </c>
      <c r="F225" s="8"/>
    </row>
    <row r="226" spans="1:6" ht="15" customHeight="1" x14ac:dyDescent="0.2">
      <c r="A226" s="9"/>
      <c r="B226" s="8"/>
      <c r="C226" s="10" t="str">
        <f>IFERROR(INDEX(Reference!$B$29:$B$200,MATCH(B226,Reference!$A$29:$A$200,0)),"")</f>
        <v/>
      </c>
      <c r="D226" s="13"/>
      <c r="E226" s="10" t="str">
        <f t="shared" si="3"/>
        <v/>
      </c>
      <c r="F226" s="8"/>
    </row>
    <row r="227" spans="1:6" ht="15" customHeight="1" x14ac:dyDescent="0.2">
      <c r="A227" s="9"/>
      <c r="B227" s="8"/>
      <c r="C227" s="10" t="str">
        <f>IFERROR(INDEX(Reference!$B$29:$B$200,MATCH(B227,Reference!$A$29:$A$200,0)),"")</f>
        <v/>
      </c>
      <c r="D227" s="13"/>
      <c r="E227" s="10" t="str">
        <f t="shared" si="3"/>
        <v/>
      </c>
      <c r="F227" s="8"/>
    </row>
    <row r="228" spans="1:6" ht="15" customHeight="1" x14ac:dyDescent="0.2">
      <c r="A228" s="9"/>
      <c r="B228" s="8"/>
      <c r="C228" s="10" t="str">
        <f>IFERROR(INDEX(Reference!$B$29:$B$200,MATCH(B228,Reference!$A$29:$A$200,0)),"")</f>
        <v/>
      </c>
      <c r="D228" s="13"/>
      <c r="E228" s="10" t="str">
        <f t="shared" si="3"/>
        <v/>
      </c>
      <c r="F228" s="8"/>
    </row>
    <row r="229" spans="1:6" ht="15" customHeight="1" x14ac:dyDescent="0.2">
      <c r="A229" s="9"/>
      <c r="B229" s="8"/>
      <c r="C229" s="10" t="str">
        <f>IFERROR(INDEX(Reference!$B$29:$B$200,MATCH(B229,Reference!$A$29:$A$200,0)),"")</f>
        <v/>
      </c>
      <c r="D229" s="13"/>
      <c r="E229" s="10" t="str">
        <f t="shared" si="3"/>
        <v/>
      </c>
      <c r="F229" s="8"/>
    </row>
    <row r="230" spans="1:6" ht="15" customHeight="1" x14ac:dyDescent="0.2">
      <c r="A230" s="9"/>
      <c r="B230" s="8"/>
      <c r="C230" s="10" t="str">
        <f>IFERROR(INDEX(Reference!$B$29:$B$200,MATCH(B230,Reference!$A$29:$A$200,0)),"")</f>
        <v/>
      </c>
      <c r="D230" s="13"/>
      <c r="E230" s="10" t="str">
        <f t="shared" si="3"/>
        <v/>
      </c>
      <c r="F230" s="8"/>
    </row>
    <row r="231" spans="1:6" ht="15" customHeight="1" x14ac:dyDescent="0.2">
      <c r="A231" s="9"/>
      <c r="B231" s="8"/>
      <c r="C231" s="10" t="str">
        <f>IFERROR(INDEX(Reference!$B$29:$B$200,MATCH(B231,Reference!$A$29:$A$200,0)),"")</f>
        <v/>
      </c>
      <c r="D231" s="13"/>
      <c r="E231" s="10" t="str">
        <f t="shared" si="3"/>
        <v/>
      </c>
      <c r="F231" s="8"/>
    </row>
    <row r="232" spans="1:6" ht="15" customHeight="1" x14ac:dyDescent="0.2">
      <c r="A232" s="9"/>
      <c r="B232" s="8"/>
      <c r="C232" s="10" t="str">
        <f>IFERROR(INDEX(Reference!$B$29:$B$200,MATCH(B232,Reference!$A$29:$A$200,0)),"")</f>
        <v/>
      </c>
      <c r="D232" s="13"/>
      <c r="E232" s="10" t="str">
        <f t="shared" si="3"/>
        <v/>
      </c>
      <c r="F232" s="8"/>
    </row>
    <row r="233" spans="1:6" ht="15" customHeight="1" x14ac:dyDescent="0.2">
      <c r="A233" s="9"/>
      <c r="B233" s="8"/>
      <c r="C233" s="10" t="str">
        <f>IFERROR(INDEX(Reference!$B$29:$B$200,MATCH(B233,Reference!$A$29:$A$200,0)),"")</f>
        <v/>
      </c>
      <c r="D233" s="13"/>
      <c r="E233" s="10" t="str">
        <f t="shared" si="3"/>
        <v/>
      </c>
      <c r="F233" s="8"/>
    </row>
    <row r="234" spans="1:6" ht="15" customHeight="1" x14ac:dyDescent="0.2">
      <c r="A234" s="9"/>
      <c r="B234" s="8"/>
      <c r="C234" s="10" t="str">
        <f>IFERROR(INDEX(Reference!$B$29:$B$200,MATCH(B234,Reference!$A$29:$A$200,0)),"")</f>
        <v/>
      </c>
      <c r="D234" s="13"/>
      <c r="E234" s="10" t="str">
        <f t="shared" si="3"/>
        <v/>
      </c>
      <c r="F234" s="8"/>
    </row>
    <row r="235" spans="1:6" ht="15" customHeight="1" x14ac:dyDescent="0.2">
      <c r="A235" s="9"/>
      <c r="B235" s="8"/>
      <c r="C235" s="10" t="str">
        <f>IFERROR(INDEX(Reference!$B$29:$B$200,MATCH(B235,Reference!$A$29:$A$200,0)),"")</f>
        <v/>
      </c>
      <c r="D235" s="13"/>
      <c r="E235" s="10" t="str">
        <f t="shared" si="3"/>
        <v/>
      </c>
      <c r="F235" s="8"/>
    </row>
    <row r="236" spans="1:6" ht="15" customHeight="1" x14ac:dyDescent="0.2">
      <c r="A236" s="9"/>
      <c r="B236" s="8"/>
      <c r="C236" s="10" t="str">
        <f>IFERROR(INDEX(Reference!$B$29:$B$200,MATCH(B236,Reference!$A$29:$A$200,0)),"")</f>
        <v/>
      </c>
      <c r="D236" s="13"/>
      <c r="E236" s="10" t="str">
        <f t="shared" si="3"/>
        <v/>
      </c>
      <c r="F236" s="8"/>
    </row>
    <row r="237" spans="1:6" ht="15" customHeight="1" x14ac:dyDescent="0.2">
      <c r="A237" s="9"/>
      <c r="B237" s="8"/>
      <c r="C237" s="10" t="str">
        <f>IFERROR(INDEX(Reference!$B$29:$B$200,MATCH(B237,Reference!$A$29:$A$200,0)),"")</f>
        <v/>
      </c>
      <c r="D237" s="13"/>
      <c r="E237" s="10" t="str">
        <f t="shared" si="3"/>
        <v/>
      </c>
      <c r="F237" s="8"/>
    </row>
    <row r="238" spans="1:6" ht="15" customHeight="1" x14ac:dyDescent="0.2">
      <c r="A238" s="9"/>
      <c r="B238" s="8"/>
      <c r="C238" s="10" t="str">
        <f>IFERROR(INDEX(Reference!$B$29:$B$200,MATCH(B238,Reference!$A$29:$A$200,0)),"")</f>
        <v/>
      </c>
      <c r="D238" s="13"/>
      <c r="E238" s="10" t="str">
        <f t="shared" si="3"/>
        <v/>
      </c>
      <c r="F238" s="8"/>
    </row>
    <row r="239" spans="1:6" ht="15" customHeight="1" x14ac:dyDescent="0.2">
      <c r="A239" s="9"/>
      <c r="B239" s="8"/>
      <c r="C239" s="10" t="str">
        <f>IFERROR(INDEX(Reference!$B$29:$B$200,MATCH(B239,Reference!$A$29:$A$200,0)),"")</f>
        <v/>
      </c>
      <c r="D239" s="13"/>
      <c r="E239" s="10" t="str">
        <f t="shared" si="3"/>
        <v/>
      </c>
      <c r="F239" s="8"/>
    </row>
    <row r="240" spans="1:6" ht="15" customHeight="1" x14ac:dyDescent="0.2">
      <c r="A240" s="9"/>
      <c r="B240" s="8"/>
      <c r="C240" s="10" t="str">
        <f>IFERROR(INDEX(Reference!$B$29:$B$200,MATCH(B240,Reference!$A$29:$A$200,0)),"")</f>
        <v/>
      </c>
      <c r="D240" s="13"/>
      <c r="E240" s="10" t="str">
        <f t="shared" si="3"/>
        <v/>
      </c>
      <c r="F240" s="8"/>
    </row>
    <row r="241" spans="1:6" ht="15" customHeight="1" x14ac:dyDescent="0.2">
      <c r="A241" s="9"/>
      <c r="B241" s="8"/>
      <c r="C241" s="10" t="str">
        <f>IFERROR(INDEX(Reference!$B$29:$B$200,MATCH(B241,Reference!$A$29:$A$200,0)),"")</f>
        <v/>
      </c>
      <c r="D241" s="13"/>
      <c r="E241" s="10" t="str">
        <f t="shared" si="3"/>
        <v/>
      </c>
      <c r="F241" s="8"/>
    </row>
    <row r="242" spans="1:6" ht="15" customHeight="1" x14ac:dyDescent="0.2">
      <c r="A242" s="9"/>
      <c r="B242" s="8"/>
      <c r="C242" s="10" t="str">
        <f>IFERROR(INDEX(Reference!$B$29:$B$200,MATCH(B242,Reference!$A$29:$A$200,0)),"")</f>
        <v/>
      </c>
      <c r="D242" s="13"/>
      <c r="E242" s="10" t="str">
        <f t="shared" si="3"/>
        <v/>
      </c>
      <c r="F242" s="8"/>
    </row>
    <row r="243" spans="1:6" ht="15" customHeight="1" x14ac:dyDescent="0.2">
      <c r="A243" s="9"/>
      <c r="B243" s="8"/>
      <c r="C243" s="10" t="str">
        <f>IFERROR(INDEX(Reference!$B$29:$B$200,MATCH(B243,Reference!$A$29:$A$200,0)),"")</f>
        <v/>
      </c>
      <c r="D243" s="13"/>
      <c r="E243" s="10" t="str">
        <f t="shared" si="3"/>
        <v/>
      </c>
      <c r="F243" s="8"/>
    </row>
    <row r="244" spans="1:6" ht="15" customHeight="1" x14ac:dyDescent="0.2">
      <c r="A244" s="9"/>
      <c r="B244" s="8"/>
      <c r="C244" s="10" t="str">
        <f>IFERROR(INDEX(Reference!$B$29:$B$200,MATCH(B244,Reference!$A$29:$A$200,0)),"")</f>
        <v/>
      </c>
      <c r="D244" s="13"/>
      <c r="E244" s="10" t="str">
        <f t="shared" si="3"/>
        <v/>
      </c>
      <c r="F244" s="8"/>
    </row>
    <row r="245" spans="1:6" ht="15" customHeight="1" x14ac:dyDescent="0.2">
      <c r="A245" s="9"/>
      <c r="B245" s="8"/>
      <c r="C245" s="10" t="str">
        <f>IFERROR(INDEX(Reference!$B$29:$B$200,MATCH(B245,Reference!$A$29:$A$200,0)),"")</f>
        <v/>
      </c>
      <c r="D245" s="13"/>
      <c r="E245" s="10" t="str">
        <f t="shared" si="3"/>
        <v/>
      </c>
      <c r="F245" s="8"/>
    </row>
    <row r="246" spans="1:6" ht="15" customHeight="1" x14ac:dyDescent="0.2">
      <c r="A246" s="9"/>
      <c r="B246" s="8"/>
      <c r="C246" s="10" t="str">
        <f>IFERROR(INDEX(Reference!$B$29:$B$200,MATCH(B246,Reference!$A$29:$A$200,0)),"")</f>
        <v/>
      </c>
      <c r="D246" s="13"/>
      <c r="E246" s="10" t="str">
        <f t="shared" si="3"/>
        <v/>
      </c>
      <c r="F246" s="8"/>
    </row>
    <row r="247" spans="1:6" ht="15" customHeight="1" x14ac:dyDescent="0.2">
      <c r="A247" s="9"/>
      <c r="B247" s="8"/>
      <c r="C247" s="10" t="str">
        <f>IFERROR(INDEX(Reference!$B$29:$B$200,MATCH(B247,Reference!$A$29:$A$200,0)),"")</f>
        <v/>
      </c>
      <c r="D247" s="13"/>
      <c r="E247" s="10" t="str">
        <f t="shared" si="3"/>
        <v/>
      </c>
      <c r="F247" s="8"/>
    </row>
    <row r="248" spans="1:6" ht="15" customHeight="1" x14ac:dyDescent="0.2">
      <c r="A248" s="9"/>
      <c r="B248" s="8"/>
      <c r="C248" s="10" t="str">
        <f>IFERROR(INDEX(Reference!$B$29:$B$200,MATCH(B248,Reference!$A$29:$A$200,0)),"")</f>
        <v/>
      </c>
      <c r="D248" s="13"/>
      <c r="E248" s="10" t="str">
        <f t="shared" si="3"/>
        <v/>
      </c>
      <c r="F248" s="8"/>
    </row>
    <row r="249" spans="1:6" ht="15" customHeight="1" x14ac:dyDescent="0.2">
      <c r="A249" s="9"/>
      <c r="B249" s="8"/>
      <c r="C249" s="10" t="str">
        <f>IFERROR(INDEX(Reference!$B$29:$B$200,MATCH(B249,Reference!$A$29:$A$200,0)),"")</f>
        <v/>
      </c>
      <c r="D249" s="13"/>
      <c r="E249" s="10" t="str">
        <f t="shared" si="3"/>
        <v/>
      </c>
      <c r="F249" s="8"/>
    </row>
    <row r="250" spans="1:6" ht="15" customHeight="1" x14ac:dyDescent="0.2">
      <c r="A250" s="9"/>
      <c r="B250" s="8"/>
      <c r="C250" s="10" t="str">
        <f>IFERROR(INDEX(Reference!$B$29:$B$200,MATCH(B250,Reference!$A$29:$A$200,0)),"")</f>
        <v/>
      </c>
      <c r="D250" s="13"/>
      <c r="E250" s="10" t="str">
        <f t="shared" si="3"/>
        <v/>
      </c>
      <c r="F250" s="8"/>
    </row>
    <row r="251" spans="1:6" ht="15" customHeight="1" x14ac:dyDescent="0.2">
      <c r="A251" s="9"/>
      <c r="B251" s="8"/>
      <c r="C251" s="10" t="str">
        <f>IFERROR(INDEX(Reference!$B$29:$B$200,MATCH(B251,Reference!$A$29:$A$200,0)),"")</f>
        <v/>
      </c>
      <c r="D251" s="13"/>
      <c r="E251" s="10" t="str">
        <f t="shared" si="3"/>
        <v/>
      </c>
      <c r="F251" s="8"/>
    </row>
    <row r="252" spans="1:6" ht="15" customHeight="1" x14ac:dyDescent="0.2">
      <c r="A252" s="9"/>
      <c r="B252" s="8"/>
      <c r="C252" s="10" t="str">
        <f>IFERROR(INDEX(Reference!$B$29:$B$200,MATCH(B252,Reference!$A$29:$A$200,0)),"")</f>
        <v/>
      </c>
      <c r="D252" s="13"/>
      <c r="E252" s="10" t="str">
        <f t="shared" si="3"/>
        <v/>
      </c>
      <c r="F252" s="8"/>
    </row>
    <row r="253" spans="1:6" ht="15" customHeight="1" x14ac:dyDescent="0.2">
      <c r="A253" s="9"/>
      <c r="B253" s="8"/>
      <c r="C253" s="10" t="str">
        <f>IFERROR(INDEX(Reference!$B$29:$B$200,MATCH(B253,Reference!$A$29:$A$200,0)),"")</f>
        <v/>
      </c>
      <c r="D253" s="13"/>
      <c r="E253" s="10" t="str">
        <f t="shared" si="3"/>
        <v/>
      </c>
      <c r="F253" s="8"/>
    </row>
    <row r="254" spans="1:6" ht="15" customHeight="1" x14ac:dyDescent="0.2">
      <c r="A254" s="9"/>
      <c r="B254" s="8"/>
      <c r="C254" s="10" t="str">
        <f>IFERROR(INDEX(Reference!$B$29:$B$200,MATCH(B254,Reference!$A$29:$A$200,0)),"")</f>
        <v/>
      </c>
      <c r="D254" s="13"/>
      <c r="E254" s="10" t="str">
        <f t="shared" si="3"/>
        <v/>
      </c>
      <c r="F254" s="8"/>
    </row>
    <row r="255" spans="1:6" ht="15" customHeight="1" x14ac:dyDescent="0.2">
      <c r="A255" s="9"/>
      <c r="B255" s="8"/>
      <c r="C255" s="10" t="str">
        <f>IFERROR(INDEX(Reference!$B$29:$B$200,MATCH(B255,Reference!$A$29:$A$200,0)),"")</f>
        <v/>
      </c>
      <c r="D255" s="13"/>
      <c r="E255" s="10" t="str">
        <f t="shared" si="3"/>
        <v/>
      </c>
      <c r="F255" s="8"/>
    </row>
    <row r="256" spans="1:6" ht="15" customHeight="1" x14ac:dyDescent="0.2">
      <c r="A256" s="9"/>
      <c r="B256" s="8"/>
      <c r="C256" s="10" t="str">
        <f>IFERROR(INDEX(Reference!$B$29:$B$200,MATCH(B256,Reference!$A$29:$A$200,0)),"")</f>
        <v/>
      </c>
      <c r="D256" s="13"/>
      <c r="E256" s="10" t="str">
        <f t="shared" si="3"/>
        <v/>
      </c>
      <c r="F256" s="8"/>
    </row>
    <row r="257" spans="1:6" ht="15" customHeight="1" x14ac:dyDescent="0.2">
      <c r="A257" s="9"/>
      <c r="B257" s="8"/>
      <c r="C257" s="10" t="str">
        <f>IFERROR(INDEX(Reference!$B$29:$B$200,MATCH(B257,Reference!$A$29:$A$200,0)),"")</f>
        <v/>
      </c>
      <c r="D257" s="13"/>
      <c r="E257" s="10" t="str">
        <f t="shared" si="3"/>
        <v/>
      </c>
      <c r="F257" s="8"/>
    </row>
    <row r="258" spans="1:6" ht="15" customHeight="1" x14ac:dyDescent="0.2">
      <c r="A258" s="9"/>
      <c r="B258" s="8"/>
      <c r="C258" s="10" t="str">
        <f>IFERROR(INDEX(Reference!$B$29:$B$200,MATCH(B258,Reference!$A$29:$A$200,0)),"")</f>
        <v/>
      </c>
      <c r="D258" s="13"/>
      <c r="E258" s="10" t="str">
        <f t="shared" ref="E258:E321" si="4">IF(A258="","",IF(MONTH(A258)&gt;=8,YEAR(A258)&amp;"-"&amp;RIGHT(YEAR(A258)+1,2),YEAR(A258)-1&amp;"-"&amp;RIGHT(YEAR(A258),2)))</f>
        <v/>
      </c>
      <c r="F258" s="8"/>
    </row>
    <row r="259" spans="1:6" ht="15" customHeight="1" x14ac:dyDescent="0.2">
      <c r="A259" s="9"/>
      <c r="B259" s="8"/>
      <c r="C259" s="10" t="str">
        <f>IFERROR(INDEX(Reference!$B$29:$B$200,MATCH(B259,Reference!$A$29:$A$200,0)),"")</f>
        <v/>
      </c>
      <c r="D259" s="13"/>
      <c r="E259" s="10" t="str">
        <f t="shared" si="4"/>
        <v/>
      </c>
      <c r="F259" s="8"/>
    </row>
    <row r="260" spans="1:6" ht="15" customHeight="1" x14ac:dyDescent="0.2">
      <c r="A260" s="9"/>
      <c r="B260" s="8"/>
      <c r="C260" s="10" t="str">
        <f>IFERROR(INDEX(Reference!$B$29:$B$200,MATCH(B260,Reference!$A$29:$A$200,0)),"")</f>
        <v/>
      </c>
      <c r="D260" s="13"/>
      <c r="E260" s="10" t="str">
        <f t="shared" si="4"/>
        <v/>
      </c>
      <c r="F260" s="8"/>
    </row>
    <row r="261" spans="1:6" ht="15" customHeight="1" x14ac:dyDescent="0.2">
      <c r="A261" s="9"/>
      <c r="B261" s="8"/>
      <c r="C261" s="10" t="str">
        <f>IFERROR(INDEX(Reference!$B$29:$B$200,MATCH(B261,Reference!$A$29:$A$200,0)),"")</f>
        <v/>
      </c>
      <c r="D261" s="13"/>
      <c r="E261" s="10" t="str">
        <f t="shared" si="4"/>
        <v/>
      </c>
      <c r="F261" s="8"/>
    </row>
    <row r="262" spans="1:6" ht="15" customHeight="1" x14ac:dyDescent="0.2">
      <c r="A262" s="9"/>
      <c r="B262" s="8"/>
      <c r="C262" s="10" t="str">
        <f>IFERROR(INDEX(Reference!$B$29:$B$200,MATCH(B262,Reference!$A$29:$A$200,0)),"")</f>
        <v/>
      </c>
      <c r="D262" s="13"/>
      <c r="E262" s="10" t="str">
        <f t="shared" si="4"/>
        <v/>
      </c>
      <c r="F262" s="8"/>
    </row>
    <row r="263" spans="1:6" ht="15" customHeight="1" x14ac:dyDescent="0.2">
      <c r="A263" s="9"/>
      <c r="B263" s="8"/>
      <c r="C263" s="10" t="str">
        <f>IFERROR(INDEX(Reference!$B$29:$B$200,MATCH(B263,Reference!$A$29:$A$200,0)),"")</f>
        <v/>
      </c>
      <c r="D263" s="13"/>
      <c r="E263" s="10" t="str">
        <f t="shared" si="4"/>
        <v/>
      </c>
      <c r="F263" s="8"/>
    </row>
    <row r="264" spans="1:6" ht="15" customHeight="1" x14ac:dyDescent="0.2">
      <c r="A264" s="9"/>
      <c r="B264" s="8"/>
      <c r="C264" s="10" t="str">
        <f>IFERROR(INDEX(Reference!$B$29:$B$200,MATCH(B264,Reference!$A$29:$A$200,0)),"")</f>
        <v/>
      </c>
      <c r="D264" s="13"/>
      <c r="E264" s="10" t="str">
        <f t="shared" si="4"/>
        <v/>
      </c>
      <c r="F264" s="8"/>
    </row>
    <row r="265" spans="1:6" ht="15" customHeight="1" x14ac:dyDescent="0.2">
      <c r="A265" s="9"/>
      <c r="B265" s="8"/>
      <c r="C265" s="10" t="str">
        <f>IFERROR(INDEX(Reference!$B$29:$B$200,MATCH(B265,Reference!$A$29:$A$200,0)),"")</f>
        <v/>
      </c>
      <c r="D265" s="13"/>
      <c r="E265" s="10" t="str">
        <f t="shared" si="4"/>
        <v/>
      </c>
      <c r="F265" s="8"/>
    </row>
    <row r="266" spans="1:6" ht="15" customHeight="1" x14ac:dyDescent="0.2">
      <c r="A266" s="9"/>
      <c r="B266" s="8"/>
      <c r="C266" s="10" t="str">
        <f>IFERROR(INDEX(Reference!$B$29:$B$200,MATCH(B266,Reference!$A$29:$A$200,0)),"")</f>
        <v/>
      </c>
      <c r="D266" s="13"/>
      <c r="E266" s="10" t="str">
        <f t="shared" si="4"/>
        <v/>
      </c>
      <c r="F266" s="8"/>
    </row>
    <row r="267" spans="1:6" ht="15" customHeight="1" x14ac:dyDescent="0.2">
      <c r="A267" s="9"/>
      <c r="B267" s="8"/>
      <c r="C267" s="10" t="str">
        <f>IFERROR(INDEX(Reference!$B$29:$B$200,MATCH(B267,Reference!$A$29:$A$200,0)),"")</f>
        <v/>
      </c>
      <c r="D267" s="13"/>
      <c r="E267" s="10" t="str">
        <f t="shared" si="4"/>
        <v/>
      </c>
      <c r="F267" s="8"/>
    </row>
    <row r="268" spans="1:6" ht="15" customHeight="1" x14ac:dyDescent="0.2">
      <c r="A268" s="9"/>
      <c r="B268" s="8"/>
      <c r="C268" s="10" t="str">
        <f>IFERROR(INDEX(Reference!$B$29:$B$200,MATCH(B268,Reference!$A$29:$A$200,0)),"")</f>
        <v/>
      </c>
      <c r="D268" s="13"/>
      <c r="E268" s="10" t="str">
        <f t="shared" si="4"/>
        <v/>
      </c>
      <c r="F268" s="8"/>
    </row>
    <row r="269" spans="1:6" ht="15" customHeight="1" x14ac:dyDescent="0.2">
      <c r="A269" s="9"/>
      <c r="B269" s="8"/>
      <c r="C269" s="10" t="str">
        <f>IFERROR(INDEX(Reference!$B$29:$B$200,MATCH(B269,Reference!$A$29:$A$200,0)),"")</f>
        <v/>
      </c>
      <c r="D269" s="13"/>
      <c r="E269" s="10" t="str">
        <f t="shared" si="4"/>
        <v/>
      </c>
      <c r="F269" s="8"/>
    </row>
    <row r="270" spans="1:6" ht="15" customHeight="1" x14ac:dyDescent="0.2">
      <c r="A270" s="9"/>
      <c r="B270" s="8"/>
      <c r="C270" s="10" t="str">
        <f>IFERROR(INDEX(Reference!$B$29:$B$200,MATCH(B270,Reference!$A$29:$A$200,0)),"")</f>
        <v/>
      </c>
      <c r="D270" s="13"/>
      <c r="E270" s="10" t="str">
        <f t="shared" si="4"/>
        <v/>
      </c>
      <c r="F270" s="8"/>
    </row>
    <row r="271" spans="1:6" ht="15" customHeight="1" x14ac:dyDescent="0.2">
      <c r="A271" s="9"/>
      <c r="B271" s="8"/>
      <c r="C271" s="10" t="str">
        <f>IFERROR(INDEX(Reference!$B$29:$B$200,MATCH(B271,Reference!$A$29:$A$200,0)),"")</f>
        <v/>
      </c>
      <c r="D271" s="13"/>
      <c r="E271" s="10" t="str">
        <f t="shared" si="4"/>
        <v/>
      </c>
      <c r="F271" s="8"/>
    </row>
    <row r="272" spans="1:6" ht="15" customHeight="1" x14ac:dyDescent="0.2">
      <c r="A272" s="9"/>
      <c r="B272" s="8"/>
      <c r="C272" s="10" t="str">
        <f>IFERROR(INDEX(Reference!$B$29:$B$200,MATCH(B272,Reference!$A$29:$A$200,0)),"")</f>
        <v/>
      </c>
      <c r="D272" s="13"/>
      <c r="E272" s="10" t="str">
        <f t="shared" si="4"/>
        <v/>
      </c>
      <c r="F272" s="8"/>
    </row>
    <row r="273" spans="1:6" ht="15" customHeight="1" x14ac:dyDescent="0.2">
      <c r="A273" s="9"/>
      <c r="B273" s="8"/>
      <c r="C273" s="10" t="str">
        <f>IFERROR(INDEX(Reference!$B$29:$B$200,MATCH(B273,Reference!$A$29:$A$200,0)),"")</f>
        <v/>
      </c>
      <c r="D273" s="13"/>
      <c r="E273" s="10" t="str">
        <f t="shared" si="4"/>
        <v/>
      </c>
      <c r="F273" s="8"/>
    </row>
    <row r="274" spans="1:6" ht="15" customHeight="1" x14ac:dyDescent="0.2">
      <c r="A274" s="9"/>
      <c r="B274" s="8"/>
      <c r="C274" s="10" t="str">
        <f>IFERROR(INDEX(Reference!$B$29:$B$200,MATCH(B274,Reference!$A$29:$A$200,0)),"")</f>
        <v/>
      </c>
      <c r="D274" s="13"/>
      <c r="E274" s="10" t="str">
        <f t="shared" si="4"/>
        <v/>
      </c>
      <c r="F274" s="8"/>
    </row>
    <row r="275" spans="1:6" ht="15" customHeight="1" x14ac:dyDescent="0.2">
      <c r="A275" s="9"/>
      <c r="B275" s="8"/>
      <c r="C275" s="10" t="str">
        <f>IFERROR(INDEX(Reference!$B$29:$B$200,MATCH(B275,Reference!$A$29:$A$200,0)),"")</f>
        <v/>
      </c>
      <c r="D275" s="13"/>
      <c r="E275" s="10" t="str">
        <f t="shared" si="4"/>
        <v/>
      </c>
      <c r="F275" s="8"/>
    </row>
    <row r="276" spans="1:6" ht="15" customHeight="1" x14ac:dyDescent="0.2">
      <c r="A276" s="9"/>
      <c r="B276" s="8"/>
      <c r="C276" s="10" t="str">
        <f>IFERROR(INDEX(Reference!$B$29:$B$200,MATCH(B276,Reference!$A$29:$A$200,0)),"")</f>
        <v/>
      </c>
      <c r="D276" s="13"/>
      <c r="E276" s="10" t="str">
        <f t="shared" si="4"/>
        <v/>
      </c>
      <c r="F276" s="8"/>
    </row>
    <row r="277" spans="1:6" ht="15" customHeight="1" x14ac:dyDescent="0.2">
      <c r="A277" s="9"/>
      <c r="B277" s="8"/>
      <c r="C277" s="10" t="str">
        <f>IFERROR(INDEX(Reference!$B$29:$B$200,MATCH(B277,Reference!$A$29:$A$200,0)),"")</f>
        <v/>
      </c>
      <c r="D277" s="13"/>
      <c r="E277" s="10" t="str">
        <f t="shared" si="4"/>
        <v/>
      </c>
      <c r="F277" s="8"/>
    </row>
    <row r="278" spans="1:6" ht="15" customHeight="1" x14ac:dyDescent="0.2">
      <c r="A278" s="9"/>
      <c r="B278" s="8"/>
      <c r="C278" s="10" t="str">
        <f>IFERROR(INDEX(Reference!$B$29:$B$200,MATCH(B278,Reference!$A$29:$A$200,0)),"")</f>
        <v/>
      </c>
      <c r="D278" s="13"/>
      <c r="E278" s="10" t="str">
        <f t="shared" si="4"/>
        <v/>
      </c>
      <c r="F278" s="8"/>
    </row>
    <row r="279" spans="1:6" ht="15" customHeight="1" x14ac:dyDescent="0.2">
      <c r="A279" s="9"/>
      <c r="B279" s="8"/>
      <c r="C279" s="10" t="str">
        <f>IFERROR(INDEX(Reference!$B$29:$B$200,MATCH(B279,Reference!$A$29:$A$200,0)),"")</f>
        <v/>
      </c>
      <c r="D279" s="13"/>
      <c r="E279" s="10" t="str">
        <f t="shared" si="4"/>
        <v/>
      </c>
      <c r="F279" s="8"/>
    </row>
    <row r="280" spans="1:6" ht="15" customHeight="1" x14ac:dyDescent="0.2">
      <c r="A280" s="9"/>
      <c r="B280" s="8"/>
      <c r="C280" s="10" t="str">
        <f>IFERROR(INDEX(Reference!$B$29:$B$200,MATCH(B280,Reference!$A$29:$A$200,0)),"")</f>
        <v/>
      </c>
      <c r="D280" s="13"/>
      <c r="E280" s="10" t="str">
        <f t="shared" si="4"/>
        <v/>
      </c>
      <c r="F280" s="8"/>
    </row>
    <row r="281" spans="1:6" ht="15" customHeight="1" x14ac:dyDescent="0.2">
      <c r="A281" s="9"/>
      <c r="B281" s="8"/>
      <c r="C281" s="10" t="str">
        <f>IFERROR(INDEX(Reference!$B$29:$B$200,MATCH(B281,Reference!$A$29:$A$200,0)),"")</f>
        <v/>
      </c>
      <c r="D281" s="13"/>
      <c r="E281" s="10" t="str">
        <f t="shared" si="4"/>
        <v/>
      </c>
      <c r="F281" s="8"/>
    </row>
    <row r="282" spans="1:6" ht="15" customHeight="1" x14ac:dyDescent="0.2">
      <c r="A282" s="9"/>
      <c r="B282" s="8"/>
      <c r="C282" s="10" t="str">
        <f>IFERROR(INDEX(Reference!$B$29:$B$200,MATCH(B282,Reference!$A$29:$A$200,0)),"")</f>
        <v/>
      </c>
      <c r="D282" s="13"/>
      <c r="E282" s="10" t="str">
        <f t="shared" si="4"/>
        <v/>
      </c>
      <c r="F282" s="8"/>
    </row>
    <row r="283" spans="1:6" ht="15" customHeight="1" x14ac:dyDescent="0.2">
      <c r="A283" s="9"/>
      <c r="B283" s="8"/>
      <c r="C283" s="10" t="str">
        <f>IFERROR(INDEX(Reference!$B$29:$B$200,MATCH(B283,Reference!$A$29:$A$200,0)),"")</f>
        <v/>
      </c>
      <c r="D283" s="13"/>
      <c r="E283" s="10" t="str">
        <f t="shared" si="4"/>
        <v/>
      </c>
      <c r="F283" s="8"/>
    </row>
    <row r="284" spans="1:6" ht="15" customHeight="1" x14ac:dyDescent="0.2">
      <c r="A284" s="9"/>
      <c r="B284" s="8"/>
      <c r="C284" s="10" t="str">
        <f>IFERROR(INDEX(Reference!$B$29:$B$200,MATCH(B284,Reference!$A$29:$A$200,0)),"")</f>
        <v/>
      </c>
      <c r="D284" s="13"/>
      <c r="E284" s="10" t="str">
        <f t="shared" si="4"/>
        <v/>
      </c>
      <c r="F284" s="8"/>
    </row>
    <row r="285" spans="1:6" ht="15" customHeight="1" x14ac:dyDescent="0.2">
      <c r="A285" s="9"/>
      <c r="B285" s="8"/>
      <c r="C285" s="10" t="str">
        <f>IFERROR(INDEX(Reference!$B$29:$B$200,MATCH(B285,Reference!$A$29:$A$200,0)),"")</f>
        <v/>
      </c>
      <c r="D285" s="13"/>
      <c r="E285" s="10" t="str">
        <f t="shared" si="4"/>
        <v/>
      </c>
      <c r="F285" s="8"/>
    </row>
    <row r="286" spans="1:6" ht="15" customHeight="1" x14ac:dyDescent="0.2">
      <c r="A286" s="9"/>
      <c r="B286" s="8"/>
      <c r="C286" s="10" t="str">
        <f>IFERROR(INDEX(Reference!$B$29:$B$200,MATCH(B286,Reference!$A$29:$A$200,0)),"")</f>
        <v/>
      </c>
      <c r="D286" s="13"/>
      <c r="E286" s="10" t="str">
        <f t="shared" si="4"/>
        <v/>
      </c>
      <c r="F286" s="8"/>
    </row>
    <row r="287" spans="1:6" ht="15" customHeight="1" x14ac:dyDescent="0.2">
      <c r="A287" s="9"/>
      <c r="B287" s="8"/>
      <c r="C287" s="10" t="str">
        <f>IFERROR(INDEX(Reference!$B$29:$B$200,MATCH(B287,Reference!$A$29:$A$200,0)),"")</f>
        <v/>
      </c>
      <c r="D287" s="13"/>
      <c r="E287" s="10" t="str">
        <f t="shared" si="4"/>
        <v/>
      </c>
      <c r="F287" s="8"/>
    </row>
    <row r="288" spans="1:6" ht="15" customHeight="1" x14ac:dyDescent="0.2">
      <c r="A288" s="9"/>
      <c r="B288" s="8"/>
      <c r="C288" s="10" t="str">
        <f>IFERROR(INDEX(Reference!$B$29:$B$200,MATCH(B288,Reference!$A$29:$A$200,0)),"")</f>
        <v/>
      </c>
      <c r="D288" s="13"/>
      <c r="E288" s="10" t="str">
        <f t="shared" si="4"/>
        <v/>
      </c>
      <c r="F288" s="8"/>
    </row>
    <row r="289" spans="1:6" ht="15" customHeight="1" x14ac:dyDescent="0.2">
      <c r="A289" s="9"/>
      <c r="B289" s="8"/>
      <c r="C289" s="10" t="str">
        <f>IFERROR(INDEX(Reference!$B$29:$B$200,MATCH(B289,Reference!$A$29:$A$200,0)),"")</f>
        <v/>
      </c>
      <c r="D289" s="13"/>
      <c r="E289" s="10" t="str">
        <f t="shared" si="4"/>
        <v/>
      </c>
      <c r="F289" s="8"/>
    </row>
    <row r="290" spans="1:6" ht="15" customHeight="1" x14ac:dyDescent="0.2">
      <c r="A290" s="9"/>
      <c r="B290" s="8"/>
      <c r="C290" s="10" t="str">
        <f>IFERROR(INDEX(Reference!$B$29:$B$200,MATCH(B290,Reference!$A$29:$A$200,0)),"")</f>
        <v/>
      </c>
      <c r="D290" s="13"/>
      <c r="E290" s="10" t="str">
        <f t="shared" si="4"/>
        <v/>
      </c>
      <c r="F290" s="8"/>
    </row>
    <row r="291" spans="1:6" ht="15" customHeight="1" x14ac:dyDescent="0.2">
      <c r="A291" s="9"/>
      <c r="B291" s="8"/>
      <c r="C291" s="10" t="str">
        <f>IFERROR(INDEX(Reference!$B$29:$B$200,MATCH(B291,Reference!$A$29:$A$200,0)),"")</f>
        <v/>
      </c>
      <c r="D291" s="13"/>
      <c r="E291" s="10" t="str">
        <f t="shared" si="4"/>
        <v/>
      </c>
      <c r="F291" s="8"/>
    </row>
    <row r="292" spans="1:6" ht="15" customHeight="1" x14ac:dyDescent="0.2">
      <c r="A292" s="9"/>
      <c r="B292" s="8"/>
      <c r="C292" s="10" t="str">
        <f>IFERROR(INDEX(Reference!$B$29:$B$200,MATCH(B292,Reference!$A$29:$A$200,0)),"")</f>
        <v/>
      </c>
      <c r="D292" s="13"/>
      <c r="E292" s="10" t="str">
        <f t="shared" si="4"/>
        <v/>
      </c>
      <c r="F292" s="8"/>
    </row>
    <row r="293" spans="1:6" ht="15" customHeight="1" x14ac:dyDescent="0.2">
      <c r="A293" s="9"/>
      <c r="B293" s="8"/>
      <c r="C293" s="10" t="str">
        <f>IFERROR(INDEX(Reference!$B$29:$B$200,MATCH(B293,Reference!$A$29:$A$200,0)),"")</f>
        <v/>
      </c>
      <c r="D293" s="13"/>
      <c r="E293" s="10" t="str">
        <f t="shared" si="4"/>
        <v/>
      </c>
      <c r="F293" s="8"/>
    </row>
    <row r="294" spans="1:6" ht="15" customHeight="1" x14ac:dyDescent="0.2">
      <c r="A294" s="9"/>
      <c r="B294" s="8"/>
      <c r="C294" s="10" t="str">
        <f>IFERROR(INDEX(Reference!$B$29:$B$200,MATCH(B294,Reference!$A$29:$A$200,0)),"")</f>
        <v/>
      </c>
      <c r="D294" s="13"/>
      <c r="E294" s="10" t="str">
        <f t="shared" si="4"/>
        <v/>
      </c>
      <c r="F294" s="8"/>
    </row>
    <row r="295" spans="1:6" ht="15" customHeight="1" x14ac:dyDescent="0.2">
      <c r="A295" s="9"/>
      <c r="B295" s="8"/>
      <c r="C295" s="10" t="str">
        <f>IFERROR(INDEX(Reference!$B$29:$B$200,MATCH(B295,Reference!$A$29:$A$200,0)),"")</f>
        <v/>
      </c>
      <c r="D295" s="13"/>
      <c r="E295" s="10" t="str">
        <f t="shared" si="4"/>
        <v/>
      </c>
      <c r="F295" s="8"/>
    </row>
    <row r="296" spans="1:6" ht="15" customHeight="1" x14ac:dyDescent="0.2">
      <c r="A296" s="9"/>
      <c r="B296" s="8"/>
      <c r="C296" s="10" t="str">
        <f>IFERROR(INDEX(Reference!$B$29:$B$200,MATCH(B296,Reference!$A$29:$A$200,0)),"")</f>
        <v/>
      </c>
      <c r="D296" s="13"/>
      <c r="E296" s="10" t="str">
        <f t="shared" si="4"/>
        <v/>
      </c>
      <c r="F296" s="8"/>
    </row>
    <row r="297" spans="1:6" ht="15" customHeight="1" x14ac:dyDescent="0.2">
      <c r="A297" s="9"/>
      <c r="B297" s="8"/>
      <c r="C297" s="10" t="str">
        <f>IFERROR(INDEX(Reference!$B$29:$B$200,MATCH(B297,Reference!$A$29:$A$200,0)),"")</f>
        <v/>
      </c>
      <c r="D297" s="13"/>
      <c r="E297" s="10" t="str">
        <f t="shared" si="4"/>
        <v/>
      </c>
      <c r="F297" s="8"/>
    </row>
    <row r="298" spans="1:6" ht="15" customHeight="1" x14ac:dyDescent="0.2">
      <c r="A298" s="9"/>
      <c r="B298" s="8"/>
      <c r="C298" s="10" t="str">
        <f>IFERROR(INDEX(Reference!$B$29:$B$200,MATCH(B298,Reference!$A$29:$A$200,0)),"")</f>
        <v/>
      </c>
      <c r="D298" s="13"/>
      <c r="E298" s="10" t="str">
        <f t="shared" si="4"/>
        <v/>
      </c>
      <c r="F298" s="8"/>
    </row>
    <row r="299" spans="1:6" ht="15" customHeight="1" x14ac:dyDescent="0.2">
      <c r="A299" s="9"/>
      <c r="B299" s="8"/>
      <c r="C299" s="10" t="str">
        <f>IFERROR(INDEX(Reference!$B$29:$B$200,MATCH(B299,Reference!$A$29:$A$200,0)),"")</f>
        <v/>
      </c>
      <c r="D299" s="13"/>
      <c r="E299" s="10" t="str">
        <f t="shared" si="4"/>
        <v/>
      </c>
      <c r="F299" s="8"/>
    </row>
    <row r="300" spans="1:6" ht="15" customHeight="1" x14ac:dyDescent="0.2">
      <c r="A300" s="9"/>
      <c r="B300" s="8"/>
      <c r="C300" s="10" t="str">
        <f>IFERROR(INDEX(Reference!$B$29:$B$200,MATCH(B300,Reference!$A$29:$A$200,0)),"")</f>
        <v/>
      </c>
      <c r="D300" s="13"/>
      <c r="E300" s="10" t="str">
        <f t="shared" si="4"/>
        <v/>
      </c>
      <c r="F300" s="8"/>
    </row>
    <row r="301" spans="1:6" ht="15" customHeight="1" x14ac:dyDescent="0.2">
      <c r="A301" s="9"/>
      <c r="B301" s="8"/>
      <c r="C301" s="10" t="str">
        <f>IFERROR(INDEX(Reference!$B$29:$B$200,MATCH(B301,Reference!$A$29:$A$200,0)),"")</f>
        <v/>
      </c>
      <c r="D301" s="13"/>
      <c r="E301" s="10" t="str">
        <f t="shared" si="4"/>
        <v/>
      </c>
      <c r="F301" s="8"/>
    </row>
    <row r="302" spans="1:6" ht="15" customHeight="1" x14ac:dyDescent="0.2">
      <c r="A302" s="9"/>
      <c r="B302" s="8"/>
      <c r="C302" s="10" t="str">
        <f>IFERROR(INDEX(Reference!$B$29:$B$200,MATCH(B302,Reference!$A$29:$A$200,0)),"")</f>
        <v/>
      </c>
      <c r="D302" s="13"/>
      <c r="E302" s="10" t="str">
        <f t="shared" si="4"/>
        <v/>
      </c>
      <c r="F302" s="8"/>
    </row>
    <row r="303" spans="1:6" ht="15" customHeight="1" x14ac:dyDescent="0.2">
      <c r="A303" s="9"/>
      <c r="B303" s="8"/>
      <c r="C303" s="10" t="str">
        <f>IFERROR(INDEX(Reference!$B$29:$B$200,MATCH(B303,Reference!$A$29:$A$200,0)),"")</f>
        <v/>
      </c>
      <c r="D303" s="13"/>
      <c r="E303" s="10" t="str">
        <f t="shared" si="4"/>
        <v/>
      </c>
      <c r="F303" s="8"/>
    </row>
    <row r="304" spans="1:6" ht="15" customHeight="1" x14ac:dyDescent="0.2">
      <c r="A304" s="9"/>
      <c r="B304" s="8"/>
      <c r="C304" s="10" t="str">
        <f>IFERROR(INDEX(Reference!$B$29:$B$200,MATCH(B304,Reference!$A$29:$A$200,0)),"")</f>
        <v/>
      </c>
      <c r="D304" s="13"/>
      <c r="E304" s="10" t="str">
        <f t="shared" si="4"/>
        <v/>
      </c>
      <c r="F304" s="8"/>
    </row>
    <row r="305" spans="1:6" ht="15" customHeight="1" x14ac:dyDescent="0.2">
      <c r="A305" s="9"/>
      <c r="B305" s="8"/>
      <c r="C305" s="10" t="str">
        <f>IFERROR(INDEX(Reference!$B$29:$B$200,MATCH(B305,Reference!$A$29:$A$200,0)),"")</f>
        <v/>
      </c>
      <c r="D305" s="13"/>
      <c r="E305" s="10" t="str">
        <f t="shared" si="4"/>
        <v/>
      </c>
      <c r="F305" s="8"/>
    </row>
    <row r="306" spans="1:6" ht="15" customHeight="1" x14ac:dyDescent="0.2">
      <c r="A306" s="9"/>
      <c r="B306" s="8"/>
      <c r="C306" s="10" t="str">
        <f>IFERROR(INDEX(Reference!$B$29:$B$200,MATCH(B306,Reference!$A$29:$A$200,0)),"")</f>
        <v/>
      </c>
      <c r="D306" s="13"/>
      <c r="E306" s="10" t="str">
        <f t="shared" si="4"/>
        <v/>
      </c>
      <c r="F306" s="8"/>
    </row>
    <row r="307" spans="1:6" ht="15" customHeight="1" x14ac:dyDescent="0.2">
      <c r="A307" s="9"/>
      <c r="B307" s="8"/>
      <c r="C307" s="10" t="str">
        <f>IFERROR(INDEX(Reference!$B$29:$B$200,MATCH(B307,Reference!$A$29:$A$200,0)),"")</f>
        <v/>
      </c>
      <c r="D307" s="13"/>
      <c r="E307" s="10" t="str">
        <f t="shared" si="4"/>
        <v/>
      </c>
      <c r="F307" s="8"/>
    </row>
    <row r="308" spans="1:6" ht="15" customHeight="1" x14ac:dyDescent="0.2">
      <c r="A308" s="9"/>
      <c r="B308" s="8"/>
      <c r="C308" s="10" t="str">
        <f>IFERROR(INDEX(Reference!$B$29:$B$200,MATCH(B308,Reference!$A$29:$A$200,0)),"")</f>
        <v/>
      </c>
      <c r="D308" s="13"/>
      <c r="E308" s="10" t="str">
        <f t="shared" si="4"/>
        <v/>
      </c>
      <c r="F308" s="8"/>
    </row>
    <row r="309" spans="1:6" ht="15" customHeight="1" x14ac:dyDescent="0.2">
      <c r="A309" s="9"/>
      <c r="B309" s="8"/>
      <c r="C309" s="10" t="str">
        <f>IFERROR(INDEX(Reference!$B$29:$B$200,MATCH(B309,Reference!$A$29:$A$200,0)),"")</f>
        <v/>
      </c>
      <c r="D309" s="13"/>
      <c r="E309" s="10" t="str">
        <f t="shared" si="4"/>
        <v/>
      </c>
      <c r="F309" s="8"/>
    </row>
    <row r="310" spans="1:6" ht="15" customHeight="1" x14ac:dyDescent="0.2">
      <c r="A310" s="9"/>
      <c r="B310" s="8"/>
      <c r="C310" s="10" t="str">
        <f>IFERROR(INDEX(Reference!$B$29:$B$200,MATCH(B310,Reference!$A$29:$A$200,0)),"")</f>
        <v/>
      </c>
      <c r="D310" s="13"/>
      <c r="E310" s="10" t="str">
        <f t="shared" si="4"/>
        <v/>
      </c>
      <c r="F310" s="8"/>
    </row>
    <row r="311" spans="1:6" ht="15" customHeight="1" x14ac:dyDescent="0.2">
      <c r="A311" s="9"/>
      <c r="B311" s="8"/>
      <c r="C311" s="10" t="str">
        <f>IFERROR(INDEX(Reference!$B$29:$B$200,MATCH(B311,Reference!$A$29:$A$200,0)),"")</f>
        <v/>
      </c>
      <c r="D311" s="13"/>
      <c r="E311" s="10" t="str">
        <f t="shared" si="4"/>
        <v/>
      </c>
      <c r="F311" s="8"/>
    </row>
    <row r="312" spans="1:6" ht="15" customHeight="1" x14ac:dyDescent="0.2">
      <c r="A312" s="9"/>
      <c r="B312" s="8"/>
      <c r="C312" s="10" t="str">
        <f>IFERROR(INDEX(Reference!$B$29:$B$200,MATCH(B312,Reference!$A$29:$A$200,0)),"")</f>
        <v/>
      </c>
      <c r="D312" s="13"/>
      <c r="E312" s="10" t="str">
        <f t="shared" si="4"/>
        <v/>
      </c>
      <c r="F312" s="8"/>
    </row>
    <row r="313" spans="1:6" ht="15" customHeight="1" x14ac:dyDescent="0.2">
      <c r="A313" s="9"/>
      <c r="B313" s="8"/>
      <c r="C313" s="10" t="str">
        <f>IFERROR(INDEX(Reference!$B$29:$B$200,MATCH(B313,Reference!$A$29:$A$200,0)),"")</f>
        <v/>
      </c>
      <c r="D313" s="13"/>
      <c r="E313" s="10" t="str">
        <f t="shared" si="4"/>
        <v/>
      </c>
      <c r="F313" s="8"/>
    </row>
    <row r="314" spans="1:6" ht="15" customHeight="1" x14ac:dyDescent="0.2">
      <c r="A314" s="9"/>
      <c r="B314" s="8"/>
      <c r="C314" s="10" t="str">
        <f>IFERROR(INDEX(Reference!$B$29:$B$200,MATCH(B314,Reference!$A$29:$A$200,0)),"")</f>
        <v/>
      </c>
      <c r="D314" s="13"/>
      <c r="E314" s="10" t="str">
        <f t="shared" si="4"/>
        <v/>
      </c>
      <c r="F314" s="8"/>
    </row>
    <row r="315" spans="1:6" ht="15" customHeight="1" x14ac:dyDescent="0.2">
      <c r="A315" s="9"/>
      <c r="B315" s="8"/>
      <c r="C315" s="10" t="str">
        <f>IFERROR(INDEX(Reference!$B$29:$B$200,MATCH(B315,Reference!$A$29:$A$200,0)),"")</f>
        <v/>
      </c>
      <c r="D315" s="13"/>
      <c r="E315" s="10" t="str">
        <f t="shared" si="4"/>
        <v/>
      </c>
      <c r="F315" s="8"/>
    </row>
    <row r="316" spans="1:6" ht="15" customHeight="1" x14ac:dyDescent="0.2">
      <c r="A316" s="9"/>
      <c r="B316" s="8"/>
      <c r="C316" s="10" t="str">
        <f>IFERROR(INDEX(Reference!$B$29:$B$200,MATCH(B316,Reference!$A$29:$A$200,0)),"")</f>
        <v/>
      </c>
      <c r="D316" s="13"/>
      <c r="E316" s="10" t="str">
        <f t="shared" si="4"/>
        <v/>
      </c>
      <c r="F316" s="8"/>
    </row>
    <row r="317" spans="1:6" ht="15" customHeight="1" x14ac:dyDescent="0.2">
      <c r="A317" s="9"/>
      <c r="B317" s="8"/>
      <c r="C317" s="10" t="str">
        <f>IFERROR(INDEX(Reference!$B$29:$B$200,MATCH(B317,Reference!$A$29:$A$200,0)),"")</f>
        <v/>
      </c>
      <c r="D317" s="13"/>
      <c r="E317" s="10" t="str">
        <f t="shared" si="4"/>
        <v/>
      </c>
      <c r="F317" s="8"/>
    </row>
    <row r="318" spans="1:6" ht="15" customHeight="1" x14ac:dyDescent="0.2">
      <c r="A318" s="9"/>
      <c r="B318" s="8"/>
      <c r="C318" s="10" t="str">
        <f>IFERROR(INDEX(Reference!$B$29:$B$200,MATCH(B318,Reference!$A$29:$A$200,0)),"")</f>
        <v/>
      </c>
      <c r="D318" s="13"/>
      <c r="E318" s="10" t="str">
        <f t="shared" si="4"/>
        <v/>
      </c>
      <c r="F318" s="8"/>
    </row>
    <row r="319" spans="1:6" ht="15" customHeight="1" x14ac:dyDescent="0.2">
      <c r="A319" s="9"/>
      <c r="B319" s="8"/>
      <c r="C319" s="10" t="str">
        <f>IFERROR(INDEX(Reference!$B$29:$B$200,MATCH(B319,Reference!$A$29:$A$200,0)),"")</f>
        <v/>
      </c>
      <c r="D319" s="13"/>
      <c r="E319" s="10" t="str">
        <f t="shared" si="4"/>
        <v/>
      </c>
      <c r="F319" s="8"/>
    </row>
    <row r="320" spans="1:6" ht="15" customHeight="1" x14ac:dyDescent="0.2">
      <c r="A320" s="9"/>
      <c r="B320" s="8"/>
      <c r="C320" s="10" t="str">
        <f>IFERROR(INDEX(Reference!$B$29:$B$200,MATCH(B320,Reference!$A$29:$A$200,0)),"")</f>
        <v/>
      </c>
      <c r="D320" s="13"/>
      <c r="E320" s="10" t="str">
        <f t="shared" si="4"/>
        <v/>
      </c>
      <c r="F320" s="8"/>
    </row>
    <row r="321" spans="1:6" ht="15" customHeight="1" x14ac:dyDescent="0.2">
      <c r="A321" s="9"/>
      <c r="B321" s="8"/>
      <c r="C321" s="10" t="str">
        <f>IFERROR(INDEX(Reference!$B$29:$B$200,MATCH(B321,Reference!$A$29:$A$200,0)),"")</f>
        <v/>
      </c>
      <c r="D321" s="13"/>
      <c r="E321" s="10" t="str">
        <f t="shared" si="4"/>
        <v/>
      </c>
      <c r="F321" s="8"/>
    </row>
    <row r="322" spans="1:6" ht="15" customHeight="1" x14ac:dyDescent="0.2">
      <c r="A322" s="9"/>
      <c r="B322" s="8"/>
      <c r="C322" s="10" t="str">
        <f>IFERROR(INDEX(Reference!$B$29:$B$200,MATCH(B322,Reference!$A$29:$A$200,0)),"")</f>
        <v/>
      </c>
      <c r="D322" s="13"/>
      <c r="E322" s="10" t="str">
        <f t="shared" ref="E322:E385" si="5">IF(A322="","",IF(MONTH(A322)&gt;=8,YEAR(A322)&amp;"-"&amp;RIGHT(YEAR(A322)+1,2),YEAR(A322)-1&amp;"-"&amp;RIGHT(YEAR(A322),2)))</f>
        <v/>
      </c>
      <c r="F322" s="8"/>
    </row>
    <row r="323" spans="1:6" ht="15" customHeight="1" x14ac:dyDescent="0.2">
      <c r="A323" s="9"/>
      <c r="B323" s="8"/>
      <c r="C323" s="10" t="str">
        <f>IFERROR(INDEX(Reference!$B$29:$B$200,MATCH(B323,Reference!$A$29:$A$200,0)),"")</f>
        <v/>
      </c>
      <c r="D323" s="13"/>
      <c r="E323" s="10" t="str">
        <f t="shared" si="5"/>
        <v/>
      </c>
      <c r="F323" s="8"/>
    </row>
    <row r="324" spans="1:6" ht="15" customHeight="1" x14ac:dyDescent="0.2">
      <c r="A324" s="9"/>
      <c r="B324" s="8"/>
      <c r="C324" s="10" t="str">
        <f>IFERROR(INDEX(Reference!$B$29:$B$200,MATCH(B324,Reference!$A$29:$A$200,0)),"")</f>
        <v/>
      </c>
      <c r="D324" s="13"/>
      <c r="E324" s="10" t="str">
        <f t="shared" si="5"/>
        <v/>
      </c>
      <c r="F324" s="8"/>
    </row>
    <row r="325" spans="1:6" ht="15" customHeight="1" x14ac:dyDescent="0.2">
      <c r="A325" s="9"/>
      <c r="B325" s="8"/>
      <c r="C325" s="10" t="str">
        <f>IFERROR(INDEX(Reference!$B$29:$B$200,MATCH(B325,Reference!$A$29:$A$200,0)),"")</f>
        <v/>
      </c>
      <c r="D325" s="13"/>
      <c r="E325" s="10" t="str">
        <f t="shared" si="5"/>
        <v/>
      </c>
      <c r="F325" s="8"/>
    </row>
    <row r="326" spans="1:6" ht="15" customHeight="1" x14ac:dyDescent="0.2">
      <c r="A326" s="9"/>
      <c r="B326" s="8"/>
      <c r="C326" s="10" t="str">
        <f>IFERROR(INDEX(Reference!$B$29:$B$200,MATCH(B326,Reference!$A$29:$A$200,0)),"")</f>
        <v/>
      </c>
      <c r="D326" s="13"/>
      <c r="E326" s="10" t="str">
        <f t="shared" si="5"/>
        <v/>
      </c>
      <c r="F326" s="8"/>
    </row>
    <row r="327" spans="1:6" ht="15" customHeight="1" x14ac:dyDescent="0.2">
      <c r="A327" s="9"/>
      <c r="B327" s="8"/>
      <c r="C327" s="10" t="str">
        <f>IFERROR(INDEX(Reference!$B$29:$B$200,MATCH(B327,Reference!$A$29:$A$200,0)),"")</f>
        <v/>
      </c>
      <c r="D327" s="13"/>
      <c r="E327" s="10" t="str">
        <f t="shared" si="5"/>
        <v/>
      </c>
      <c r="F327" s="8"/>
    </row>
    <row r="328" spans="1:6" ht="15" customHeight="1" x14ac:dyDescent="0.2">
      <c r="A328" s="9"/>
      <c r="B328" s="8"/>
      <c r="C328" s="10" t="str">
        <f>IFERROR(INDEX(Reference!$B$29:$B$200,MATCH(B328,Reference!$A$29:$A$200,0)),"")</f>
        <v/>
      </c>
      <c r="D328" s="13"/>
      <c r="E328" s="10" t="str">
        <f t="shared" si="5"/>
        <v/>
      </c>
      <c r="F328" s="8"/>
    </row>
    <row r="329" spans="1:6" ht="15" customHeight="1" x14ac:dyDescent="0.2">
      <c r="A329" s="9"/>
      <c r="B329" s="8"/>
      <c r="C329" s="10" t="str">
        <f>IFERROR(INDEX(Reference!$B$29:$B$200,MATCH(B329,Reference!$A$29:$A$200,0)),"")</f>
        <v/>
      </c>
      <c r="D329" s="13"/>
      <c r="E329" s="10" t="str">
        <f t="shared" si="5"/>
        <v/>
      </c>
      <c r="F329" s="8"/>
    </row>
    <row r="330" spans="1:6" ht="15" customHeight="1" x14ac:dyDescent="0.2">
      <c r="A330" s="9"/>
      <c r="B330" s="8"/>
      <c r="C330" s="10" t="str">
        <f>IFERROR(INDEX(Reference!$B$29:$B$200,MATCH(B330,Reference!$A$29:$A$200,0)),"")</f>
        <v/>
      </c>
      <c r="D330" s="13"/>
      <c r="E330" s="10" t="str">
        <f t="shared" si="5"/>
        <v/>
      </c>
      <c r="F330" s="8"/>
    </row>
    <row r="331" spans="1:6" ht="15" customHeight="1" x14ac:dyDescent="0.2">
      <c r="A331" s="9"/>
      <c r="B331" s="8"/>
      <c r="C331" s="10" t="str">
        <f>IFERROR(INDEX(Reference!$B$29:$B$200,MATCH(B331,Reference!$A$29:$A$200,0)),"")</f>
        <v/>
      </c>
      <c r="D331" s="13"/>
      <c r="E331" s="10" t="str">
        <f t="shared" si="5"/>
        <v/>
      </c>
      <c r="F331" s="8"/>
    </row>
    <row r="332" spans="1:6" ht="15" customHeight="1" x14ac:dyDescent="0.2">
      <c r="A332" s="9"/>
      <c r="B332" s="8"/>
      <c r="C332" s="10" t="str">
        <f>IFERROR(INDEX(Reference!$B$29:$B$200,MATCH(B332,Reference!$A$29:$A$200,0)),"")</f>
        <v/>
      </c>
      <c r="D332" s="13"/>
      <c r="E332" s="10" t="str">
        <f t="shared" si="5"/>
        <v/>
      </c>
      <c r="F332" s="8"/>
    </row>
    <row r="333" spans="1:6" ht="15" customHeight="1" x14ac:dyDescent="0.2">
      <c r="A333" s="9"/>
      <c r="B333" s="8"/>
      <c r="C333" s="10" t="str">
        <f>IFERROR(INDEX(Reference!$B$29:$B$200,MATCH(B333,Reference!$A$29:$A$200,0)),"")</f>
        <v/>
      </c>
      <c r="D333" s="13"/>
      <c r="E333" s="10" t="str">
        <f t="shared" si="5"/>
        <v/>
      </c>
      <c r="F333" s="8"/>
    </row>
    <row r="334" spans="1:6" ht="15" customHeight="1" x14ac:dyDescent="0.2">
      <c r="A334" s="9"/>
      <c r="B334" s="8"/>
      <c r="C334" s="10" t="str">
        <f>IFERROR(INDEX(Reference!$B$29:$B$200,MATCH(B334,Reference!$A$29:$A$200,0)),"")</f>
        <v/>
      </c>
      <c r="D334" s="13"/>
      <c r="E334" s="10" t="str">
        <f t="shared" si="5"/>
        <v/>
      </c>
      <c r="F334" s="8"/>
    </row>
    <row r="335" spans="1:6" ht="15" customHeight="1" x14ac:dyDescent="0.2">
      <c r="A335" s="9"/>
      <c r="B335" s="8"/>
      <c r="C335" s="10" t="str">
        <f>IFERROR(INDEX(Reference!$B$29:$B$200,MATCH(B335,Reference!$A$29:$A$200,0)),"")</f>
        <v/>
      </c>
      <c r="D335" s="13"/>
      <c r="E335" s="10" t="str">
        <f t="shared" si="5"/>
        <v/>
      </c>
      <c r="F335" s="8"/>
    </row>
    <row r="336" spans="1:6" ht="15" customHeight="1" x14ac:dyDescent="0.2">
      <c r="A336" s="9"/>
      <c r="B336" s="8"/>
      <c r="C336" s="10" t="str">
        <f>IFERROR(INDEX(Reference!$B$29:$B$200,MATCH(B336,Reference!$A$29:$A$200,0)),"")</f>
        <v/>
      </c>
      <c r="D336" s="13"/>
      <c r="E336" s="10" t="str">
        <f t="shared" si="5"/>
        <v/>
      </c>
      <c r="F336" s="8"/>
    </row>
    <row r="337" spans="1:6" ht="15" customHeight="1" x14ac:dyDescent="0.2">
      <c r="A337" s="9"/>
      <c r="B337" s="8"/>
      <c r="C337" s="10" t="str">
        <f>IFERROR(INDEX(Reference!$B$29:$B$200,MATCH(B337,Reference!$A$29:$A$200,0)),"")</f>
        <v/>
      </c>
      <c r="D337" s="13"/>
      <c r="E337" s="10" t="str">
        <f t="shared" si="5"/>
        <v/>
      </c>
      <c r="F337" s="8"/>
    </row>
    <row r="338" spans="1:6" ht="15" customHeight="1" x14ac:dyDescent="0.2">
      <c r="A338" s="9"/>
      <c r="B338" s="8"/>
      <c r="C338" s="10" t="str">
        <f>IFERROR(INDEX(Reference!$B$29:$B$200,MATCH(B338,Reference!$A$29:$A$200,0)),"")</f>
        <v/>
      </c>
      <c r="D338" s="13"/>
      <c r="E338" s="10" t="str">
        <f t="shared" si="5"/>
        <v/>
      </c>
      <c r="F338" s="8"/>
    </row>
    <row r="339" spans="1:6" ht="15" customHeight="1" x14ac:dyDescent="0.2">
      <c r="A339" s="9"/>
      <c r="B339" s="8"/>
      <c r="C339" s="10" t="str">
        <f>IFERROR(INDEX(Reference!$B$29:$B$200,MATCH(B339,Reference!$A$29:$A$200,0)),"")</f>
        <v/>
      </c>
      <c r="D339" s="13"/>
      <c r="E339" s="10" t="str">
        <f t="shared" si="5"/>
        <v/>
      </c>
      <c r="F339" s="8"/>
    </row>
    <row r="340" spans="1:6" ht="15" customHeight="1" x14ac:dyDescent="0.2">
      <c r="A340" s="9"/>
      <c r="B340" s="8"/>
      <c r="C340" s="10" t="str">
        <f>IFERROR(INDEX(Reference!$B$29:$B$200,MATCH(B340,Reference!$A$29:$A$200,0)),"")</f>
        <v/>
      </c>
      <c r="D340" s="13"/>
      <c r="E340" s="10" t="str">
        <f t="shared" si="5"/>
        <v/>
      </c>
      <c r="F340" s="8"/>
    </row>
    <row r="341" spans="1:6" ht="15" customHeight="1" x14ac:dyDescent="0.2">
      <c r="A341" s="9"/>
      <c r="B341" s="8"/>
      <c r="C341" s="10" t="str">
        <f>IFERROR(INDEX(Reference!$B$29:$B$200,MATCH(B341,Reference!$A$29:$A$200,0)),"")</f>
        <v/>
      </c>
      <c r="D341" s="13"/>
      <c r="E341" s="10" t="str">
        <f t="shared" si="5"/>
        <v/>
      </c>
      <c r="F341" s="8"/>
    </row>
    <row r="342" spans="1:6" ht="15" customHeight="1" x14ac:dyDescent="0.2">
      <c r="A342" s="9"/>
      <c r="B342" s="8"/>
      <c r="C342" s="10" t="str">
        <f>IFERROR(INDEX(Reference!$B$29:$B$200,MATCH(B342,Reference!$A$29:$A$200,0)),"")</f>
        <v/>
      </c>
      <c r="D342" s="13"/>
      <c r="E342" s="10" t="str">
        <f t="shared" si="5"/>
        <v/>
      </c>
      <c r="F342" s="8"/>
    </row>
    <row r="343" spans="1:6" ht="15" customHeight="1" x14ac:dyDescent="0.2">
      <c r="A343" s="9"/>
      <c r="B343" s="8"/>
      <c r="C343" s="10" t="str">
        <f>IFERROR(INDEX(Reference!$B$29:$B$200,MATCH(B343,Reference!$A$29:$A$200,0)),"")</f>
        <v/>
      </c>
      <c r="D343" s="13"/>
      <c r="E343" s="10" t="str">
        <f t="shared" si="5"/>
        <v/>
      </c>
      <c r="F343" s="8"/>
    </row>
    <row r="344" spans="1:6" ht="15" customHeight="1" x14ac:dyDescent="0.2">
      <c r="A344" s="9"/>
      <c r="B344" s="8"/>
      <c r="C344" s="10" t="str">
        <f>IFERROR(INDEX(Reference!$B$29:$B$200,MATCH(B344,Reference!$A$29:$A$200,0)),"")</f>
        <v/>
      </c>
      <c r="D344" s="13"/>
      <c r="E344" s="10" t="str">
        <f t="shared" si="5"/>
        <v/>
      </c>
      <c r="F344" s="8"/>
    </row>
    <row r="345" spans="1:6" ht="15" customHeight="1" x14ac:dyDescent="0.2">
      <c r="A345" s="9"/>
      <c r="B345" s="8"/>
      <c r="C345" s="10" t="str">
        <f>IFERROR(INDEX(Reference!$B$29:$B$200,MATCH(B345,Reference!$A$29:$A$200,0)),"")</f>
        <v/>
      </c>
      <c r="D345" s="13"/>
      <c r="E345" s="10" t="str">
        <f t="shared" si="5"/>
        <v/>
      </c>
      <c r="F345" s="8"/>
    </row>
    <row r="346" spans="1:6" ht="15" customHeight="1" x14ac:dyDescent="0.2">
      <c r="A346" s="9"/>
      <c r="B346" s="8"/>
      <c r="C346" s="10" t="str">
        <f>IFERROR(INDEX(Reference!$B$29:$B$200,MATCH(B346,Reference!$A$29:$A$200,0)),"")</f>
        <v/>
      </c>
      <c r="D346" s="13"/>
      <c r="E346" s="10" t="str">
        <f t="shared" si="5"/>
        <v/>
      </c>
      <c r="F346" s="8"/>
    </row>
    <row r="347" spans="1:6" ht="15" customHeight="1" x14ac:dyDescent="0.2">
      <c r="A347" s="9"/>
      <c r="B347" s="8"/>
      <c r="C347" s="10" t="str">
        <f>IFERROR(INDEX(Reference!$B$29:$B$200,MATCH(B347,Reference!$A$29:$A$200,0)),"")</f>
        <v/>
      </c>
      <c r="D347" s="13"/>
      <c r="E347" s="10" t="str">
        <f t="shared" si="5"/>
        <v/>
      </c>
      <c r="F347" s="8"/>
    </row>
    <row r="348" spans="1:6" ht="15" customHeight="1" x14ac:dyDescent="0.2">
      <c r="A348" s="9"/>
      <c r="B348" s="8"/>
      <c r="C348" s="10" t="str">
        <f>IFERROR(INDEX(Reference!$B$29:$B$200,MATCH(B348,Reference!$A$29:$A$200,0)),"")</f>
        <v/>
      </c>
      <c r="D348" s="13"/>
      <c r="E348" s="10" t="str">
        <f t="shared" si="5"/>
        <v/>
      </c>
      <c r="F348" s="8"/>
    </row>
    <row r="349" spans="1:6" ht="15" customHeight="1" x14ac:dyDescent="0.2">
      <c r="A349" s="9"/>
      <c r="B349" s="8"/>
      <c r="C349" s="10" t="str">
        <f>IFERROR(INDEX(Reference!$B$29:$B$200,MATCH(B349,Reference!$A$29:$A$200,0)),"")</f>
        <v/>
      </c>
      <c r="D349" s="13"/>
      <c r="E349" s="10" t="str">
        <f t="shared" si="5"/>
        <v/>
      </c>
      <c r="F349" s="8"/>
    </row>
    <row r="350" spans="1:6" ht="15" customHeight="1" x14ac:dyDescent="0.2">
      <c r="A350" s="9"/>
      <c r="B350" s="8"/>
      <c r="C350" s="10" t="str">
        <f>IFERROR(INDEX(Reference!$B$29:$B$200,MATCH(B350,Reference!$A$29:$A$200,0)),"")</f>
        <v/>
      </c>
      <c r="D350" s="13"/>
      <c r="E350" s="10" t="str">
        <f t="shared" si="5"/>
        <v/>
      </c>
      <c r="F350" s="8"/>
    </row>
    <row r="351" spans="1:6" ht="15" customHeight="1" x14ac:dyDescent="0.2">
      <c r="A351" s="9"/>
      <c r="B351" s="8"/>
      <c r="C351" s="10" t="str">
        <f>IFERROR(INDEX(Reference!$B$29:$B$200,MATCH(B351,Reference!$A$29:$A$200,0)),"")</f>
        <v/>
      </c>
      <c r="D351" s="13"/>
      <c r="E351" s="10" t="str">
        <f t="shared" si="5"/>
        <v/>
      </c>
      <c r="F351" s="8"/>
    </row>
    <row r="352" spans="1:6" ht="15" customHeight="1" x14ac:dyDescent="0.2">
      <c r="A352" s="9"/>
      <c r="B352" s="8"/>
      <c r="C352" s="10" t="str">
        <f>IFERROR(INDEX(Reference!$B$29:$B$200,MATCH(B352,Reference!$A$29:$A$200,0)),"")</f>
        <v/>
      </c>
      <c r="D352" s="13"/>
      <c r="E352" s="10" t="str">
        <f t="shared" si="5"/>
        <v/>
      </c>
      <c r="F352" s="8"/>
    </row>
    <row r="353" spans="1:6" ht="15" customHeight="1" x14ac:dyDescent="0.2">
      <c r="A353" s="9"/>
      <c r="B353" s="8"/>
      <c r="C353" s="10" t="str">
        <f>IFERROR(INDEX(Reference!$B$29:$B$200,MATCH(B353,Reference!$A$29:$A$200,0)),"")</f>
        <v/>
      </c>
      <c r="D353" s="13"/>
      <c r="E353" s="10" t="str">
        <f t="shared" si="5"/>
        <v/>
      </c>
      <c r="F353" s="8"/>
    </row>
    <row r="354" spans="1:6" ht="15" customHeight="1" x14ac:dyDescent="0.2">
      <c r="A354" s="9"/>
      <c r="B354" s="8"/>
      <c r="C354" s="10" t="str">
        <f>IFERROR(INDEX(Reference!$B$29:$B$200,MATCH(B354,Reference!$A$29:$A$200,0)),"")</f>
        <v/>
      </c>
      <c r="D354" s="13"/>
      <c r="E354" s="10" t="str">
        <f t="shared" si="5"/>
        <v/>
      </c>
      <c r="F354" s="8"/>
    </row>
    <row r="355" spans="1:6" ht="15" customHeight="1" x14ac:dyDescent="0.2">
      <c r="A355" s="9"/>
      <c r="B355" s="8"/>
      <c r="C355" s="10" t="str">
        <f>IFERROR(INDEX(Reference!$B$29:$B$200,MATCH(B355,Reference!$A$29:$A$200,0)),"")</f>
        <v/>
      </c>
      <c r="D355" s="13"/>
      <c r="E355" s="10" t="str">
        <f t="shared" si="5"/>
        <v/>
      </c>
      <c r="F355" s="8"/>
    </row>
    <row r="356" spans="1:6" ht="15" customHeight="1" x14ac:dyDescent="0.2">
      <c r="A356" s="9"/>
      <c r="B356" s="8"/>
      <c r="C356" s="10" t="str">
        <f>IFERROR(INDEX(Reference!$B$29:$B$200,MATCH(B356,Reference!$A$29:$A$200,0)),"")</f>
        <v/>
      </c>
      <c r="D356" s="13"/>
      <c r="E356" s="10" t="str">
        <f t="shared" si="5"/>
        <v/>
      </c>
      <c r="F356" s="8"/>
    </row>
    <row r="357" spans="1:6" ht="15" customHeight="1" x14ac:dyDescent="0.2">
      <c r="A357" s="9"/>
      <c r="B357" s="8"/>
      <c r="C357" s="10" t="str">
        <f>IFERROR(INDEX(Reference!$B$29:$B$200,MATCH(B357,Reference!$A$29:$A$200,0)),"")</f>
        <v/>
      </c>
      <c r="D357" s="13"/>
      <c r="E357" s="10" t="str">
        <f t="shared" si="5"/>
        <v/>
      </c>
      <c r="F357" s="8"/>
    </row>
    <row r="358" spans="1:6" ht="15" customHeight="1" x14ac:dyDescent="0.2">
      <c r="A358" s="9"/>
      <c r="B358" s="8"/>
      <c r="C358" s="10" t="str">
        <f>IFERROR(INDEX(Reference!$B$29:$B$200,MATCH(B358,Reference!$A$29:$A$200,0)),"")</f>
        <v/>
      </c>
      <c r="D358" s="13"/>
      <c r="E358" s="10" t="str">
        <f t="shared" si="5"/>
        <v/>
      </c>
      <c r="F358" s="8"/>
    </row>
    <row r="359" spans="1:6" ht="15" customHeight="1" x14ac:dyDescent="0.2">
      <c r="A359" s="9"/>
      <c r="B359" s="8"/>
      <c r="C359" s="10" t="str">
        <f>IFERROR(INDEX(Reference!$B$29:$B$200,MATCH(B359,Reference!$A$29:$A$200,0)),"")</f>
        <v/>
      </c>
      <c r="D359" s="13"/>
      <c r="E359" s="10" t="str">
        <f t="shared" si="5"/>
        <v/>
      </c>
      <c r="F359" s="8"/>
    </row>
    <row r="360" spans="1:6" ht="15" customHeight="1" x14ac:dyDescent="0.2">
      <c r="A360" s="9"/>
      <c r="B360" s="8"/>
      <c r="C360" s="10" t="str">
        <f>IFERROR(INDEX(Reference!$B$29:$B$200,MATCH(B360,Reference!$A$29:$A$200,0)),"")</f>
        <v/>
      </c>
      <c r="D360" s="13"/>
      <c r="E360" s="10" t="str">
        <f t="shared" si="5"/>
        <v/>
      </c>
      <c r="F360" s="8"/>
    </row>
    <row r="361" spans="1:6" ht="15" customHeight="1" x14ac:dyDescent="0.2">
      <c r="A361" s="9"/>
      <c r="B361" s="8"/>
      <c r="C361" s="10" t="str">
        <f>IFERROR(INDEX(Reference!$B$29:$B$200,MATCH(B361,Reference!$A$29:$A$200,0)),"")</f>
        <v/>
      </c>
      <c r="D361" s="13"/>
      <c r="E361" s="10" t="str">
        <f t="shared" si="5"/>
        <v/>
      </c>
      <c r="F361" s="8"/>
    </row>
    <row r="362" spans="1:6" ht="15" customHeight="1" x14ac:dyDescent="0.2">
      <c r="A362" s="9"/>
      <c r="B362" s="8"/>
      <c r="C362" s="10" t="str">
        <f>IFERROR(INDEX(Reference!$B$29:$B$200,MATCH(B362,Reference!$A$29:$A$200,0)),"")</f>
        <v/>
      </c>
      <c r="D362" s="13"/>
      <c r="E362" s="10" t="str">
        <f t="shared" si="5"/>
        <v/>
      </c>
      <c r="F362" s="8"/>
    </row>
    <row r="363" spans="1:6" ht="15" customHeight="1" x14ac:dyDescent="0.2">
      <c r="A363" s="9"/>
      <c r="B363" s="8"/>
      <c r="C363" s="10" t="str">
        <f>IFERROR(INDEX(Reference!$B$29:$B$200,MATCH(B363,Reference!$A$29:$A$200,0)),"")</f>
        <v/>
      </c>
      <c r="D363" s="13"/>
      <c r="E363" s="10" t="str">
        <f t="shared" si="5"/>
        <v/>
      </c>
      <c r="F363" s="8"/>
    </row>
    <row r="364" spans="1:6" ht="15" customHeight="1" x14ac:dyDescent="0.2">
      <c r="A364" s="9"/>
      <c r="B364" s="8"/>
      <c r="C364" s="10" t="str">
        <f>IFERROR(INDEX(Reference!$B$29:$B$200,MATCH(B364,Reference!$A$29:$A$200,0)),"")</f>
        <v/>
      </c>
      <c r="D364" s="13"/>
      <c r="E364" s="10" t="str">
        <f t="shared" si="5"/>
        <v/>
      </c>
      <c r="F364" s="8"/>
    </row>
    <row r="365" spans="1:6" ht="15" customHeight="1" x14ac:dyDescent="0.2">
      <c r="A365" s="9"/>
      <c r="B365" s="8"/>
      <c r="C365" s="10" t="str">
        <f>IFERROR(INDEX(Reference!$B$29:$B$200,MATCH(B365,Reference!$A$29:$A$200,0)),"")</f>
        <v/>
      </c>
      <c r="D365" s="13"/>
      <c r="E365" s="10" t="str">
        <f t="shared" si="5"/>
        <v/>
      </c>
      <c r="F365" s="8"/>
    </row>
    <row r="366" spans="1:6" ht="15" customHeight="1" x14ac:dyDescent="0.2">
      <c r="A366" s="9"/>
      <c r="B366" s="8"/>
      <c r="C366" s="10" t="str">
        <f>IFERROR(INDEX(Reference!$B$29:$B$200,MATCH(B366,Reference!$A$29:$A$200,0)),"")</f>
        <v/>
      </c>
      <c r="D366" s="13"/>
      <c r="E366" s="10" t="str">
        <f t="shared" si="5"/>
        <v/>
      </c>
      <c r="F366" s="8"/>
    </row>
    <row r="367" spans="1:6" ht="15" customHeight="1" x14ac:dyDescent="0.2">
      <c r="A367" s="9"/>
      <c r="B367" s="8"/>
      <c r="C367" s="10" t="str">
        <f>IFERROR(INDEX(Reference!$B$29:$B$200,MATCH(B367,Reference!$A$29:$A$200,0)),"")</f>
        <v/>
      </c>
      <c r="D367" s="13"/>
      <c r="E367" s="10" t="str">
        <f t="shared" si="5"/>
        <v/>
      </c>
      <c r="F367" s="8"/>
    </row>
    <row r="368" spans="1:6" ht="15" customHeight="1" x14ac:dyDescent="0.2">
      <c r="A368" s="9"/>
      <c r="B368" s="8"/>
      <c r="C368" s="10" t="str">
        <f>IFERROR(INDEX(Reference!$B$29:$B$200,MATCH(B368,Reference!$A$29:$A$200,0)),"")</f>
        <v/>
      </c>
      <c r="D368" s="13"/>
      <c r="E368" s="10" t="str">
        <f t="shared" si="5"/>
        <v/>
      </c>
      <c r="F368" s="8"/>
    </row>
    <row r="369" spans="1:6" ht="15" customHeight="1" x14ac:dyDescent="0.2">
      <c r="A369" s="9"/>
      <c r="B369" s="8"/>
      <c r="C369" s="10" t="str">
        <f>IFERROR(INDEX(Reference!$B$29:$B$200,MATCH(B369,Reference!$A$29:$A$200,0)),"")</f>
        <v/>
      </c>
      <c r="D369" s="13"/>
      <c r="E369" s="10" t="str">
        <f t="shared" si="5"/>
        <v/>
      </c>
      <c r="F369" s="8"/>
    </row>
    <row r="370" spans="1:6" ht="15" customHeight="1" x14ac:dyDescent="0.2">
      <c r="A370" s="9"/>
      <c r="B370" s="8"/>
      <c r="C370" s="10" t="str">
        <f>IFERROR(INDEX(Reference!$B$29:$B$200,MATCH(B370,Reference!$A$29:$A$200,0)),"")</f>
        <v/>
      </c>
      <c r="D370" s="13"/>
      <c r="E370" s="10" t="str">
        <f t="shared" si="5"/>
        <v/>
      </c>
      <c r="F370" s="8"/>
    </row>
    <row r="371" spans="1:6" ht="15" customHeight="1" x14ac:dyDescent="0.2">
      <c r="A371" s="9"/>
      <c r="B371" s="8"/>
      <c r="C371" s="10" t="str">
        <f>IFERROR(INDEX(Reference!$B$29:$B$200,MATCH(B371,Reference!$A$29:$A$200,0)),"")</f>
        <v/>
      </c>
      <c r="D371" s="13"/>
      <c r="E371" s="10" t="str">
        <f t="shared" si="5"/>
        <v/>
      </c>
      <c r="F371" s="8"/>
    </row>
    <row r="372" spans="1:6" ht="15" customHeight="1" x14ac:dyDescent="0.2">
      <c r="A372" s="9"/>
      <c r="B372" s="8"/>
      <c r="C372" s="10" t="str">
        <f>IFERROR(INDEX(Reference!$B$29:$B$200,MATCH(B372,Reference!$A$29:$A$200,0)),"")</f>
        <v/>
      </c>
      <c r="D372" s="13"/>
      <c r="E372" s="10" t="str">
        <f t="shared" si="5"/>
        <v/>
      </c>
      <c r="F372" s="8"/>
    </row>
    <row r="373" spans="1:6" ht="15" customHeight="1" x14ac:dyDescent="0.2">
      <c r="A373" s="9"/>
      <c r="B373" s="8"/>
      <c r="C373" s="10" t="str">
        <f>IFERROR(INDEX(Reference!$B$29:$B$200,MATCH(B373,Reference!$A$29:$A$200,0)),"")</f>
        <v/>
      </c>
      <c r="D373" s="13"/>
      <c r="E373" s="10" t="str">
        <f t="shared" si="5"/>
        <v/>
      </c>
      <c r="F373" s="8"/>
    </row>
    <row r="374" spans="1:6" ht="15" customHeight="1" x14ac:dyDescent="0.2">
      <c r="A374" s="9"/>
      <c r="B374" s="8"/>
      <c r="C374" s="10" t="str">
        <f>IFERROR(INDEX(Reference!$B$29:$B$200,MATCH(B374,Reference!$A$29:$A$200,0)),"")</f>
        <v/>
      </c>
      <c r="D374" s="13"/>
      <c r="E374" s="10" t="str">
        <f t="shared" si="5"/>
        <v/>
      </c>
      <c r="F374" s="8"/>
    </row>
    <row r="375" spans="1:6" ht="15" customHeight="1" x14ac:dyDescent="0.2">
      <c r="A375" s="9"/>
      <c r="B375" s="8"/>
      <c r="C375" s="10" t="str">
        <f>IFERROR(INDEX(Reference!$B$29:$B$200,MATCH(B375,Reference!$A$29:$A$200,0)),"")</f>
        <v/>
      </c>
      <c r="D375" s="13"/>
      <c r="E375" s="10" t="str">
        <f t="shared" si="5"/>
        <v/>
      </c>
      <c r="F375" s="8"/>
    </row>
    <row r="376" spans="1:6" ht="15" customHeight="1" x14ac:dyDescent="0.2">
      <c r="A376" s="9"/>
      <c r="B376" s="8"/>
      <c r="C376" s="10" t="str">
        <f>IFERROR(INDEX(Reference!$B$29:$B$200,MATCH(B376,Reference!$A$29:$A$200,0)),"")</f>
        <v/>
      </c>
      <c r="D376" s="13"/>
      <c r="E376" s="10" t="str">
        <f t="shared" si="5"/>
        <v/>
      </c>
      <c r="F376" s="8"/>
    </row>
    <row r="377" spans="1:6" ht="15" customHeight="1" x14ac:dyDescent="0.2">
      <c r="A377" s="9"/>
      <c r="B377" s="8"/>
      <c r="C377" s="10" t="str">
        <f>IFERROR(INDEX(Reference!$B$29:$B$200,MATCH(B377,Reference!$A$29:$A$200,0)),"")</f>
        <v/>
      </c>
      <c r="D377" s="13"/>
      <c r="E377" s="10" t="str">
        <f t="shared" si="5"/>
        <v/>
      </c>
      <c r="F377" s="8"/>
    </row>
    <row r="378" spans="1:6" ht="15" customHeight="1" x14ac:dyDescent="0.2">
      <c r="A378" s="9"/>
      <c r="B378" s="8"/>
      <c r="C378" s="10" t="str">
        <f>IFERROR(INDEX(Reference!$B$29:$B$200,MATCH(B378,Reference!$A$29:$A$200,0)),"")</f>
        <v/>
      </c>
      <c r="D378" s="13"/>
      <c r="E378" s="10" t="str">
        <f t="shared" si="5"/>
        <v/>
      </c>
      <c r="F378" s="8"/>
    </row>
    <row r="379" spans="1:6" ht="15" customHeight="1" x14ac:dyDescent="0.2">
      <c r="A379" s="9"/>
      <c r="B379" s="8"/>
      <c r="C379" s="10" t="str">
        <f>IFERROR(INDEX(Reference!$B$29:$B$200,MATCH(B379,Reference!$A$29:$A$200,0)),"")</f>
        <v/>
      </c>
      <c r="D379" s="13"/>
      <c r="E379" s="10" t="str">
        <f t="shared" si="5"/>
        <v/>
      </c>
      <c r="F379" s="8"/>
    </row>
    <row r="380" spans="1:6" ht="15" customHeight="1" x14ac:dyDescent="0.2">
      <c r="A380" s="9"/>
      <c r="B380" s="8"/>
      <c r="C380" s="10" t="str">
        <f>IFERROR(INDEX(Reference!$B$29:$B$200,MATCH(B380,Reference!$A$29:$A$200,0)),"")</f>
        <v/>
      </c>
      <c r="D380" s="13"/>
      <c r="E380" s="10" t="str">
        <f t="shared" si="5"/>
        <v/>
      </c>
      <c r="F380" s="8"/>
    </row>
    <row r="381" spans="1:6" ht="15" customHeight="1" x14ac:dyDescent="0.2">
      <c r="A381" s="9"/>
      <c r="B381" s="8"/>
      <c r="C381" s="10" t="str">
        <f>IFERROR(INDEX(Reference!$B$29:$B$200,MATCH(B381,Reference!$A$29:$A$200,0)),"")</f>
        <v/>
      </c>
      <c r="D381" s="13"/>
      <c r="E381" s="10" t="str">
        <f t="shared" si="5"/>
        <v/>
      </c>
      <c r="F381" s="8"/>
    </row>
    <row r="382" spans="1:6" ht="15" customHeight="1" x14ac:dyDescent="0.2">
      <c r="A382" s="9"/>
      <c r="B382" s="8"/>
      <c r="C382" s="10" t="str">
        <f>IFERROR(INDEX(Reference!$B$29:$B$200,MATCH(B382,Reference!$A$29:$A$200,0)),"")</f>
        <v/>
      </c>
      <c r="D382" s="13"/>
      <c r="E382" s="10" t="str">
        <f t="shared" si="5"/>
        <v/>
      </c>
      <c r="F382" s="8"/>
    </row>
    <row r="383" spans="1:6" ht="15" customHeight="1" x14ac:dyDescent="0.2">
      <c r="A383" s="9"/>
      <c r="B383" s="8"/>
      <c r="C383" s="10" t="str">
        <f>IFERROR(INDEX(Reference!$B$29:$B$200,MATCH(B383,Reference!$A$29:$A$200,0)),"")</f>
        <v/>
      </c>
      <c r="D383" s="13"/>
      <c r="E383" s="10" t="str">
        <f t="shared" si="5"/>
        <v/>
      </c>
      <c r="F383" s="8"/>
    </row>
    <row r="384" spans="1:6" ht="15" customHeight="1" x14ac:dyDescent="0.2">
      <c r="A384" s="9"/>
      <c r="B384" s="8"/>
      <c r="C384" s="10" t="str">
        <f>IFERROR(INDEX(Reference!$B$29:$B$200,MATCH(B384,Reference!$A$29:$A$200,0)),"")</f>
        <v/>
      </c>
      <c r="D384" s="13"/>
      <c r="E384" s="10" t="str">
        <f t="shared" si="5"/>
        <v/>
      </c>
      <c r="F384" s="8"/>
    </row>
    <row r="385" spans="1:6" ht="15" customHeight="1" x14ac:dyDescent="0.2">
      <c r="A385" s="9"/>
      <c r="B385" s="8"/>
      <c r="C385" s="10" t="str">
        <f>IFERROR(INDEX(Reference!$B$29:$B$200,MATCH(B385,Reference!$A$29:$A$200,0)),"")</f>
        <v/>
      </c>
      <c r="D385" s="13"/>
      <c r="E385" s="10" t="str">
        <f t="shared" si="5"/>
        <v/>
      </c>
      <c r="F385" s="8"/>
    </row>
    <row r="386" spans="1:6" ht="15" customHeight="1" x14ac:dyDescent="0.2">
      <c r="A386" s="9"/>
      <c r="B386" s="8"/>
      <c r="C386" s="10" t="str">
        <f>IFERROR(INDEX(Reference!$B$29:$B$200,MATCH(B386,Reference!$A$29:$A$200,0)),"")</f>
        <v/>
      </c>
      <c r="D386" s="13"/>
      <c r="E386" s="10" t="str">
        <f t="shared" ref="E386:E449" si="6">IF(A386="","",IF(MONTH(A386)&gt;=8,YEAR(A386)&amp;"-"&amp;RIGHT(YEAR(A386)+1,2),YEAR(A386)-1&amp;"-"&amp;RIGHT(YEAR(A386),2)))</f>
        <v/>
      </c>
      <c r="F386" s="8"/>
    </row>
    <row r="387" spans="1:6" ht="15" customHeight="1" x14ac:dyDescent="0.2">
      <c r="A387" s="9"/>
      <c r="B387" s="8"/>
      <c r="C387" s="10" t="str">
        <f>IFERROR(INDEX(Reference!$B$29:$B$200,MATCH(B387,Reference!$A$29:$A$200,0)),"")</f>
        <v/>
      </c>
      <c r="D387" s="13"/>
      <c r="E387" s="10" t="str">
        <f t="shared" si="6"/>
        <v/>
      </c>
      <c r="F387" s="8"/>
    </row>
    <row r="388" spans="1:6" ht="15" customHeight="1" x14ac:dyDescent="0.2">
      <c r="A388" s="9"/>
      <c r="B388" s="8"/>
      <c r="C388" s="10" t="str">
        <f>IFERROR(INDEX(Reference!$B$29:$B$200,MATCH(B388,Reference!$A$29:$A$200,0)),"")</f>
        <v/>
      </c>
      <c r="D388" s="13"/>
      <c r="E388" s="10" t="str">
        <f t="shared" si="6"/>
        <v/>
      </c>
      <c r="F388" s="8"/>
    </row>
    <row r="389" spans="1:6" ht="15" customHeight="1" x14ac:dyDescent="0.2">
      <c r="A389" s="9"/>
      <c r="B389" s="8"/>
      <c r="C389" s="10" t="str">
        <f>IFERROR(INDEX(Reference!$B$29:$B$200,MATCH(B389,Reference!$A$29:$A$200,0)),"")</f>
        <v/>
      </c>
      <c r="D389" s="13"/>
      <c r="E389" s="10" t="str">
        <f t="shared" si="6"/>
        <v/>
      </c>
      <c r="F389" s="8"/>
    </row>
    <row r="390" spans="1:6" ht="15" customHeight="1" x14ac:dyDescent="0.2">
      <c r="A390" s="9"/>
      <c r="B390" s="8"/>
      <c r="C390" s="10" t="str">
        <f>IFERROR(INDEX(Reference!$B$29:$B$200,MATCH(B390,Reference!$A$29:$A$200,0)),"")</f>
        <v/>
      </c>
      <c r="D390" s="13"/>
      <c r="E390" s="10" t="str">
        <f t="shared" si="6"/>
        <v/>
      </c>
      <c r="F390" s="8"/>
    </row>
    <row r="391" spans="1:6" ht="15" customHeight="1" x14ac:dyDescent="0.2">
      <c r="A391" s="9"/>
      <c r="B391" s="8"/>
      <c r="C391" s="10" t="str">
        <f>IFERROR(INDEX(Reference!$B$29:$B$200,MATCH(B391,Reference!$A$29:$A$200,0)),"")</f>
        <v/>
      </c>
      <c r="D391" s="13"/>
      <c r="E391" s="10" t="str">
        <f t="shared" si="6"/>
        <v/>
      </c>
      <c r="F391" s="8"/>
    </row>
    <row r="392" spans="1:6" ht="15" customHeight="1" x14ac:dyDescent="0.2">
      <c r="A392" s="9"/>
      <c r="B392" s="8"/>
      <c r="C392" s="10" t="str">
        <f>IFERROR(INDEX(Reference!$B$29:$B$200,MATCH(B392,Reference!$A$29:$A$200,0)),"")</f>
        <v/>
      </c>
      <c r="D392" s="13"/>
      <c r="E392" s="10" t="str">
        <f t="shared" si="6"/>
        <v/>
      </c>
      <c r="F392" s="8"/>
    </row>
    <row r="393" spans="1:6" ht="15" customHeight="1" x14ac:dyDescent="0.2">
      <c r="A393" s="9"/>
      <c r="B393" s="8"/>
      <c r="C393" s="10" t="str">
        <f>IFERROR(INDEX(Reference!$B$29:$B$200,MATCH(B393,Reference!$A$29:$A$200,0)),"")</f>
        <v/>
      </c>
      <c r="D393" s="13"/>
      <c r="E393" s="10" t="str">
        <f t="shared" si="6"/>
        <v/>
      </c>
      <c r="F393" s="8"/>
    </row>
    <row r="394" spans="1:6" ht="15" customHeight="1" x14ac:dyDescent="0.2">
      <c r="A394" s="9"/>
      <c r="B394" s="8"/>
      <c r="C394" s="10" t="str">
        <f>IFERROR(INDEX(Reference!$B$29:$B$200,MATCH(B394,Reference!$A$29:$A$200,0)),"")</f>
        <v/>
      </c>
      <c r="D394" s="13"/>
      <c r="E394" s="10" t="str">
        <f t="shared" si="6"/>
        <v/>
      </c>
      <c r="F394" s="8"/>
    </row>
    <row r="395" spans="1:6" ht="15" customHeight="1" x14ac:dyDescent="0.2">
      <c r="A395" s="9"/>
      <c r="B395" s="8"/>
      <c r="C395" s="10" t="str">
        <f>IFERROR(INDEX(Reference!$B$29:$B$200,MATCH(B395,Reference!$A$29:$A$200,0)),"")</f>
        <v/>
      </c>
      <c r="D395" s="13"/>
      <c r="E395" s="10" t="str">
        <f t="shared" si="6"/>
        <v/>
      </c>
      <c r="F395" s="8"/>
    </row>
    <row r="396" spans="1:6" ht="15" customHeight="1" x14ac:dyDescent="0.2">
      <c r="A396" s="9"/>
      <c r="B396" s="8"/>
      <c r="C396" s="10" t="str">
        <f>IFERROR(INDEX(Reference!$B$29:$B$200,MATCH(B396,Reference!$A$29:$A$200,0)),"")</f>
        <v/>
      </c>
      <c r="D396" s="13"/>
      <c r="E396" s="10" t="str">
        <f t="shared" si="6"/>
        <v/>
      </c>
      <c r="F396" s="8"/>
    </row>
    <row r="397" spans="1:6" ht="15" customHeight="1" x14ac:dyDescent="0.2">
      <c r="A397" s="9"/>
      <c r="B397" s="8"/>
      <c r="C397" s="10" t="str">
        <f>IFERROR(INDEX(Reference!$B$29:$B$200,MATCH(B397,Reference!$A$29:$A$200,0)),"")</f>
        <v/>
      </c>
      <c r="D397" s="13"/>
      <c r="E397" s="10" t="str">
        <f t="shared" si="6"/>
        <v/>
      </c>
      <c r="F397" s="8"/>
    </row>
    <row r="398" spans="1:6" ht="15" customHeight="1" x14ac:dyDescent="0.2">
      <c r="A398" s="9"/>
      <c r="B398" s="8"/>
      <c r="C398" s="10" t="str">
        <f>IFERROR(INDEX(Reference!$B$29:$B$200,MATCH(B398,Reference!$A$29:$A$200,0)),"")</f>
        <v/>
      </c>
      <c r="D398" s="13"/>
      <c r="E398" s="10" t="str">
        <f t="shared" si="6"/>
        <v/>
      </c>
      <c r="F398" s="8"/>
    </row>
    <row r="399" spans="1:6" ht="15" customHeight="1" x14ac:dyDescent="0.2">
      <c r="A399" s="9"/>
      <c r="B399" s="8"/>
      <c r="C399" s="10" t="str">
        <f>IFERROR(INDEX(Reference!$B$29:$B$200,MATCH(B399,Reference!$A$29:$A$200,0)),"")</f>
        <v/>
      </c>
      <c r="D399" s="13"/>
      <c r="E399" s="10" t="str">
        <f t="shared" si="6"/>
        <v/>
      </c>
      <c r="F399" s="8"/>
    </row>
    <row r="400" spans="1:6" ht="15" customHeight="1" x14ac:dyDescent="0.2">
      <c r="A400" s="9"/>
      <c r="B400" s="8"/>
      <c r="C400" s="10" t="str">
        <f>IFERROR(INDEX(Reference!$B$29:$B$200,MATCH(B400,Reference!$A$29:$A$200,0)),"")</f>
        <v/>
      </c>
      <c r="D400" s="13"/>
      <c r="E400" s="10" t="str">
        <f t="shared" si="6"/>
        <v/>
      </c>
      <c r="F400" s="8"/>
    </row>
    <row r="401" spans="1:6" ht="15" customHeight="1" x14ac:dyDescent="0.2">
      <c r="A401" s="9"/>
      <c r="B401" s="8"/>
      <c r="C401" s="10" t="str">
        <f>IFERROR(INDEX(Reference!$B$29:$B$200,MATCH(B401,Reference!$A$29:$A$200,0)),"")</f>
        <v/>
      </c>
      <c r="D401" s="13"/>
      <c r="E401" s="10" t="str">
        <f t="shared" si="6"/>
        <v/>
      </c>
      <c r="F401" s="8"/>
    </row>
    <row r="402" spans="1:6" ht="15" customHeight="1" x14ac:dyDescent="0.2">
      <c r="A402" s="9"/>
      <c r="B402" s="8"/>
      <c r="C402" s="10" t="str">
        <f>IFERROR(INDEX(Reference!$B$29:$B$200,MATCH(B402,Reference!$A$29:$A$200,0)),"")</f>
        <v/>
      </c>
      <c r="D402" s="13"/>
      <c r="E402" s="10" t="str">
        <f t="shared" si="6"/>
        <v/>
      </c>
      <c r="F402" s="8"/>
    </row>
    <row r="403" spans="1:6" ht="15" customHeight="1" x14ac:dyDescent="0.2">
      <c r="A403" s="9"/>
      <c r="B403" s="8"/>
      <c r="C403" s="10" t="str">
        <f>IFERROR(INDEX(Reference!$B$29:$B$200,MATCH(B403,Reference!$A$29:$A$200,0)),"")</f>
        <v/>
      </c>
      <c r="D403" s="13"/>
      <c r="E403" s="10" t="str">
        <f t="shared" si="6"/>
        <v/>
      </c>
      <c r="F403" s="8"/>
    </row>
    <row r="404" spans="1:6" ht="15" customHeight="1" x14ac:dyDescent="0.2">
      <c r="A404" s="9"/>
      <c r="B404" s="8"/>
      <c r="C404" s="10" t="str">
        <f>IFERROR(INDEX(Reference!$B$29:$B$200,MATCH(B404,Reference!$A$29:$A$200,0)),"")</f>
        <v/>
      </c>
      <c r="D404" s="13"/>
      <c r="E404" s="10" t="str">
        <f t="shared" si="6"/>
        <v/>
      </c>
      <c r="F404" s="8"/>
    </row>
    <row r="405" spans="1:6" ht="15" customHeight="1" x14ac:dyDescent="0.2">
      <c r="A405" s="9"/>
      <c r="B405" s="8"/>
      <c r="C405" s="10" t="str">
        <f>IFERROR(INDEX(Reference!$B$29:$B$200,MATCH(B405,Reference!$A$29:$A$200,0)),"")</f>
        <v/>
      </c>
      <c r="D405" s="13"/>
      <c r="E405" s="10" t="str">
        <f t="shared" si="6"/>
        <v/>
      </c>
      <c r="F405" s="8"/>
    </row>
    <row r="406" spans="1:6" ht="15" customHeight="1" x14ac:dyDescent="0.2">
      <c r="A406" s="9"/>
      <c r="B406" s="8"/>
      <c r="C406" s="10" t="str">
        <f>IFERROR(INDEX(Reference!$B$29:$B$200,MATCH(B406,Reference!$A$29:$A$200,0)),"")</f>
        <v/>
      </c>
      <c r="D406" s="13"/>
      <c r="E406" s="10" t="str">
        <f t="shared" si="6"/>
        <v/>
      </c>
      <c r="F406" s="8"/>
    </row>
    <row r="407" spans="1:6" ht="15" customHeight="1" x14ac:dyDescent="0.2">
      <c r="A407" s="9"/>
      <c r="B407" s="8"/>
      <c r="C407" s="10" t="str">
        <f>IFERROR(INDEX(Reference!$B$29:$B$200,MATCH(B407,Reference!$A$29:$A$200,0)),"")</f>
        <v/>
      </c>
      <c r="D407" s="13"/>
      <c r="E407" s="10" t="str">
        <f t="shared" si="6"/>
        <v/>
      </c>
      <c r="F407" s="8"/>
    </row>
    <row r="408" spans="1:6" ht="15" customHeight="1" x14ac:dyDescent="0.2">
      <c r="A408" s="9"/>
      <c r="B408" s="8"/>
      <c r="C408" s="10" t="str">
        <f>IFERROR(INDEX(Reference!$B$29:$B$200,MATCH(B408,Reference!$A$29:$A$200,0)),"")</f>
        <v/>
      </c>
      <c r="D408" s="13"/>
      <c r="E408" s="10" t="str">
        <f t="shared" si="6"/>
        <v/>
      </c>
      <c r="F408" s="8"/>
    </row>
    <row r="409" spans="1:6" ht="15" customHeight="1" x14ac:dyDescent="0.2">
      <c r="A409" s="9"/>
      <c r="B409" s="8"/>
      <c r="C409" s="10" t="str">
        <f>IFERROR(INDEX(Reference!$B$29:$B$200,MATCH(B409,Reference!$A$29:$A$200,0)),"")</f>
        <v/>
      </c>
      <c r="D409" s="13"/>
      <c r="E409" s="10" t="str">
        <f t="shared" si="6"/>
        <v/>
      </c>
      <c r="F409" s="8"/>
    </row>
    <row r="410" spans="1:6" ht="15" customHeight="1" x14ac:dyDescent="0.2">
      <c r="A410" s="9"/>
      <c r="B410" s="8"/>
      <c r="C410" s="10" t="str">
        <f>IFERROR(INDEX(Reference!$B$29:$B$200,MATCH(B410,Reference!$A$29:$A$200,0)),"")</f>
        <v/>
      </c>
      <c r="D410" s="13"/>
      <c r="E410" s="10" t="str">
        <f t="shared" si="6"/>
        <v/>
      </c>
      <c r="F410" s="8"/>
    </row>
    <row r="411" spans="1:6" ht="15" customHeight="1" x14ac:dyDescent="0.2">
      <c r="A411" s="9"/>
      <c r="B411" s="8"/>
      <c r="C411" s="10" t="str">
        <f>IFERROR(INDEX(Reference!$B$29:$B$200,MATCH(B411,Reference!$A$29:$A$200,0)),"")</f>
        <v/>
      </c>
      <c r="D411" s="13"/>
      <c r="E411" s="10" t="str">
        <f t="shared" si="6"/>
        <v/>
      </c>
      <c r="F411" s="8"/>
    </row>
    <row r="412" spans="1:6" ht="15" customHeight="1" x14ac:dyDescent="0.2">
      <c r="A412" s="9"/>
      <c r="B412" s="8"/>
      <c r="C412" s="10" t="str">
        <f>IFERROR(INDEX(Reference!$B$29:$B$200,MATCH(B412,Reference!$A$29:$A$200,0)),"")</f>
        <v/>
      </c>
      <c r="D412" s="13"/>
      <c r="E412" s="10" t="str">
        <f t="shared" si="6"/>
        <v/>
      </c>
      <c r="F412" s="8"/>
    </row>
    <row r="413" spans="1:6" ht="15" customHeight="1" x14ac:dyDescent="0.2">
      <c r="A413" s="9"/>
      <c r="B413" s="8"/>
      <c r="C413" s="10" t="str">
        <f>IFERROR(INDEX(Reference!$B$29:$B$200,MATCH(B413,Reference!$A$29:$A$200,0)),"")</f>
        <v/>
      </c>
      <c r="D413" s="13"/>
      <c r="E413" s="10" t="str">
        <f t="shared" si="6"/>
        <v/>
      </c>
      <c r="F413" s="8"/>
    </row>
    <row r="414" spans="1:6" ht="15" customHeight="1" x14ac:dyDescent="0.2">
      <c r="A414" s="9"/>
      <c r="B414" s="8"/>
      <c r="C414" s="10" t="str">
        <f>IFERROR(INDEX(Reference!$B$29:$B$200,MATCH(B414,Reference!$A$29:$A$200,0)),"")</f>
        <v/>
      </c>
      <c r="D414" s="13"/>
      <c r="E414" s="10" t="str">
        <f t="shared" si="6"/>
        <v/>
      </c>
      <c r="F414" s="8"/>
    </row>
    <row r="415" spans="1:6" ht="15" customHeight="1" x14ac:dyDescent="0.2">
      <c r="A415" s="9"/>
      <c r="B415" s="8"/>
      <c r="C415" s="10" t="str">
        <f>IFERROR(INDEX(Reference!$B$29:$B$200,MATCH(B415,Reference!$A$29:$A$200,0)),"")</f>
        <v/>
      </c>
      <c r="D415" s="13"/>
      <c r="E415" s="10" t="str">
        <f t="shared" si="6"/>
        <v/>
      </c>
      <c r="F415" s="8"/>
    </row>
    <row r="416" spans="1:6" ht="15" customHeight="1" x14ac:dyDescent="0.2">
      <c r="A416" s="9"/>
      <c r="B416" s="8"/>
      <c r="C416" s="10" t="str">
        <f>IFERROR(INDEX(Reference!$B$29:$B$200,MATCH(B416,Reference!$A$29:$A$200,0)),"")</f>
        <v/>
      </c>
      <c r="D416" s="13"/>
      <c r="E416" s="10" t="str">
        <f t="shared" si="6"/>
        <v/>
      </c>
      <c r="F416" s="8"/>
    </row>
    <row r="417" spans="1:6" ht="15" customHeight="1" x14ac:dyDescent="0.2">
      <c r="A417" s="9"/>
      <c r="B417" s="8"/>
      <c r="C417" s="10" t="str">
        <f>IFERROR(INDEX(Reference!$B$29:$B$200,MATCH(B417,Reference!$A$29:$A$200,0)),"")</f>
        <v/>
      </c>
      <c r="D417" s="13"/>
      <c r="E417" s="10" t="str">
        <f t="shared" si="6"/>
        <v/>
      </c>
      <c r="F417" s="8"/>
    </row>
    <row r="418" spans="1:6" ht="15" customHeight="1" x14ac:dyDescent="0.2">
      <c r="A418" s="9"/>
      <c r="B418" s="8"/>
      <c r="C418" s="10" t="str">
        <f>IFERROR(INDEX(Reference!$B$29:$B$200,MATCH(B418,Reference!$A$29:$A$200,0)),"")</f>
        <v/>
      </c>
      <c r="D418" s="13"/>
      <c r="E418" s="10" t="str">
        <f t="shared" si="6"/>
        <v/>
      </c>
      <c r="F418" s="8"/>
    </row>
    <row r="419" spans="1:6" ht="15" customHeight="1" x14ac:dyDescent="0.2">
      <c r="A419" s="9"/>
      <c r="B419" s="8"/>
      <c r="C419" s="10" t="str">
        <f>IFERROR(INDEX(Reference!$B$29:$B$200,MATCH(B419,Reference!$A$29:$A$200,0)),"")</f>
        <v/>
      </c>
      <c r="D419" s="13"/>
      <c r="E419" s="10" t="str">
        <f t="shared" si="6"/>
        <v/>
      </c>
      <c r="F419" s="8"/>
    </row>
    <row r="420" spans="1:6" ht="15" customHeight="1" x14ac:dyDescent="0.2">
      <c r="A420" s="9"/>
      <c r="B420" s="8"/>
      <c r="C420" s="10" t="str">
        <f>IFERROR(INDEX(Reference!$B$29:$B$200,MATCH(B420,Reference!$A$29:$A$200,0)),"")</f>
        <v/>
      </c>
      <c r="D420" s="13"/>
      <c r="E420" s="10" t="str">
        <f t="shared" si="6"/>
        <v/>
      </c>
      <c r="F420" s="8"/>
    </row>
    <row r="421" spans="1:6" ht="15" customHeight="1" x14ac:dyDescent="0.2">
      <c r="A421" s="9"/>
      <c r="B421" s="8"/>
      <c r="C421" s="10" t="str">
        <f>IFERROR(INDEX(Reference!$B$29:$B$200,MATCH(B421,Reference!$A$29:$A$200,0)),"")</f>
        <v/>
      </c>
      <c r="D421" s="13"/>
      <c r="E421" s="10" t="str">
        <f t="shared" si="6"/>
        <v/>
      </c>
      <c r="F421" s="8"/>
    </row>
    <row r="422" spans="1:6" ht="15" customHeight="1" x14ac:dyDescent="0.2">
      <c r="A422" s="9"/>
      <c r="B422" s="8"/>
      <c r="C422" s="10" t="str">
        <f>IFERROR(INDEX(Reference!$B$29:$B$200,MATCH(B422,Reference!$A$29:$A$200,0)),"")</f>
        <v/>
      </c>
      <c r="D422" s="13"/>
      <c r="E422" s="10" t="str">
        <f t="shared" si="6"/>
        <v/>
      </c>
      <c r="F422" s="8"/>
    </row>
    <row r="423" spans="1:6" ht="15" customHeight="1" x14ac:dyDescent="0.2">
      <c r="A423" s="9"/>
      <c r="B423" s="8"/>
      <c r="C423" s="10" t="str">
        <f>IFERROR(INDEX(Reference!$B$29:$B$200,MATCH(B423,Reference!$A$29:$A$200,0)),"")</f>
        <v/>
      </c>
      <c r="D423" s="13"/>
      <c r="E423" s="10" t="str">
        <f t="shared" si="6"/>
        <v/>
      </c>
      <c r="F423" s="8"/>
    </row>
    <row r="424" spans="1:6" ht="15" customHeight="1" x14ac:dyDescent="0.2">
      <c r="A424" s="9"/>
      <c r="B424" s="8"/>
      <c r="C424" s="10" t="str">
        <f>IFERROR(INDEX(Reference!$B$29:$B$200,MATCH(B424,Reference!$A$29:$A$200,0)),"")</f>
        <v/>
      </c>
      <c r="D424" s="13"/>
      <c r="E424" s="10" t="str">
        <f t="shared" si="6"/>
        <v/>
      </c>
      <c r="F424" s="8"/>
    </row>
    <row r="425" spans="1:6" ht="15" customHeight="1" x14ac:dyDescent="0.2">
      <c r="A425" s="9"/>
      <c r="B425" s="8"/>
      <c r="C425" s="10" t="str">
        <f>IFERROR(INDEX(Reference!$B$29:$B$200,MATCH(B425,Reference!$A$29:$A$200,0)),"")</f>
        <v/>
      </c>
      <c r="D425" s="13"/>
      <c r="E425" s="10" t="str">
        <f t="shared" si="6"/>
        <v/>
      </c>
      <c r="F425" s="8"/>
    </row>
    <row r="426" spans="1:6" ht="15" customHeight="1" x14ac:dyDescent="0.2">
      <c r="A426" s="9"/>
      <c r="B426" s="8"/>
      <c r="C426" s="10" t="str">
        <f>IFERROR(INDEX(Reference!$B$29:$B$200,MATCH(B426,Reference!$A$29:$A$200,0)),"")</f>
        <v/>
      </c>
      <c r="D426" s="13"/>
      <c r="E426" s="10" t="str">
        <f t="shared" si="6"/>
        <v/>
      </c>
      <c r="F426" s="8"/>
    </row>
    <row r="427" spans="1:6" ht="15" customHeight="1" x14ac:dyDescent="0.2">
      <c r="A427" s="9"/>
      <c r="B427" s="8"/>
      <c r="C427" s="10" t="str">
        <f>IFERROR(INDEX(Reference!$B$29:$B$200,MATCH(B427,Reference!$A$29:$A$200,0)),"")</f>
        <v/>
      </c>
      <c r="D427" s="13"/>
      <c r="E427" s="10" t="str">
        <f t="shared" si="6"/>
        <v/>
      </c>
      <c r="F427" s="8"/>
    </row>
    <row r="428" spans="1:6" ht="15" customHeight="1" x14ac:dyDescent="0.2">
      <c r="A428" s="9"/>
      <c r="B428" s="8"/>
      <c r="C428" s="10" t="str">
        <f>IFERROR(INDEX(Reference!$B$29:$B$200,MATCH(B428,Reference!$A$29:$A$200,0)),"")</f>
        <v/>
      </c>
      <c r="D428" s="13"/>
      <c r="E428" s="10" t="str">
        <f t="shared" si="6"/>
        <v/>
      </c>
      <c r="F428" s="8"/>
    </row>
    <row r="429" spans="1:6" ht="15" customHeight="1" x14ac:dyDescent="0.2">
      <c r="A429" s="9"/>
      <c r="B429" s="8"/>
      <c r="C429" s="10" t="str">
        <f>IFERROR(INDEX(Reference!$B$29:$B$200,MATCH(B429,Reference!$A$29:$A$200,0)),"")</f>
        <v/>
      </c>
      <c r="D429" s="13"/>
      <c r="E429" s="10" t="str">
        <f t="shared" si="6"/>
        <v/>
      </c>
      <c r="F429" s="8"/>
    </row>
    <row r="430" spans="1:6" ht="15" customHeight="1" x14ac:dyDescent="0.2">
      <c r="A430" s="9"/>
      <c r="B430" s="8"/>
      <c r="C430" s="10" t="str">
        <f>IFERROR(INDEX(Reference!$B$29:$B$200,MATCH(B430,Reference!$A$29:$A$200,0)),"")</f>
        <v/>
      </c>
      <c r="D430" s="13"/>
      <c r="E430" s="10" t="str">
        <f t="shared" si="6"/>
        <v/>
      </c>
      <c r="F430" s="8"/>
    </row>
    <row r="431" spans="1:6" ht="15" customHeight="1" x14ac:dyDescent="0.2">
      <c r="A431" s="9"/>
      <c r="B431" s="8"/>
      <c r="C431" s="10" t="str">
        <f>IFERROR(INDEX(Reference!$B$29:$B$200,MATCH(B431,Reference!$A$29:$A$200,0)),"")</f>
        <v/>
      </c>
      <c r="D431" s="13"/>
      <c r="E431" s="10" t="str">
        <f t="shared" si="6"/>
        <v/>
      </c>
      <c r="F431" s="8"/>
    </row>
    <row r="432" spans="1:6" ht="15" customHeight="1" x14ac:dyDescent="0.2">
      <c r="A432" s="9"/>
      <c r="B432" s="8"/>
      <c r="C432" s="10" t="str">
        <f>IFERROR(INDEX(Reference!$B$29:$B$200,MATCH(B432,Reference!$A$29:$A$200,0)),"")</f>
        <v/>
      </c>
      <c r="D432" s="13"/>
      <c r="E432" s="10" t="str">
        <f t="shared" si="6"/>
        <v/>
      </c>
      <c r="F432" s="8"/>
    </row>
    <row r="433" spans="1:6" ht="15" customHeight="1" x14ac:dyDescent="0.2">
      <c r="A433" s="9"/>
      <c r="B433" s="8"/>
      <c r="C433" s="10" t="str">
        <f>IFERROR(INDEX(Reference!$B$29:$B$200,MATCH(B433,Reference!$A$29:$A$200,0)),"")</f>
        <v/>
      </c>
      <c r="D433" s="13"/>
      <c r="E433" s="10" t="str">
        <f t="shared" si="6"/>
        <v/>
      </c>
      <c r="F433" s="8"/>
    </row>
    <row r="434" spans="1:6" ht="15" customHeight="1" x14ac:dyDescent="0.2">
      <c r="A434" s="9"/>
      <c r="B434" s="8"/>
      <c r="C434" s="10" t="str">
        <f>IFERROR(INDEX(Reference!$B$29:$B$200,MATCH(B434,Reference!$A$29:$A$200,0)),"")</f>
        <v/>
      </c>
      <c r="D434" s="13"/>
      <c r="E434" s="10" t="str">
        <f t="shared" si="6"/>
        <v/>
      </c>
      <c r="F434" s="8"/>
    </row>
    <row r="435" spans="1:6" ht="15" customHeight="1" x14ac:dyDescent="0.2">
      <c r="A435" s="9"/>
      <c r="B435" s="8"/>
      <c r="C435" s="10" t="str">
        <f>IFERROR(INDEX(Reference!$B$29:$B$200,MATCH(B435,Reference!$A$29:$A$200,0)),"")</f>
        <v/>
      </c>
      <c r="D435" s="13"/>
      <c r="E435" s="10" t="str">
        <f t="shared" si="6"/>
        <v/>
      </c>
      <c r="F435" s="8"/>
    </row>
    <row r="436" spans="1:6" ht="15" customHeight="1" x14ac:dyDescent="0.2">
      <c r="A436" s="9"/>
      <c r="B436" s="8"/>
      <c r="C436" s="10" t="str">
        <f>IFERROR(INDEX(Reference!$B$29:$B$200,MATCH(B436,Reference!$A$29:$A$200,0)),"")</f>
        <v/>
      </c>
      <c r="D436" s="13"/>
      <c r="E436" s="10" t="str">
        <f t="shared" si="6"/>
        <v/>
      </c>
      <c r="F436" s="8"/>
    </row>
    <row r="437" spans="1:6" ht="15" customHeight="1" x14ac:dyDescent="0.2">
      <c r="A437" s="9"/>
      <c r="B437" s="8"/>
      <c r="C437" s="10" t="str">
        <f>IFERROR(INDEX(Reference!$B$29:$B$200,MATCH(B437,Reference!$A$29:$A$200,0)),"")</f>
        <v/>
      </c>
      <c r="D437" s="13"/>
      <c r="E437" s="10" t="str">
        <f t="shared" si="6"/>
        <v/>
      </c>
      <c r="F437" s="8"/>
    </row>
    <row r="438" spans="1:6" ht="15" customHeight="1" x14ac:dyDescent="0.2">
      <c r="A438" s="9"/>
      <c r="B438" s="8"/>
      <c r="C438" s="10" t="str">
        <f>IFERROR(INDEX(Reference!$B$29:$B$200,MATCH(B438,Reference!$A$29:$A$200,0)),"")</f>
        <v/>
      </c>
      <c r="D438" s="13"/>
      <c r="E438" s="10" t="str">
        <f t="shared" si="6"/>
        <v/>
      </c>
      <c r="F438" s="8"/>
    </row>
    <row r="439" spans="1:6" ht="15" customHeight="1" x14ac:dyDescent="0.2">
      <c r="A439" s="9"/>
      <c r="B439" s="8"/>
      <c r="C439" s="10" t="str">
        <f>IFERROR(INDEX(Reference!$B$29:$B$200,MATCH(B439,Reference!$A$29:$A$200,0)),"")</f>
        <v/>
      </c>
      <c r="D439" s="13"/>
      <c r="E439" s="10" t="str">
        <f t="shared" si="6"/>
        <v/>
      </c>
      <c r="F439" s="8"/>
    </row>
    <row r="440" spans="1:6" ht="15" customHeight="1" x14ac:dyDescent="0.2">
      <c r="A440" s="9"/>
      <c r="B440" s="8"/>
      <c r="C440" s="10" t="str">
        <f>IFERROR(INDEX(Reference!$B$29:$B$200,MATCH(B440,Reference!$A$29:$A$200,0)),"")</f>
        <v/>
      </c>
      <c r="D440" s="13"/>
      <c r="E440" s="10" t="str">
        <f t="shared" si="6"/>
        <v/>
      </c>
      <c r="F440" s="8"/>
    </row>
    <row r="441" spans="1:6" ht="15" customHeight="1" x14ac:dyDescent="0.2">
      <c r="A441" s="9"/>
      <c r="B441" s="8"/>
      <c r="C441" s="10" t="str">
        <f>IFERROR(INDEX(Reference!$B$29:$B$200,MATCH(B441,Reference!$A$29:$A$200,0)),"")</f>
        <v/>
      </c>
      <c r="D441" s="13"/>
      <c r="E441" s="10" t="str">
        <f t="shared" si="6"/>
        <v/>
      </c>
      <c r="F441" s="8"/>
    </row>
    <row r="442" spans="1:6" ht="15" customHeight="1" x14ac:dyDescent="0.2">
      <c r="A442" s="9"/>
      <c r="B442" s="8"/>
      <c r="C442" s="10" t="str">
        <f>IFERROR(INDEX(Reference!$B$29:$B$200,MATCH(B442,Reference!$A$29:$A$200,0)),"")</f>
        <v/>
      </c>
      <c r="D442" s="13"/>
      <c r="E442" s="10" t="str">
        <f t="shared" si="6"/>
        <v/>
      </c>
      <c r="F442" s="8"/>
    </row>
    <row r="443" spans="1:6" ht="15" customHeight="1" x14ac:dyDescent="0.2">
      <c r="A443" s="9"/>
      <c r="B443" s="8"/>
      <c r="C443" s="10" t="str">
        <f>IFERROR(INDEX(Reference!$B$29:$B$200,MATCH(B443,Reference!$A$29:$A$200,0)),"")</f>
        <v/>
      </c>
      <c r="D443" s="13"/>
      <c r="E443" s="10" t="str">
        <f t="shared" si="6"/>
        <v/>
      </c>
      <c r="F443" s="8"/>
    </row>
    <row r="444" spans="1:6" ht="15" customHeight="1" x14ac:dyDescent="0.2">
      <c r="A444" s="9"/>
      <c r="B444" s="8"/>
      <c r="C444" s="10" t="str">
        <f>IFERROR(INDEX(Reference!$B$29:$B$200,MATCH(B444,Reference!$A$29:$A$200,0)),"")</f>
        <v/>
      </c>
      <c r="D444" s="13"/>
      <c r="E444" s="10" t="str">
        <f t="shared" si="6"/>
        <v/>
      </c>
      <c r="F444" s="8"/>
    </row>
    <row r="445" spans="1:6" ht="15" customHeight="1" x14ac:dyDescent="0.2">
      <c r="A445" s="9"/>
      <c r="B445" s="8"/>
      <c r="C445" s="10" t="str">
        <f>IFERROR(INDEX(Reference!$B$29:$B$200,MATCH(B445,Reference!$A$29:$A$200,0)),"")</f>
        <v/>
      </c>
      <c r="D445" s="13"/>
      <c r="E445" s="10" t="str">
        <f t="shared" si="6"/>
        <v/>
      </c>
      <c r="F445" s="8"/>
    </row>
    <row r="446" spans="1:6" ht="15" customHeight="1" x14ac:dyDescent="0.2">
      <c r="A446" s="9"/>
      <c r="B446" s="8"/>
      <c r="C446" s="10" t="str">
        <f>IFERROR(INDEX(Reference!$B$29:$B$200,MATCH(B446,Reference!$A$29:$A$200,0)),"")</f>
        <v/>
      </c>
      <c r="D446" s="13"/>
      <c r="E446" s="10" t="str">
        <f t="shared" si="6"/>
        <v/>
      </c>
      <c r="F446" s="8"/>
    </row>
    <row r="447" spans="1:6" ht="15" customHeight="1" x14ac:dyDescent="0.2">
      <c r="A447" s="9"/>
      <c r="B447" s="8"/>
      <c r="C447" s="10" t="str">
        <f>IFERROR(INDEX(Reference!$B$29:$B$200,MATCH(B447,Reference!$A$29:$A$200,0)),"")</f>
        <v/>
      </c>
      <c r="D447" s="13"/>
      <c r="E447" s="10" t="str">
        <f t="shared" si="6"/>
        <v/>
      </c>
      <c r="F447" s="8"/>
    </row>
    <row r="448" spans="1:6" ht="15" customHeight="1" x14ac:dyDescent="0.2">
      <c r="A448" s="9"/>
      <c r="B448" s="8"/>
      <c r="C448" s="10" t="str">
        <f>IFERROR(INDEX(Reference!$B$29:$B$200,MATCH(B448,Reference!$A$29:$A$200,0)),"")</f>
        <v/>
      </c>
      <c r="D448" s="13"/>
      <c r="E448" s="10" t="str">
        <f t="shared" si="6"/>
        <v/>
      </c>
      <c r="F448" s="8"/>
    </row>
    <row r="449" spans="1:6" ht="15" customHeight="1" x14ac:dyDescent="0.2">
      <c r="A449" s="9"/>
      <c r="B449" s="8"/>
      <c r="C449" s="10" t="str">
        <f>IFERROR(INDEX(Reference!$B$29:$B$200,MATCH(B449,Reference!$A$29:$A$200,0)),"")</f>
        <v/>
      </c>
      <c r="D449" s="13"/>
      <c r="E449" s="10" t="str">
        <f t="shared" si="6"/>
        <v/>
      </c>
      <c r="F449" s="8"/>
    </row>
    <row r="450" spans="1:6" ht="15" customHeight="1" x14ac:dyDescent="0.2">
      <c r="A450" s="9"/>
      <c r="B450" s="8"/>
      <c r="C450" s="10" t="str">
        <f>IFERROR(INDEX(Reference!$B$29:$B$200,MATCH(B450,Reference!$A$29:$A$200,0)),"")</f>
        <v/>
      </c>
      <c r="D450" s="13"/>
      <c r="E450" s="10" t="str">
        <f t="shared" ref="E450:E513" si="7">IF(A450="","",IF(MONTH(A450)&gt;=8,YEAR(A450)&amp;"-"&amp;RIGHT(YEAR(A450)+1,2),YEAR(A450)-1&amp;"-"&amp;RIGHT(YEAR(A450),2)))</f>
        <v/>
      </c>
      <c r="F450" s="8"/>
    </row>
    <row r="451" spans="1:6" ht="15" customHeight="1" x14ac:dyDescent="0.2">
      <c r="A451" s="9"/>
      <c r="B451" s="8"/>
      <c r="C451" s="10" t="str">
        <f>IFERROR(INDEX(Reference!$B$29:$B$200,MATCH(B451,Reference!$A$29:$A$200,0)),"")</f>
        <v/>
      </c>
      <c r="D451" s="13"/>
      <c r="E451" s="10" t="str">
        <f t="shared" si="7"/>
        <v/>
      </c>
      <c r="F451" s="8"/>
    </row>
    <row r="452" spans="1:6" ht="15" customHeight="1" x14ac:dyDescent="0.2">
      <c r="A452" s="9"/>
      <c r="B452" s="8"/>
      <c r="C452" s="10" t="str">
        <f>IFERROR(INDEX(Reference!$B$29:$B$200,MATCH(B452,Reference!$A$29:$A$200,0)),"")</f>
        <v/>
      </c>
      <c r="D452" s="13"/>
      <c r="E452" s="10" t="str">
        <f t="shared" si="7"/>
        <v/>
      </c>
      <c r="F452" s="8"/>
    </row>
    <row r="453" spans="1:6" ht="15" customHeight="1" x14ac:dyDescent="0.2">
      <c r="A453" s="9"/>
      <c r="B453" s="8"/>
      <c r="C453" s="10" t="str">
        <f>IFERROR(INDEX(Reference!$B$29:$B$200,MATCH(B453,Reference!$A$29:$A$200,0)),"")</f>
        <v/>
      </c>
      <c r="D453" s="13"/>
      <c r="E453" s="10" t="str">
        <f t="shared" si="7"/>
        <v/>
      </c>
      <c r="F453" s="8"/>
    </row>
    <row r="454" spans="1:6" ht="15" customHeight="1" x14ac:dyDescent="0.2">
      <c r="A454" s="9"/>
      <c r="B454" s="8"/>
      <c r="C454" s="10" t="str">
        <f>IFERROR(INDEX(Reference!$B$29:$B$200,MATCH(B454,Reference!$A$29:$A$200,0)),"")</f>
        <v/>
      </c>
      <c r="D454" s="13"/>
      <c r="E454" s="10" t="str">
        <f t="shared" si="7"/>
        <v/>
      </c>
      <c r="F454" s="8"/>
    </row>
    <row r="455" spans="1:6" ht="15" customHeight="1" x14ac:dyDescent="0.2">
      <c r="A455" s="9"/>
      <c r="B455" s="8"/>
      <c r="C455" s="10" t="str">
        <f>IFERROR(INDEX(Reference!$B$29:$B$200,MATCH(B455,Reference!$A$29:$A$200,0)),"")</f>
        <v/>
      </c>
      <c r="D455" s="13"/>
      <c r="E455" s="10" t="str">
        <f t="shared" si="7"/>
        <v/>
      </c>
      <c r="F455" s="8"/>
    </row>
    <row r="456" spans="1:6" ht="15" customHeight="1" x14ac:dyDescent="0.2">
      <c r="A456" s="9"/>
      <c r="B456" s="8"/>
      <c r="C456" s="10" t="str">
        <f>IFERROR(INDEX(Reference!$B$29:$B$200,MATCH(B456,Reference!$A$29:$A$200,0)),"")</f>
        <v/>
      </c>
      <c r="D456" s="13"/>
      <c r="E456" s="10" t="str">
        <f t="shared" si="7"/>
        <v/>
      </c>
      <c r="F456" s="8"/>
    </row>
    <row r="457" spans="1:6" ht="15" customHeight="1" x14ac:dyDescent="0.2">
      <c r="A457" s="9"/>
      <c r="B457" s="8"/>
      <c r="C457" s="10" t="str">
        <f>IFERROR(INDEX(Reference!$B$29:$B$200,MATCH(B457,Reference!$A$29:$A$200,0)),"")</f>
        <v/>
      </c>
      <c r="D457" s="13"/>
      <c r="E457" s="10" t="str">
        <f t="shared" si="7"/>
        <v/>
      </c>
      <c r="F457" s="8"/>
    </row>
    <row r="458" spans="1:6" ht="15" customHeight="1" x14ac:dyDescent="0.2">
      <c r="A458" s="9"/>
      <c r="B458" s="8"/>
      <c r="C458" s="10" t="str">
        <f>IFERROR(INDEX(Reference!$B$29:$B$200,MATCH(B458,Reference!$A$29:$A$200,0)),"")</f>
        <v/>
      </c>
      <c r="D458" s="13"/>
      <c r="E458" s="10" t="str">
        <f t="shared" si="7"/>
        <v/>
      </c>
      <c r="F458" s="8"/>
    </row>
    <row r="459" spans="1:6" ht="15" customHeight="1" x14ac:dyDescent="0.2">
      <c r="A459" s="9"/>
      <c r="B459" s="8"/>
      <c r="C459" s="10" t="str">
        <f>IFERROR(INDEX(Reference!$B$29:$B$200,MATCH(B459,Reference!$A$29:$A$200,0)),"")</f>
        <v/>
      </c>
      <c r="D459" s="13"/>
      <c r="E459" s="10" t="str">
        <f t="shared" si="7"/>
        <v/>
      </c>
      <c r="F459" s="8"/>
    </row>
    <row r="460" spans="1:6" ht="15" customHeight="1" x14ac:dyDescent="0.2">
      <c r="A460" s="9"/>
      <c r="B460" s="8"/>
      <c r="C460" s="10" t="str">
        <f>IFERROR(INDEX(Reference!$B$29:$B$200,MATCH(B460,Reference!$A$29:$A$200,0)),"")</f>
        <v/>
      </c>
      <c r="D460" s="13"/>
      <c r="E460" s="10" t="str">
        <f t="shared" si="7"/>
        <v/>
      </c>
      <c r="F460" s="8"/>
    </row>
    <row r="461" spans="1:6" ht="15" customHeight="1" x14ac:dyDescent="0.2">
      <c r="A461" s="9"/>
      <c r="B461" s="8"/>
      <c r="C461" s="10" t="str">
        <f>IFERROR(INDEX(Reference!$B$29:$B$200,MATCH(B461,Reference!$A$29:$A$200,0)),"")</f>
        <v/>
      </c>
      <c r="D461" s="13"/>
      <c r="E461" s="10" t="str">
        <f t="shared" si="7"/>
        <v/>
      </c>
      <c r="F461" s="8"/>
    </row>
    <row r="462" spans="1:6" ht="15" customHeight="1" x14ac:dyDescent="0.2">
      <c r="A462" s="9"/>
      <c r="B462" s="8"/>
      <c r="C462" s="10" t="str">
        <f>IFERROR(INDEX(Reference!$B$29:$B$200,MATCH(B462,Reference!$A$29:$A$200,0)),"")</f>
        <v/>
      </c>
      <c r="D462" s="13"/>
      <c r="E462" s="10" t="str">
        <f t="shared" si="7"/>
        <v/>
      </c>
      <c r="F462" s="8"/>
    </row>
    <row r="463" spans="1:6" ht="15" customHeight="1" x14ac:dyDescent="0.2">
      <c r="A463" s="9"/>
      <c r="B463" s="8"/>
      <c r="C463" s="10" t="str">
        <f>IFERROR(INDEX(Reference!$B$29:$B$200,MATCH(B463,Reference!$A$29:$A$200,0)),"")</f>
        <v/>
      </c>
      <c r="D463" s="13"/>
      <c r="E463" s="10" t="str">
        <f t="shared" si="7"/>
        <v/>
      </c>
      <c r="F463" s="8"/>
    </row>
    <row r="464" spans="1:6" ht="15" customHeight="1" x14ac:dyDescent="0.2">
      <c r="A464" s="9"/>
      <c r="B464" s="8"/>
      <c r="C464" s="10" t="str">
        <f>IFERROR(INDEX(Reference!$B$29:$B$200,MATCH(B464,Reference!$A$29:$A$200,0)),"")</f>
        <v/>
      </c>
      <c r="D464" s="13"/>
      <c r="E464" s="10" t="str">
        <f t="shared" si="7"/>
        <v/>
      </c>
      <c r="F464" s="8"/>
    </row>
    <row r="465" spans="1:6" ht="15" customHeight="1" x14ac:dyDescent="0.2">
      <c r="A465" s="9"/>
      <c r="B465" s="8"/>
      <c r="C465" s="10" t="str">
        <f>IFERROR(INDEX(Reference!$B$29:$B$200,MATCH(B465,Reference!$A$29:$A$200,0)),"")</f>
        <v/>
      </c>
      <c r="D465" s="13"/>
      <c r="E465" s="10" t="str">
        <f t="shared" si="7"/>
        <v/>
      </c>
      <c r="F465" s="8"/>
    </row>
    <row r="466" spans="1:6" ht="15" customHeight="1" x14ac:dyDescent="0.2">
      <c r="A466" s="9"/>
      <c r="B466" s="8"/>
      <c r="C466" s="10" t="str">
        <f>IFERROR(INDEX(Reference!$B$29:$B$200,MATCH(B466,Reference!$A$29:$A$200,0)),"")</f>
        <v/>
      </c>
      <c r="D466" s="13"/>
      <c r="E466" s="10" t="str">
        <f t="shared" si="7"/>
        <v/>
      </c>
      <c r="F466" s="8"/>
    </row>
    <row r="467" spans="1:6" ht="15" customHeight="1" x14ac:dyDescent="0.2">
      <c r="A467" s="9"/>
      <c r="B467" s="8"/>
      <c r="C467" s="10" t="str">
        <f>IFERROR(INDEX(Reference!$B$29:$B$200,MATCH(B467,Reference!$A$29:$A$200,0)),"")</f>
        <v/>
      </c>
      <c r="D467" s="13"/>
      <c r="E467" s="10" t="str">
        <f t="shared" si="7"/>
        <v/>
      </c>
      <c r="F467" s="8"/>
    </row>
    <row r="468" spans="1:6" ht="15" customHeight="1" x14ac:dyDescent="0.2">
      <c r="A468" s="9"/>
      <c r="B468" s="8"/>
      <c r="C468" s="10" t="str">
        <f>IFERROR(INDEX(Reference!$B$29:$B$200,MATCH(B468,Reference!$A$29:$A$200,0)),"")</f>
        <v/>
      </c>
      <c r="D468" s="13"/>
      <c r="E468" s="10" t="str">
        <f t="shared" si="7"/>
        <v/>
      </c>
      <c r="F468" s="8"/>
    </row>
    <row r="469" spans="1:6" ht="15" customHeight="1" x14ac:dyDescent="0.2">
      <c r="A469" s="9"/>
      <c r="B469" s="8"/>
      <c r="C469" s="10" t="str">
        <f>IFERROR(INDEX(Reference!$B$29:$B$200,MATCH(B469,Reference!$A$29:$A$200,0)),"")</f>
        <v/>
      </c>
      <c r="D469" s="13"/>
      <c r="E469" s="10" t="str">
        <f t="shared" si="7"/>
        <v/>
      </c>
      <c r="F469" s="8"/>
    </row>
    <row r="470" spans="1:6" ht="15" customHeight="1" x14ac:dyDescent="0.2">
      <c r="A470" s="9"/>
      <c r="B470" s="8"/>
      <c r="C470" s="10" t="str">
        <f>IFERROR(INDEX(Reference!$B$29:$B$200,MATCH(B470,Reference!$A$29:$A$200,0)),"")</f>
        <v/>
      </c>
      <c r="D470" s="13"/>
      <c r="E470" s="10" t="str">
        <f t="shared" si="7"/>
        <v/>
      </c>
      <c r="F470" s="8"/>
    </row>
    <row r="471" spans="1:6" ht="15" customHeight="1" x14ac:dyDescent="0.2">
      <c r="A471" s="9"/>
      <c r="B471" s="8"/>
      <c r="C471" s="10" t="str">
        <f>IFERROR(INDEX(Reference!$B$29:$B$200,MATCH(B471,Reference!$A$29:$A$200,0)),"")</f>
        <v/>
      </c>
      <c r="D471" s="13"/>
      <c r="E471" s="10" t="str">
        <f t="shared" si="7"/>
        <v/>
      </c>
      <c r="F471" s="8"/>
    </row>
    <row r="472" spans="1:6" ht="15" customHeight="1" x14ac:dyDescent="0.2">
      <c r="A472" s="9"/>
      <c r="B472" s="8"/>
      <c r="C472" s="10" t="str">
        <f>IFERROR(INDEX(Reference!$B$29:$B$200,MATCH(B472,Reference!$A$29:$A$200,0)),"")</f>
        <v/>
      </c>
      <c r="D472" s="13"/>
      <c r="E472" s="10" t="str">
        <f t="shared" si="7"/>
        <v/>
      </c>
      <c r="F472" s="8"/>
    </row>
    <row r="473" spans="1:6" ht="15" customHeight="1" x14ac:dyDescent="0.2">
      <c r="A473" s="9"/>
      <c r="B473" s="8"/>
      <c r="C473" s="10" t="str">
        <f>IFERROR(INDEX(Reference!$B$29:$B$200,MATCH(B473,Reference!$A$29:$A$200,0)),"")</f>
        <v/>
      </c>
      <c r="D473" s="13"/>
      <c r="E473" s="10" t="str">
        <f t="shared" si="7"/>
        <v/>
      </c>
      <c r="F473" s="8"/>
    </row>
    <row r="474" spans="1:6" ht="15" customHeight="1" x14ac:dyDescent="0.2">
      <c r="A474" s="9"/>
      <c r="B474" s="8"/>
      <c r="C474" s="10" t="str">
        <f>IFERROR(INDEX(Reference!$B$29:$B$200,MATCH(B474,Reference!$A$29:$A$200,0)),"")</f>
        <v/>
      </c>
      <c r="D474" s="13"/>
      <c r="E474" s="10" t="str">
        <f t="shared" si="7"/>
        <v/>
      </c>
      <c r="F474" s="8"/>
    </row>
    <row r="475" spans="1:6" ht="15" customHeight="1" x14ac:dyDescent="0.2">
      <c r="A475" s="9"/>
      <c r="B475" s="8"/>
      <c r="C475" s="10" t="str">
        <f>IFERROR(INDEX(Reference!$B$29:$B$200,MATCH(B475,Reference!$A$29:$A$200,0)),"")</f>
        <v/>
      </c>
      <c r="D475" s="13"/>
      <c r="E475" s="10" t="str">
        <f t="shared" si="7"/>
        <v/>
      </c>
      <c r="F475" s="8"/>
    </row>
    <row r="476" spans="1:6" ht="15" customHeight="1" x14ac:dyDescent="0.2">
      <c r="A476" s="9"/>
      <c r="B476" s="8"/>
      <c r="C476" s="10" t="str">
        <f>IFERROR(INDEX(Reference!$B$29:$B$200,MATCH(B476,Reference!$A$29:$A$200,0)),"")</f>
        <v/>
      </c>
      <c r="D476" s="13"/>
      <c r="E476" s="10" t="str">
        <f t="shared" si="7"/>
        <v/>
      </c>
      <c r="F476" s="8"/>
    </row>
    <row r="477" spans="1:6" ht="15" customHeight="1" x14ac:dyDescent="0.2">
      <c r="A477" s="9"/>
      <c r="B477" s="8"/>
      <c r="C477" s="10" t="str">
        <f>IFERROR(INDEX(Reference!$B$29:$B$200,MATCH(B477,Reference!$A$29:$A$200,0)),"")</f>
        <v/>
      </c>
      <c r="D477" s="13"/>
      <c r="E477" s="10" t="str">
        <f t="shared" si="7"/>
        <v/>
      </c>
      <c r="F477" s="8"/>
    </row>
    <row r="478" spans="1:6" ht="15" customHeight="1" x14ac:dyDescent="0.2">
      <c r="A478" s="9"/>
      <c r="B478" s="8"/>
      <c r="C478" s="10" t="str">
        <f>IFERROR(INDEX(Reference!$B$29:$B$200,MATCH(B478,Reference!$A$29:$A$200,0)),"")</f>
        <v/>
      </c>
      <c r="D478" s="13"/>
      <c r="E478" s="10" t="str">
        <f t="shared" si="7"/>
        <v/>
      </c>
      <c r="F478" s="8"/>
    </row>
    <row r="479" spans="1:6" ht="15" customHeight="1" x14ac:dyDescent="0.2">
      <c r="A479" s="9"/>
      <c r="B479" s="8"/>
      <c r="C479" s="10" t="str">
        <f>IFERROR(INDEX(Reference!$B$29:$B$200,MATCH(B479,Reference!$A$29:$A$200,0)),"")</f>
        <v/>
      </c>
      <c r="D479" s="13"/>
      <c r="E479" s="10" t="str">
        <f t="shared" si="7"/>
        <v/>
      </c>
      <c r="F479" s="8"/>
    </row>
    <row r="480" spans="1:6" ht="15" customHeight="1" x14ac:dyDescent="0.2">
      <c r="A480" s="9"/>
      <c r="B480" s="8"/>
      <c r="C480" s="10" t="str">
        <f>IFERROR(INDEX(Reference!$B$29:$B$200,MATCH(B480,Reference!$A$29:$A$200,0)),"")</f>
        <v/>
      </c>
      <c r="D480" s="13"/>
      <c r="E480" s="10" t="str">
        <f t="shared" si="7"/>
        <v/>
      </c>
      <c r="F480" s="8"/>
    </row>
    <row r="481" spans="1:6" ht="15" customHeight="1" x14ac:dyDescent="0.2">
      <c r="A481" s="9"/>
      <c r="B481" s="8"/>
      <c r="C481" s="10" t="str">
        <f>IFERROR(INDEX(Reference!$B$29:$B$200,MATCH(B481,Reference!$A$29:$A$200,0)),"")</f>
        <v/>
      </c>
      <c r="D481" s="13"/>
      <c r="E481" s="10" t="str">
        <f t="shared" si="7"/>
        <v/>
      </c>
      <c r="F481" s="8"/>
    </row>
    <row r="482" spans="1:6" ht="15" customHeight="1" x14ac:dyDescent="0.2">
      <c r="A482" s="9"/>
      <c r="B482" s="8"/>
      <c r="C482" s="10" t="str">
        <f>IFERROR(INDEX(Reference!$B$29:$B$200,MATCH(B482,Reference!$A$29:$A$200,0)),"")</f>
        <v/>
      </c>
      <c r="D482" s="13"/>
      <c r="E482" s="10" t="str">
        <f t="shared" si="7"/>
        <v/>
      </c>
      <c r="F482" s="8"/>
    </row>
    <row r="483" spans="1:6" ht="15" customHeight="1" x14ac:dyDescent="0.2">
      <c r="A483" s="9"/>
      <c r="B483" s="8"/>
      <c r="C483" s="10" t="str">
        <f>IFERROR(INDEX(Reference!$B$29:$B$200,MATCH(B483,Reference!$A$29:$A$200,0)),"")</f>
        <v/>
      </c>
      <c r="D483" s="13"/>
      <c r="E483" s="10" t="str">
        <f t="shared" si="7"/>
        <v/>
      </c>
      <c r="F483" s="8"/>
    </row>
    <row r="484" spans="1:6" ht="15" customHeight="1" x14ac:dyDescent="0.2">
      <c r="A484" s="9"/>
      <c r="B484" s="8"/>
      <c r="C484" s="10" t="str">
        <f>IFERROR(INDEX(Reference!$B$29:$B$200,MATCH(B484,Reference!$A$29:$A$200,0)),"")</f>
        <v/>
      </c>
      <c r="D484" s="13"/>
      <c r="E484" s="10" t="str">
        <f t="shared" si="7"/>
        <v/>
      </c>
      <c r="F484" s="8"/>
    </row>
    <row r="485" spans="1:6" ht="15" customHeight="1" x14ac:dyDescent="0.2">
      <c r="A485" s="9"/>
      <c r="B485" s="8"/>
      <c r="C485" s="10" t="str">
        <f>IFERROR(INDEX(Reference!$B$29:$B$200,MATCH(B485,Reference!$A$29:$A$200,0)),"")</f>
        <v/>
      </c>
      <c r="D485" s="13"/>
      <c r="E485" s="10" t="str">
        <f t="shared" si="7"/>
        <v/>
      </c>
      <c r="F485" s="8"/>
    </row>
    <row r="486" spans="1:6" ht="15" customHeight="1" x14ac:dyDescent="0.2">
      <c r="A486" s="9"/>
      <c r="B486" s="8"/>
      <c r="C486" s="10" t="str">
        <f>IFERROR(INDEX(Reference!$B$29:$B$200,MATCH(B486,Reference!$A$29:$A$200,0)),"")</f>
        <v/>
      </c>
      <c r="D486" s="13"/>
      <c r="E486" s="10" t="str">
        <f t="shared" si="7"/>
        <v/>
      </c>
      <c r="F486" s="8"/>
    </row>
    <row r="487" spans="1:6" ht="15" customHeight="1" x14ac:dyDescent="0.2">
      <c r="A487" s="9"/>
      <c r="B487" s="8"/>
      <c r="C487" s="10" t="str">
        <f>IFERROR(INDEX(Reference!$B$29:$B$200,MATCH(B487,Reference!$A$29:$A$200,0)),"")</f>
        <v/>
      </c>
      <c r="D487" s="13"/>
      <c r="E487" s="10" t="str">
        <f t="shared" si="7"/>
        <v/>
      </c>
      <c r="F487" s="8"/>
    </row>
    <row r="488" spans="1:6" ht="15" customHeight="1" x14ac:dyDescent="0.2">
      <c r="A488" s="9"/>
      <c r="B488" s="8"/>
      <c r="C488" s="10" t="str">
        <f>IFERROR(INDEX(Reference!$B$29:$B$200,MATCH(B488,Reference!$A$29:$A$200,0)),"")</f>
        <v/>
      </c>
      <c r="D488" s="13"/>
      <c r="E488" s="10" t="str">
        <f t="shared" si="7"/>
        <v/>
      </c>
      <c r="F488" s="8"/>
    </row>
    <row r="489" spans="1:6" ht="15" customHeight="1" x14ac:dyDescent="0.2">
      <c r="A489" s="9"/>
      <c r="B489" s="8"/>
      <c r="C489" s="10" t="str">
        <f>IFERROR(INDEX(Reference!$B$29:$B$200,MATCH(B489,Reference!$A$29:$A$200,0)),"")</f>
        <v/>
      </c>
      <c r="D489" s="13"/>
      <c r="E489" s="10" t="str">
        <f t="shared" si="7"/>
        <v/>
      </c>
      <c r="F489" s="8"/>
    </row>
    <row r="490" spans="1:6" ht="15" customHeight="1" x14ac:dyDescent="0.2">
      <c r="A490" s="9"/>
      <c r="B490" s="8"/>
      <c r="C490" s="10" t="str">
        <f>IFERROR(INDEX(Reference!$B$29:$B$200,MATCH(B490,Reference!$A$29:$A$200,0)),"")</f>
        <v/>
      </c>
      <c r="D490" s="13"/>
      <c r="E490" s="10" t="str">
        <f t="shared" si="7"/>
        <v/>
      </c>
      <c r="F490" s="8"/>
    </row>
    <row r="491" spans="1:6" ht="15" customHeight="1" x14ac:dyDescent="0.2">
      <c r="A491" s="9"/>
      <c r="B491" s="8"/>
      <c r="C491" s="10" t="str">
        <f>IFERROR(INDEX(Reference!$B$29:$B$200,MATCH(B491,Reference!$A$29:$A$200,0)),"")</f>
        <v/>
      </c>
      <c r="D491" s="13"/>
      <c r="E491" s="10" t="str">
        <f t="shared" si="7"/>
        <v/>
      </c>
      <c r="F491" s="8"/>
    </row>
    <row r="492" spans="1:6" ht="15" customHeight="1" x14ac:dyDescent="0.2">
      <c r="A492" s="9"/>
      <c r="B492" s="8"/>
      <c r="C492" s="10" t="str">
        <f>IFERROR(INDEX(Reference!$B$29:$B$200,MATCH(B492,Reference!$A$29:$A$200,0)),"")</f>
        <v/>
      </c>
      <c r="D492" s="13"/>
      <c r="E492" s="10" t="str">
        <f t="shared" si="7"/>
        <v/>
      </c>
      <c r="F492" s="8"/>
    </row>
    <row r="493" spans="1:6" ht="15" customHeight="1" x14ac:dyDescent="0.2">
      <c r="A493" s="9"/>
      <c r="B493" s="8"/>
      <c r="C493" s="10" t="str">
        <f>IFERROR(INDEX(Reference!$B$29:$B$200,MATCH(B493,Reference!$A$29:$A$200,0)),"")</f>
        <v/>
      </c>
      <c r="D493" s="13"/>
      <c r="E493" s="10" t="str">
        <f t="shared" si="7"/>
        <v/>
      </c>
      <c r="F493" s="8"/>
    </row>
    <row r="494" spans="1:6" ht="15" customHeight="1" x14ac:dyDescent="0.2">
      <c r="A494" s="9"/>
      <c r="B494" s="8"/>
      <c r="C494" s="10" t="str">
        <f>IFERROR(INDEX(Reference!$B$29:$B$200,MATCH(B494,Reference!$A$29:$A$200,0)),"")</f>
        <v/>
      </c>
      <c r="D494" s="13"/>
      <c r="E494" s="10" t="str">
        <f t="shared" si="7"/>
        <v/>
      </c>
      <c r="F494" s="8"/>
    </row>
    <row r="495" spans="1:6" ht="15" customHeight="1" x14ac:dyDescent="0.2">
      <c r="A495" s="9"/>
      <c r="B495" s="8"/>
      <c r="C495" s="10" t="str">
        <f>IFERROR(INDEX(Reference!$B$29:$B$200,MATCH(B495,Reference!$A$29:$A$200,0)),"")</f>
        <v/>
      </c>
      <c r="D495" s="13"/>
      <c r="E495" s="10" t="str">
        <f t="shared" si="7"/>
        <v/>
      </c>
      <c r="F495" s="8"/>
    </row>
    <row r="496" spans="1:6" ht="15" customHeight="1" x14ac:dyDescent="0.2">
      <c r="A496" s="9"/>
      <c r="B496" s="8"/>
      <c r="C496" s="10" t="str">
        <f>IFERROR(INDEX(Reference!$B$29:$B$200,MATCH(B496,Reference!$A$29:$A$200,0)),"")</f>
        <v/>
      </c>
      <c r="D496" s="13"/>
      <c r="E496" s="10" t="str">
        <f t="shared" si="7"/>
        <v/>
      </c>
      <c r="F496" s="8"/>
    </row>
    <row r="497" spans="1:6" ht="15" customHeight="1" x14ac:dyDescent="0.2">
      <c r="A497" s="9"/>
      <c r="B497" s="8"/>
      <c r="C497" s="10" t="str">
        <f>IFERROR(INDEX(Reference!$B$29:$B$200,MATCH(B497,Reference!$A$29:$A$200,0)),"")</f>
        <v/>
      </c>
      <c r="D497" s="13"/>
      <c r="E497" s="10" t="str">
        <f t="shared" si="7"/>
        <v/>
      </c>
      <c r="F497" s="8"/>
    </row>
    <row r="498" spans="1:6" ht="15" customHeight="1" x14ac:dyDescent="0.2">
      <c r="A498" s="9"/>
      <c r="B498" s="8"/>
      <c r="C498" s="10" t="str">
        <f>IFERROR(INDEX(Reference!$B$29:$B$200,MATCH(B498,Reference!$A$29:$A$200,0)),"")</f>
        <v/>
      </c>
      <c r="D498" s="13"/>
      <c r="E498" s="10" t="str">
        <f t="shared" si="7"/>
        <v/>
      </c>
      <c r="F498" s="8"/>
    </row>
    <row r="499" spans="1:6" ht="15" customHeight="1" x14ac:dyDescent="0.2">
      <c r="A499" s="9"/>
      <c r="B499" s="8"/>
      <c r="C499" s="10" t="str">
        <f>IFERROR(INDEX(Reference!$B$29:$B$200,MATCH(B499,Reference!$A$29:$A$200,0)),"")</f>
        <v/>
      </c>
      <c r="D499" s="13"/>
      <c r="E499" s="10" t="str">
        <f t="shared" si="7"/>
        <v/>
      </c>
      <c r="F499" s="8"/>
    </row>
    <row r="500" spans="1:6" ht="15" customHeight="1" x14ac:dyDescent="0.2">
      <c r="A500" s="9"/>
      <c r="B500" s="8"/>
      <c r="C500" s="10" t="str">
        <f>IFERROR(INDEX(Reference!$B$29:$B$200,MATCH(B500,Reference!$A$29:$A$200,0)),"")</f>
        <v/>
      </c>
      <c r="D500" s="13"/>
      <c r="E500" s="10" t="str">
        <f t="shared" si="7"/>
        <v/>
      </c>
      <c r="F500" s="8"/>
    </row>
    <row r="501" spans="1:6" ht="15" customHeight="1" x14ac:dyDescent="0.2">
      <c r="A501" s="9"/>
      <c r="B501" s="8"/>
      <c r="C501" s="10" t="str">
        <f>IFERROR(INDEX(Reference!$B$29:$B$200,MATCH(B501,Reference!$A$29:$A$200,0)),"")</f>
        <v/>
      </c>
      <c r="D501" s="13"/>
      <c r="E501" s="10" t="str">
        <f t="shared" si="7"/>
        <v/>
      </c>
      <c r="F501" s="8"/>
    </row>
    <row r="502" spans="1:6" ht="15" customHeight="1" x14ac:dyDescent="0.2">
      <c r="A502" s="9"/>
      <c r="B502" s="8"/>
      <c r="C502" s="10" t="str">
        <f>IFERROR(INDEX(Reference!$B$29:$B$200,MATCH(B502,Reference!$A$29:$A$200,0)),"")</f>
        <v/>
      </c>
      <c r="D502" s="13"/>
      <c r="E502" s="10" t="str">
        <f t="shared" si="7"/>
        <v/>
      </c>
      <c r="F502" s="8"/>
    </row>
    <row r="503" spans="1:6" ht="15" customHeight="1" x14ac:dyDescent="0.2">
      <c r="A503" s="9"/>
      <c r="B503" s="8"/>
      <c r="C503" s="10" t="str">
        <f>IFERROR(INDEX(Reference!$B$29:$B$200,MATCH(B503,Reference!$A$29:$A$200,0)),"")</f>
        <v/>
      </c>
      <c r="D503" s="13"/>
      <c r="E503" s="10" t="str">
        <f t="shared" si="7"/>
        <v/>
      </c>
      <c r="F503" s="8"/>
    </row>
    <row r="504" spans="1:6" ht="15" customHeight="1" x14ac:dyDescent="0.2">
      <c r="A504" s="9"/>
      <c r="B504" s="8"/>
      <c r="C504" s="10" t="str">
        <f>IFERROR(INDEX(Reference!$B$29:$B$200,MATCH(B504,Reference!$A$29:$A$200,0)),"")</f>
        <v/>
      </c>
      <c r="D504" s="13"/>
      <c r="E504" s="10" t="str">
        <f t="shared" si="7"/>
        <v/>
      </c>
      <c r="F504" s="8"/>
    </row>
    <row r="505" spans="1:6" ht="15" customHeight="1" x14ac:dyDescent="0.2">
      <c r="A505" s="9"/>
      <c r="B505" s="8"/>
      <c r="C505" s="10" t="str">
        <f>IFERROR(INDEX(Reference!$B$29:$B$200,MATCH(B505,Reference!$A$29:$A$200,0)),"")</f>
        <v/>
      </c>
      <c r="D505" s="13"/>
      <c r="E505" s="10" t="str">
        <f t="shared" si="7"/>
        <v/>
      </c>
      <c r="F505" s="8"/>
    </row>
    <row r="506" spans="1:6" ht="15" customHeight="1" x14ac:dyDescent="0.2">
      <c r="A506" s="9"/>
      <c r="B506" s="8"/>
      <c r="C506" s="10" t="str">
        <f>IFERROR(INDEX(Reference!$B$29:$B$200,MATCH(B506,Reference!$A$29:$A$200,0)),"")</f>
        <v/>
      </c>
      <c r="D506" s="13"/>
      <c r="E506" s="10" t="str">
        <f t="shared" si="7"/>
        <v/>
      </c>
      <c r="F506" s="8"/>
    </row>
    <row r="507" spans="1:6" ht="15" customHeight="1" x14ac:dyDescent="0.2">
      <c r="A507" s="9"/>
      <c r="B507" s="8"/>
      <c r="C507" s="10" t="str">
        <f>IFERROR(INDEX(Reference!$B$29:$B$200,MATCH(B507,Reference!$A$29:$A$200,0)),"")</f>
        <v/>
      </c>
      <c r="D507" s="13"/>
      <c r="E507" s="10" t="str">
        <f t="shared" si="7"/>
        <v/>
      </c>
      <c r="F507" s="8"/>
    </row>
    <row r="508" spans="1:6" ht="15" customHeight="1" x14ac:dyDescent="0.2">
      <c r="A508" s="9"/>
      <c r="B508" s="8"/>
      <c r="C508" s="10" t="str">
        <f>IFERROR(INDEX(Reference!$B$29:$B$200,MATCH(B508,Reference!$A$29:$A$200,0)),"")</f>
        <v/>
      </c>
      <c r="D508" s="13"/>
      <c r="E508" s="10" t="str">
        <f t="shared" si="7"/>
        <v/>
      </c>
      <c r="F508" s="8"/>
    </row>
    <row r="509" spans="1:6" ht="15" customHeight="1" x14ac:dyDescent="0.2">
      <c r="A509" s="9"/>
      <c r="B509" s="8"/>
      <c r="C509" s="10" t="str">
        <f>IFERROR(INDEX(Reference!$B$29:$B$200,MATCH(B509,Reference!$A$29:$A$200,0)),"")</f>
        <v/>
      </c>
      <c r="D509" s="13"/>
      <c r="E509" s="10" t="str">
        <f t="shared" si="7"/>
        <v/>
      </c>
      <c r="F509" s="8"/>
    </row>
    <row r="510" spans="1:6" ht="15" customHeight="1" x14ac:dyDescent="0.2">
      <c r="A510" s="9"/>
      <c r="B510" s="8"/>
      <c r="C510" s="10" t="str">
        <f>IFERROR(INDEX(Reference!$B$29:$B$200,MATCH(B510,Reference!$A$29:$A$200,0)),"")</f>
        <v/>
      </c>
      <c r="D510" s="13"/>
      <c r="E510" s="10" t="str">
        <f t="shared" si="7"/>
        <v/>
      </c>
      <c r="F510" s="8"/>
    </row>
    <row r="511" spans="1:6" ht="15" customHeight="1" x14ac:dyDescent="0.2">
      <c r="A511" s="9"/>
      <c r="B511" s="8"/>
      <c r="C511" s="10" t="str">
        <f>IFERROR(INDEX(Reference!$B$29:$B$200,MATCH(B511,Reference!$A$29:$A$200,0)),"")</f>
        <v/>
      </c>
      <c r="D511" s="13"/>
      <c r="E511" s="10" t="str">
        <f t="shared" si="7"/>
        <v/>
      </c>
      <c r="F511" s="8"/>
    </row>
    <row r="512" spans="1:6" ht="15" customHeight="1" x14ac:dyDescent="0.2">
      <c r="A512" s="9"/>
      <c r="B512" s="8"/>
      <c r="C512" s="10" t="str">
        <f>IFERROR(INDEX(Reference!$B$29:$B$200,MATCH(B512,Reference!$A$29:$A$200,0)),"")</f>
        <v/>
      </c>
      <c r="D512" s="13"/>
      <c r="E512" s="10" t="str">
        <f t="shared" si="7"/>
        <v/>
      </c>
      <c r="F512" s="8"/>
    </row>
    <row r="513" spans="1:6" ht="15" customHeight="1" x14ac:dyDescent="0.2">
      <c r="A513" s="9"/>
      <c r="B513" s="8"/>
      <c r="C513" s="10" t="str">
        <f>IFERROR(INDEX(Reference!$B$29:$B$200,MATCH(B513,Reference!$A$29:$A$200,0)),"")</f>
        <v/>
      </c>
      <c r="D513" s="13"/>
      <c r="E513" s="10" t="str">
        <f t="shared" si="7"/>
        <v/>
      </c>
      <c r="F513" s="8"/>
    </row>
    <row r="514" spans="1:6" ht="15" customHeight="1" x14ac:dyDescent="0.2">
      <c r="A514" s="9"/>
      <c r="B514" s="8"/>
      <c r="C514" s="10" t="str">
        <f>IFERROR(INDEX(Reference!$B$29:$B$200,MATCH(B514,Reference!$A$29:$A$200,0)),"")</f>
        <v/>
      </c>
      <c r="D514" s="13"/>
      <c r="E514" s="10" t="str">
        <f t="shared" ref="E514:E577" si="8">IF(A514="","",IF(MONTH(A514)&gt;=8,YEAR(A514)&amp;"-"&amp;RIGHT(YEAR(A514)+1,2),YEAR(A514)-1&amp;"-"&amp;RIGHT(YEAR(A514),2)))</f>
        <v/>
      </c>
      <c r="F514" s="8"/>
    </row>
    <row r="515" spans="1:6" ht="15" customHeight="1" x14ac:dyDescent="0.2">
      <c r="A515" s="9"/>
      <c r="B515" s="8"/>
      <c r="C515" s="10" t="str">
        <f>IFERROR(INDEX(Reference!$B$29:$B$200,MATCH(B515,Reference!$A$29:$A$200,0)),"")</f>
        <v/>
      </c>
      <c r="D515" s="13"/>
      <c r="E515" s="10" t="str">
        <f t="shared" si="8"/>
        <v/>
      </c>
      <c r="F515" s="8"/>
    </row>
    <row r="516" spans="1:6" ht="15" customHeight="1" x14ac:dyDescent="0.2">
      <c r="A516" s="9"/>
      <c r="B516" s="8"/>
      <c r="C516" s="10" t="str">
        <f>IFERROR(INDEX(Reference!$B$29:$B$200,MATCH(B516,Reference!$A$29:$A$200,0)),"")</f>
        <v/>
      </c>
      <c r="D516" s="13"/>
      <c r="E516" s="10" t="str">
        <f t="shared" si="8"/>
        <v/>
      </c>
      <c r="F516" s="8"/>
    </row>
    <row r="517" spans="1:6" ht="15" customHeight="1" x14ac:dyDescent="0.2">
      <c r="A517" s="9"/>
      <c r="B517" s="8"/>
      <c r="C517" s="10" t="str">
        <f>IFERROR(INDEX(Reference!$B$29:$B$200,MATCH(B517,Reference!$A$29:$A$200,0)),"")</f>
        <v/>
      </c>
      <c r="D517" s="13"/>
      <c r="E517" s="10" t="str">
        <f t="shared" si="8"/>
        <v/>
      </c>
      <c r="F517" s="8"/>
    </row>
    <row r="518" spans="1:6" ht="15" customHeight="1" x14ac:dyDescent="0.2">
      <c r="A518" s="9"/>
      <c r="B518" s="8"/>
      <c r="C518" s="10" t="str">
        <f>IFERROR(INDEX(Reference!$B$29:$B$200,MATCH(B518,Reference!$A$29:$A$200,0)),"")</f>
        <v/>
      </c>
      <c r="D518" s="13"/>
      <c r="E518" s="10" t="str">
        <f t="shared" si="8"/>
        <v/>
      </c>
      <c r="F518" s="8"/>
    </row>
    <row r="519" spans="1:6" ht="15" customHeight="1" x14ac:dyDescent="0.2">
      <c r="A519" s="9"/>
      <c r="B519" s="8"/>
      <c r="C519" s="10" t="str">
        <f>IFERROR(INDEX(Reference!$B$29:$B$200,MATCH(B519,Reference!$A$29:$A$200,0)),"")</f>
        <v/>
      </c>
      <c r="D519" s="13"/>
      <c r="E519" s="10" t="str">
        <f t="shared" si="8"/>
        <v/>
      </c>
      <c r="F519" s="8"/>
    </row>
    <row r="520" spans="1:6" ht="15" customHeight="1" x14ac:dyDescent="0.2">
      <c r="A520" s="9"/>
      <c r="B520" s="8"/>
      <c r="C520" s="10" t="str">
        <f>IFERROR(INDEX(Reference!$B$29:$B$200,MATCH(B520,Reference!$A$29:$A$200,0)),"")</f>
        <v/>
      </c>
      <c r="D520" s="13"/>
      <c r="E520" s="10" t="str">
        <f t="shared" si="8"/>
        <v/>
      </c>
      <c r="F520" s="8"/>
    </row>
    <row r="521" spans="1:6" ht="15" customHeight="1" x14ac:dyDescent="0.2">
      <c r="A521" s="9"/>
      <c r="B521" s="8"/>
      <c r="C521" s="10" t="str">
        <f>IFERROR(INDEX(Reference!$B$29:$B$200,MATCH(B521,Reference!$A$29:$A$200,0)),"")</f>
        <v/>
      </c>
      <c r="D521" s="13"/>
      <c r="E521" s="10" t="str">
        <f t="shared" si="8"/>
        <v/>
      </c>
      <c r="F521" s="8"/>
    </row>
    <row r="522" spans="1:6" ht="15" customHeight="1" x14ac:dyDescent="0.2">
      <c r="A522" s="9"/>
      <c r="B522" s="8"/>
      <c r="C522" s="10" t="str">
        <f>IFERROR(INDEX(Reference!$B$29:$B$200,MATCH(B522,Reference!$A$29:$A$200,0)),"")</f>
        <v/>
      </c>
      <c r="D522" s="13"/>
      <c r="E522" s="10" t="str">
        <f t="shared" si="8"/>
        <v/>
      </c>
      <c r="F522" s="8"/>
    </row>
    <row r="523" spans="1:6" ht="15" customHeight="1" x14ac:dyDescent="0.2">
      <c r="A523" s="9"/>
      <c r="B523" s="8"/>
      <c r="C523" s="10" t="str">
        <f>IFERROR(INDEX(Reference!$B$29:$B$200,MATCH(B523,Reference!$A$29:$A$200,0)),"")</f>
        <v/>
      </c>
      <c r="D523" s="13"/>
      <c r="E523" s="10" t="str">
        <f t="shared" si="8"/>
        <v/>
      </c>
      <c r="F523" s="8"/>
    </row>
    <row r="524" spans="1:6" ht="15" customHeight="1" x14ac:dyDescent="0.2">
      <c r="A524" s="9"/>
      <c r="B524" s="8"/>
      <c r="C524" s="10" t="str">
        <f>IFERROR(INDEX(Reference!$B$29:$B$200,MATCH(B524,Reference!$A$29:$A$200,0)),"")</f>
        <v/>
      </c>
      <c r="D524" s="13"/>
      <c r="E524" s="10" t="str">
        <f t="shared" si="8"/>
        <v/>
      </c>
      <c r="F524" s="8"/>
    </row>
    <row r="525" spans="1:6" ht="15" customHeight="1" x14ac:dyDescent="0.2">
      <c r="A525" s="9"/>
      <c r="B525" s="8"/>
      <c r="C525" s="10" t="str">
        <f>IFERROR(INDEX(Reference!$B$29:$B$200,MATCH(B525,Reference!$A$29:$A$200,0)),"")</f>
        <v/>
      </c>
      <c r="D525" s="13"/>
      <c r="E525" s="10" t="str">
        <f t="shared" si="8"/>
        <v/>
      </c>
      <c r="F525" s="8"/>
    </row>
    <row r="526" spans="1:6" ht="15" customHeight="1" x14ac:dyDescent="0.2">
      <c r="A526" s="9"/>
      <c r="B526" s="8"/>
      <c r="C526" s="10" t="str">
        <f>IFERROR(INDEX(Reference!$B$29:$B$200,MATCH(B526,Reference!$A$29:$A$200,0)),"")</f>
        <v/>
      </c>
      <c r="D526" s="13"/>
      <c r="E526" s="10" t="str">
        <f t="shared" si="8"/>
        <v/>
      </c>
      <c r="F526" s="8"/>
    </row>
    <row r="527" spans="1:6" ht="15" customHeight="1" x14ac:dyDescent="0.2">
      <c r="A527" s="9"/>
      <c r="B527" s="8"/>
      <c r="C527" s="10" t="str">
        <f>IFERROR(INDEX(Reference!$B$29:$B$200,MATCH(B527,Reference!$A$29:$A$200,0)),"")</f>
        <v/>
      </c>
      <c r="D527" s="13"/>
      <c r="E527" s="10" t="str">
        <f t="shared" si="8"/>
        <v/>
      </c>
      <c r="F527" s="8"/>
    </row>
    <row r="528" spans="1:6" ht="15" customHeight="1" x14ac:dyDescent="0.2">
      <c r="A528" s="9"/>
      <c r="B528" s="8"/>
      <c r="C528" s="10" t="str">
        <f>IFERROR(INDEX(Reference!$B$29:$B$200,MATCH(B528,Reference!$A$29:$A$200,0)),"")</f>
        <v/>
      </c>
      <c r="D528" s="13"/>
      <c r="E528" s="10" t="str">
        <f t="shared" si="8"/>
        <v/>
      </c>
      <c r="F528" s="8"/>
    </row>
    <row r="529" spans="1:6" ht="15" customHeight="1" x14ac:dyDescent="0.2">
      <c r="A529" s="9"/>
      <c r="B529" s="8"/>
      <c r="C529" s="10" t="str">
        <f>IFERROR(INDEX(Reference!$B$29:$B$200,MATCH(B529,Reference!$A$29:$A$200,0)),"")</f>
        <v/>
      </c>
      <c r="D529" s="13"/>
      <c r="E529" s="10" t="str">
        <f t="shared" si="8"/>
        <v/>
      </c>
      <c r="F529" s="8"/>
    </row>
    <row r="530" spans="1:6" ht="15" customHeight="1" x14ac:dyDescent="0.2">
      <c r="A530" s="9"/>
      <c r="B530" s="8"/>
      <c r="C530" s="10" t="str">
        <f>IFERROR(INDEX(Reference!$B$29:$B$200,MATCH(B530,Reference!$A$29:$A$200,0)),"")</f>
        <v/>
      </c>
      <c r="D530" s="13"/>
      <c r="E530" s="10" t="str">
        <f t="shared" si="8"/>
        <v/>
      </c>
      <c r="F530" s="8"/>
    </row>
    <row r="531" spans="1:6" ht="15" customHeight="1" x14ac:dyDescent="0.2">
      <c r="A531" s="9"/>
      <c r="B531" s="8"/>
      <c r="C531" s="10" t="str">
        <f>IFERROR(INDEX(Reference!$B$29:$B$200,MATCH(B531,Reference!$A$29:$A$200,0)),"")</f>
        <v/>
      </c>
      <c r="D531" s="13"/>
      <c r="E531" s="10" t="str">
        <f t="shared" si="8"/>
        <v/>
      </c>
      <c r="F531" s="8"/>
    </row>
    <row r="532" spans="1:6" ht="15" customHeight="1" x14ac:dyDescent="0.2">
      <c r="A532" s="9"/>
      <c r="B532" s="8"/>
      <c r="C532" s="10" t="str">
        <f>IFERROR(INDEX(Reference!$B$29:$B$200,MATCH(B532,Reference!$A$29:$A$200,0)),"")</f>
        <v/>
      </c>
      <c r="D532" s="13"/>
      <c r="E532" s="10" t="str">
        <f t="shared" si="8"/>
        <v/>
      </c>
      <c r="F532" s="8"/>
    </row>
    <row r="533" spans="1:6" ht="15" customHeight="1" x14ac:dyDescent="0.2">
      <c r="A533" s="9"/>
      <c r="B533" s="8"/>
      <c r="C533" s="10" t="str">
        <f>IFERROR(INDEX(Reference!$B$29:$B$200,MATCH(B533,Reference!$A$29:$A$200,0)),"")</f>
        <v/>
      </c>
      <c r="D533" s="13"/>
      <c r="E533" s="10" t="str">
        <f t="shared" si="8"/>
        <v/>
      </c>
      <c r="F533" s="8"/>
    </row>
    <row r="534" spans="1:6" ht="15" customHeight="1" x14ac:dyDescent="0.2">
      <c r="A534" s="9"/>
      <c r="B534" s="8"/>
      <c r="C534" s="10" t="str">
        <f>IFERROR(INDEX(Reference!$B$29:$B$200,MATCH(B534,Reference!$A$29:$A$200,0)),"")</f>
        <v/>
      </c>
      <c r="D534" s="13"/>
      <c r="E534" s="10" t="str">
        <f t="shared" si="8"/>
        <v/>
      </c>
      <c r="F534" s="8"/>
    </row>
    <row r="535" spans="1:6" ht="15" customHeight="1" x14ac:dyDescent="0.2">
      <c r="A535" s="9"/>
      <c r="B535" s="8"/>
      <c r="C535" s="10" t="str">
        <f>IFERROR(INDEX(Reference!$B$29:$B$200,MATCH(B535,Reference!$A$29:$A$200,0)),"")</f>
        <v/>
      </c>
      <c r="D535" s="13"/>
      <c r="E535" s="10" t="str">
        <f t="shared" si="8"/>
        <v/>
      </c>
      <c r="F535" s="8"/>
    </row>
    <row r="536" spans="1:6" ht="15" customHeight="1" x14ac:dyDescent="0.2">
      <c r="A536" s="9"/>
      <c r="B536" s="8"/>
      <c r="C536" s="10" t="str">
        <f>IFERROR(INDEX(Reference!$B$29:$B$200,MATCH(B536,Reference!$A$29:$A$200,0)),"")</f>
        <v/>
      </c>
      <c r="D536" s="13"/>
      <c r="E536" s="10" t="str">
        <f t="shared" si="8"/>
        <v/>
      </c>
      <c r="F536" s="8"/>
    </row>
    <row r="537" spans="1:6" ht="15" customHeight="1" x14ac:dyDescent="0.2">
      <c r="A537" s="9"/>
      <c r="B537" s="8"/>
      <c r="C537" s="10" t="str">
        <f>IFERROR(INDEX(Reference!$B$29:$B$200,MATCH(B537,Reference!$A$29:$A$200,0)),"")</f>
        <v/>
      </c>
      <c r="D537" s="13"/>
      <c r="E537" s="10" t="str">
        <f t="shared" si="8"/>
        <v/>
      </c>
      <c r="F537" s="8"/>
    </row>
    <row r="538" spans="1:6" ht="15" customHeight="1" x14ac:dyDescent="0.2">
      <c r="A538" s="9"/>
      <c r="B538" s="8"/>
      <c r="C538" s="10" t="str">
        <f>IFERROR(INDEX(Reference!$B$29:$B$200,MATCH(B538,Reference!$A$29:$A$200,0)),"")</f>
        <v/>
      </c>
      <c r="D538" s="13"/>
      <c r="E538" s="10" t="str">
        <f t="shared" si="8"/>
        <v/>
      </c>
      <c r="F538" s="8"/>
    </row>
    <row r="539" spans="1:6" ht="15" customHeight="1" x14ac:dyDescent="0.2">
      <c r="A539" s="9"/>
      <c r="B539" s="8"/>
      <c r="C539" s="10" t="str">
        <f>IFERROR(INDEX(Reference!$B$29:$B$200,MATCH(B539,Reference!$A$29:$A$200,0)),"")</f>
        <v/>
      </c>
      <c r="D539" s="13"/>
      <c r="E539" s="10" t="str">
        <f t="shared" si="8"/>
        <v/>
      </c>
      <c r="F539" s="8"/>
    </row>
    <row r="540" spans="1:6" ht="15" customHeight="1" x14ac:dyDescent="0.2">
      <c r="A540" s="9"/>
      <c r="B540" s="8"/>
      <c r="C540" s="10" t="str">
        <f>IFERROR(INDEX(Reference!$B$29:$B$200,MATCH(B540,Reference!$A$29:$A$200,0)),"")</f>
        <v/>
      </c>
      <c r="D540" s="13"/>
      <c r="E540" s="10" t="str">
        <f t="shared" si="8"/>
        <v/>
      </c>
      <c r="F540" s="8"/>
    </row>
    <row r="541" spans="1:6" ht="15" customHeight="1" x14ac:dyDescent="0.2">
      <c r="A541" s="9"/>
      <c r="B541" s="8"/>
      <c r="C541" s="10" t="str">
        <f>IFERROR(INDEX(Reference!$B$29:$B$200,MATCH(B541,Reference!$A$29:$A$200,0)),"")</f>
        <v/>
      </c>
      <c r="D541" s="13"/>
      <c r="E541" s="10" t="str">
        <f t="shared" si="8"/>
        <v/>
      </c>
      <c r="F541" s="8"/>
    </row>
    <row r="542" spans="1:6" ht="15" customHeight="1" x14ac:dyDescent="0.2">
      <c r="A542" s="9"/>
      <c r="B542" s="8"/>
      <c r="C542" s="10" t="str">
        <f>IFERROR(INDEX(Reference!$B$29:$B$200,MATCH(B542,Reference!$A$29:$A$200,0)),"")</f>
        <v/>
      </c>
      <c r="D542" s="13"/>
      <c r="E542" s="10" t="str">
        <f t="shared" si="8"/>
        <v/>
      </c>
      <c r="F542" s="8"/>
    </row>
    <row r="543" spans="1:6" ht="15" customHeight="1" x14ac:dyDescent="0.2">
      <c r="A543" s="9"/>
      <c r="B543" s="8"/>
      <c r="C543" s="10" t="str">
        <f>IFERROR(INDEX(Reference!$B$29:$B$200,MATCH(B543,Reference!$A$29:$A$200,0)),"")</f>
        <v/>
      </c>
      <c r="D543" s="13"/>
      <c r="E543" s="10" t="str">
        <f t="shared" si="8"/>
        <v/>
      </c>
      <c r="F543" s="8"/>
    </row>
    <row r="544" spans="1:6" ht="15" customHeight="1" x14ac:dyDescent="0.2">
      <c r="A544" s="9"/>
      <c r="B544" s="8"/>
      <c r="C544" s="10" t="str">
        <f>IFERROR(INDEX(Reference!$B$29:$B$200,MATCH(B544,Reference!$A$29:$A$200,0)),"")</f>
        <v/>
      </c>
      <c r="D544" s="13"/>
      <c r="E544" s="10" t="str">
        <f t="shared" si="8"/>
        <v/>
      </c>
      <c r="F544" s="8"/>
    </row>
    <row r="545" spans="1:6" ht="15" customHeight="1" x14ac:dyDescent="0.2">
      <c r="A545" s="9"/>
      <c r="B545" s="8"/>
      <c r="C545" s="10" t="str">
        <f>IFERROR(INDEX(Reference!$B$29:$B$200,MATCH(B545,Reference!$A$29:$A$200,0)),"")</f>
        <v/>
      </c>
      <c r="D545" s="13"/>
      <c r="E545" s="10" t="str">
        <f t="shared" si="8"/>
        <v/>
      </c>
      <c r="F545" s="8"/>
    </row>
    <row r="546" spans="1:6" ht="15" customHeight="1" x14ac:dyDescent="0.2">
      <c r="A546" s="9"/>
      <c r="B546" s="8"/>
      <c r="C546" s="10" t="str">
        <f>IFERROR(INDEX(Reference!$B$29:$B$200,MATCH(B546,Reference!$A$29:$A$200,0)),"")</f>
        <v/>
      </c>
      <c r="D546" s="13"/>
      <c r="E546" s="10" t="str">
        <f t="shared" si="8"/>
        <v/>
      </c>
      <c r="F546" s="8"/>
    </row>
    <row r="547" spans="1:6" ht="15" customHeight="1" x14ac:dyDescent="0.2">
      <c r="A547" s="9"/>
      <c r="B547" s="8"/>
      <c r="C547" s="10" t="str">
        <f>IFERROR(INDEX(Reference!$B$29:$B$200,MATCH(B547,Reference!$A$29:$A$200,0)),"")</f>
        <v/>
      </c>
      <c r="D547" s="13"/>
      <c r="E547" s="10" t="str">
        <f t="shared" si="8"/>
        <v/>
      </c>
      <c r="F547" s="8"/>
    </row>
    <row r="548" spans="1:6" ht="15" customHeight="1" x14ac:dyDescent="0.2">
      <c r="A548" s="9"/>
      <c r="B548" s="8"/>
      <c r="C548" s="10" t="str">
        <f>IFERROR(INDEX(Reference!$B$29:$B$200,MATCH(B548,Reference!$A$29:$A$200,0)),"")</f>
        <v/>
      </c>
      <c r="D548" s="13"/>
      <c r="E548" s="10" t="str">
        <f t="shared" si="8"/>
        <v/>
      </c>
      <c r="F548" s="8"/>
    </row>
    <row r="549" spans="1:6" ht="15" customHeight="1" x14ac:dyDescent="0.2">
      <c r="A549" s="9"/>
      <c r="B549" s="8"/>
      <c r="C549" s="10" t="str">
        <f>IFERROR(INDEX(Reference!$B$29:$B$200,MATCH(B549,Reference!$A$29:$A$200,0)),"")</f>
        <v/>
      </c>
      <c r="D549" s="13"/>
      <c r="E549" s="10" t="str">
        <f t="shared" si="8"/>
        <v/>
      </c>
      <c r="F549" s="8"/>
    </row>
    <row r="550" spans="1:6" ht="15" customHeight="1" x14ac:dyDescent="0.2">
      <c r="A550" s="9"/>
      <c r="B550" s="8"/>
      <c r="C550" s="10" t="str">
        <f>IFERROR(INDEX(Reference!$B$29:$B$200,MATCH(B550,Reference!$A$29:$A$200,0)),"")</f>
        <v/>
      </c>
      <c r="D550" s="13"/>
      <c r="E550" s="10" t="str">
        <f t="shared" si="8"/>
        <v/>
      </c>
      <c r="F550" s="8"/>
    </row>
    <row r="551" spans="1:6" ht="15" customHeight="1" x14ac:dyDescent="0.2">
      <c r="A551" s="9"/>
      <c r="B551" s="8"/>
      <c r="C551" s="10" t="str">
        <f>IFERROR(INDEX(Reference!$B$29:$B$200,MATCH(B551,Reference!$A$29:$A$200,0)),"")</f>
        <v/>
      </c>
      <c r="D551" s="13"/>
      <c r="E551" s="10" t="str">
        <f t="shared" si="8"/>
        <v/>
      </c>
      <c r="F551" s="8"/>
    </row>
    <row r="552" spans="1:6" ht="15" customHeight="1" x14ac:dyDescent="0.2">
      <c r="A552" s="9"/>
      <c r="B552" s="8"/>
      <c r="C552" s="10" t="str">
        <f>IFERROR(INDEX(Reference!$B$29:$B$200,MATCH(B552,Reference!$A$29:$A$200,0)),"")</f>
        <v/>
      </c>
      <c r="D552" s="13"/>
      <c r="E552" s="10" t="str">
        <f t="shared" si="8"/>
        <v/>
      </c>
      <c r="F552" s="8"/>
    </row>
    <row r="553" spans="1:6" ht="15" customHeight="1" x14ac:dyDescent="0.2">
      <c r="A553" s="9"/>
      <c r="B553" s="8"/>
      <c r="C553" s="10" t="str">
        <f>IFERROR(INDEX(Reference!$B$29:$B$200,MATCH(B553,Reference!$A$29:$A$200,0)),"")</f>
        <v/>
      </c>
      <c r="D553" s="13"/>
      <c r="E553" s="10" t="str">
        <f t="shared" si="8"/>
        <v/>
      </c>
      <c r="F553" s="8"/>
    </row>
    <row r="554" spans="1:6" ht="15" customHeight="1" x14ac:dyDescent="0.2">
      <c r="A554" s="9"/>
      <c r="B554" s="8"/>
      <c r="C554" s="10" t="str">
        <f>IFERROR(INDEX(Reference!$B$29:$B$200,MATCH(B554,Reference!$A$29:$A$200,0)),"")</f>
        <v/>
      </c>
      <c r="D554" s="13"/>
      <c r="E554" s="10" t="str">
        <f t="shared" si="8"/>
        <v/>
      </c>
      <c r="F554" s="8"/>
    </row>
    <row r="555" spans="1:6" ht="15" customHeight="1" x14ac:dyDescent="0.2">
      <c r="A555" s="9"/>
      <c r="B555" s="8"/>
      <c r="C555" s="10" t="str">
        <f>IFERROR(INDEX(Reference!$B$29:$B$200,MATCH(B555,Reference!$A$29:$A$200,0)),"")</f>
        <v/>
      </c>
      <c r="D555" s="13"/>
      <c r="E555" s="10" t="str">
        <f t="shared" si="8"/>
        <v/>
      </c>
      <c r="F555" s="8"/>
    </row>
    <row r="556" spans="1:6" ht="15" customHeight="1" x14ac:dyDescent="0.2">
      <c r="A556" s="9"/>
      <c r="B556" s="8"/>
      <c r="C556" s="10" t="str">
        <f>IFERROR(INDEX(Reference!$B$29:$B$200,MATCH(B556,Reference!$A$29:$A$200,0)),"")</f>
        <v/>
      </c>
      <c r="D556" s="13"/>
      <c r="E556" s="10" t="str">
        <f t="shared" si="8"/>
        <v/>
      </c>
      <c r="F556" s="8"/>
    </row>
    <row r="557" spans="1:6" ht="15" customHeight="1" x14ac:dyDescent="0.2">
      <c r="A557" s="9"/>
      <c r="B557" s="8"/>
      <c r="C557" s="10" t="str">
        <f>IFERROR(INDEX(Reference!$B$29:$B$200,MATCH(B557,Reference!$A$29:$A$200,0)),"")</f>
        <v/>
      </c>
      <c r="D557" s="13"/>
      <c r="E557" s="10" t="str">
        <f t="shared" si="8"/>
        <v/>
      </c>
      <c r="F557" s="8"/>
    </row>
    <row r="558" spans="1:6" ht="15" customHeight="1" x14ac:dyDescent="0.2">
      <c r="A558" s="9"/>
      <c r="B558" s="8"/>
      <c r="C558" s="10" t="str">
        <f>IFERROR(INDEX(Reference!$B$29:$B$200,MATCH(B558,Reference!$A$29:$A$200,0)),"")</f>
        <v/>
      </c>
      <c r="D558" s="13"/>
      <c r="E558" s="10" t="str">
        <f t="shared" si="8"/>
        <v/>
      </c>
      <c r="F558" s="8"/>
    </row>
    <row r="559" spans="1:6" ht="15" customHeight="1" x14ac:dyDescent="0.2">
      <c r="A559" s="9"/>
      <c r="B559" s="8"/>
      <c r="C559" s="10" t="str">
        <f>IFERROR(INDEX(Reference!$B$29:$B$200,MATCH(B559,Reference!$A$29:$A$200,0)),"")</f>
        <v/>
      </c>
      <c r="D559" s="13"/>
      <c r="E559" s="10" t="str">
        <f t="shared" si="8"/>
        <v/>
      </c>
      <c r="F559" s="8"/>
    </row>
    <row r="560" spans="1:6" ht="15" customHeight="1" x14ac:dyDescent="0.2">
      <c r="A560" s="9"/>
      <c r="B560" s="8"/>
      <c r="C560" s="10" t="str">
        <f>IFERROR(INDEX(Reference!$B$29:$B$200,MATCH(B560,Reference!$A$29:$A$200,0)),"")</f>
        <v/>
      </c>
      <c r="D560" s="13"/>
      <c r="E560" s="10" t="str">
        <f t="shared" si="8"/>
        <v/>
      </c>
      <c r="F560" s="8"/>
    </row>
    <row r="561" spans="1:6" ht="15" customHeight="1" x14ac:dyDescent="0.2">
      <c r="A561" s="9"/>
      <c r="B561" s="8"/>
      <c r="C561" s="10" t="str">
        <f>IFERROR(INDEX(Reference!$B$29:$B$200,MATCH(B561,Reference!$A$29:$A$200,0)),"")</f>
        <v/>
      </c>
      <c r="D561" s="13"/>
      <c r="E561" s="10" t="str">
        <f t="shared" si="8"/>
        <v/>
      </c>
      <c r="F561" s="8"/>
    </row>
    <row r="562" spans="1:6" ht="15" customHeight="1" x14ac:dyDescent="0.2">
      <c r="A562" s="9"/>
      <c r="B562" s="8"/>
      <c r="C562" s="10" t="str">
        <f>IFERROR(INDEX(Reference!$B$29:$B$200,MATCH(B562,Reference!$A$29:$A$200,0)),"")</f>
        <v/>
      </c>
      <c r="D562" s="13"/>
      <c r="E562" s="10" t="str">
        <f t="shared" si="8"/>
        <v/>
      </c>
      <c r="F562" s="8"/>
    </row>
    <row r="563" spans="1:6" ht="15" customHeight="1" x14ac:dyDescent="0.2">
      <c r="A563" s="9"/>
      <c r="B563" s="8"/>
      <c r="C563" s="10" t="str">
        <f>IFERROR(INDEX(Reference!$B$29:$B$200,MATCH(B563,Reference!$A$29:$A$200,0)),"")</f>
        <v/>
      </c>
      <c r="D563" s="13"/>
      <c r="E563" s="10" t="str">
        <f t="shared" si="8"/>
        <v/>
      </c>
      <c r="F563" s="8"/>
    </row>
    <row r="564" spans="1:6" ht="15" customHeight="1" x14ac:dyDescent="0.2">
      <c r="A564" s="9"/>
      <c r="B564" s="8"/>
      <c r="C564" s="10" t="str">
        <f>IFERROR(INDEX(Reference!$B$29:$B$200,MATCH(B564,Reference!$A$29:$A$200,0)),"")</f>
        <v/>
      </c>
      <c r="D564" s="13"/>
      <c r="E564" s="10" t="str">
        <f t="shared" si="8"/>
        <v/>
      </c>
      <c r="F564" s="8"/>
    </row>
    <row r="565" spans="1:6" ht="15" customHeight="1" x14ac:dyDescent="0.2">
      <c r="A565" s="9"/>
      <c r="B565" s="8"/>
      <c r="C565" s="10" t="str">
        <f>IFERROR(INDEX(Reference!$B$29:$B$200,MATCH(B565,Reference!$A$29:$A$200,0)),"")</f>
        <v/>
      </c>
      <c r="D565" s="13"/>
      <c r="E565" s="10" t="str">
        <f t="shared" si="8"/>
        <v/>
      </c>
      <c r="F565" s="8"/>
    </row>
    <row r="566" spans="1:6" ht="15" customHeight="1" x14ac:dyDescent="0.2">
      <c r="A566" s="9"/>
      <c r="B566" s="8"/>
      <c r="C566" s="10" t="str">
        <f>IFERROR(INDEX(Reference!$B$29:$B$200,MATCH(B566,Reference!$A$29:$A$200,0)),"")</f>
        <v/>
      </c>
      <c r="D566" s="13"/>
      <c r="E566" s="10" t="str">
        <f t="shared" si="8"/>
        <v/>
      </c>
      <c r="F566" s="8"/>
    </row>
    <row r="567" spans="1:6" ht="15" customHeight="1" x14ac:dyDescent="0.2">
      <c r="A567" s="9"/>
      <c r="B567" s="8"/>
      <c r="C567" s="10" t="str">
        <f>IFERROR(INDEX(Reference!$B$29:$B$200,MATCH(B567,Reference!$A$29:$A$200,0)),"")</f>
        <v/>
      </c>
      <c r="D567" s="13"/>
      <c r="E567" s="10" t="str">
        <f t="shared" si="8"/>
        <v/>
      </c>
      <c r="F567" s="8"/>
    </row>
    <row r="568" spans="1:6" ht="15" customHeight="1" x14ac:dyDescent="0.2">
      <c r="A568" s="9"/>
      <c r="B568" s="8"/>
      <c r="C568" s="10" t="str">
        <f>IFERROR(INDEX(Reference!$B$29:$B$200,MATCH(B568,Reference!$A$29:$A$200,0)),"")</f>
        <v/>
      </c>
      <c r="D568" s="13"/>
      <c r="E568" s="10" t="str">
        <f t="shared" si="8"/>
        <v/>
      </c>
      <c r="F568" s="8"/>
    </row>
    <row r="569" spans="1:6" ht="15" customHeight="1" x14ac:dyDescent="0.2">
      <c r="A569" s="9"/>
      <c r="B569" s="8"/>
      <c r="C569" s="10" t="str">
        <f>IFERROR(INDEX(Reference!$B$29:$B$200,MATCH(B569,Reference!$A$29:$A$200,0)),"")</f>
        <v/>
      </c>
      <c r="D569" s="13"/>
      <c r="E569" s="10" t="str">
        <f t="shared" si="8"/>
        <v/>
      </c>
      <c r="F569" s="8"/>
    </row>
    <row r="570" spans="1:6" ht="15" customHeight="1" x14ac:dyDescent="0.2">
      <c r="A570" s="9"/>
      <c r="B570" s="8"/>
      <c r="C570" s="10" t="str">
        <f>IFERROR(INDEX(Reference!$B$29:$B$200,MATCH(B570,Reference!$A$29:$A$200,0)),"")</f>
        <v/>
      </c>
      <c r="D570" s="13"/>
      <c r="E570" s="10" t="str">
        <f t="shared" si="8"/>
        <v/>
      </c>
      <c r="F570" s="8"/>
    </row>
    <row r="571" spans="1:6" ht="15" customHeight="1" x14ac:dyDescent="0.2">
      <c r="A571" s="9"/>
      <c r="B571" s="8"/>
      <c r="C571" s="10" t="str">
        <f>IFERROR(INDEX(Reference!$B$29:$B$200,MATCH(B571,Reference!$A$29:$A$200,0)),"")</f>
        <v/>
      </c>
      <c r="D571" s="13"/>
      <c r="E571" s="10" t="str">
        <f t="shared" si="8"/>
        <v/>
      </c>
      <c r="F571" s="8"/>
    </row>
    <row r="572" spans="1:6" ht="15" customHeight="1" x14ac:dyDescent="0.2">
      <c r="A572" s="9"/>
      <c r="B572" s="8"/>
      <c r="C572" s="10" t="str">
        <f>IFERROR(INDEX(Reference!$B$29:$B$200,MATCH(B572,Reference!$A$29:$A$200,0)),"")</f>
        <v/>
      </c>
      <c r="D572" s="13"/>
      <c r="E572" s="10" t="str">
        <f t="shared" si="8"/>
        <v/>
      </c>
      <c r="F572" s="8"/>
    </row>
    <row r="573" spans="1:6" ht="15" customHeight="1" x14ac:dyDescent="0.2">
      <c r="A573" s="9"/>
      <c r="B573" s="8"/>
      <c r="C573" s="10" t="str">
        <f>IFERROR(INDEX(Reference!$B$29:$B$200,MATCH(B573,Reference!$A$29:$A$200,0)),"")</f>
        <v/>
      </c>
      <c r="D573" s="13"/>
      <c r="E573" s="10" t="str">
        <f t="shared" si="8"/>
        <v/>
      </c>
      <c r="F573" s="8"/>
    </row>
    <row r="574" spans="1:6" ht="15" customHeight="1" x14ac:dyDescent="0.2">
      <c r="A574" s="9"/>
      <c r="B574" s="8"/>
      <c r="C574" s="10" t="str">
        <f>IFERROR(INDEX(Reference!$B$29:$B$200,MATCH(B574,Reference!$A$29:$A$200,0)),"")</f>
        <v/>
      </c>
      <c r="D574" s="13"/>
      <c r="E574" s="10" t="str">
        <f t="shared" si="8"/>
        <v/>
      </c>
      <c r="F574" s="8"/>
    </row>
    <row r="575" spans="1:6" ht="15" customHeight="1" x14ac:dyDescent="0.2">
      <c r="A575" s="9"/>
      <c r="B575" s="8"/>
      <c r="C575" s="10" t="str">
        <f>IFERROR(INDEX(Reference!$B$29:$B$200,MATCH(B575,Reference!$A$29:$A$200,0)),"")</f>
        <v/>
      </c>
      <c r="D575" s="13"/>
      <c r="E575" s="10" t="str">
        <f t="shared" si="8"/>
        <v/>
      </c>
      <c r="F575" s="8"/>
    </row>
    <row r="576" spans="1:6" ht="15" customHeight="1" x14ac:dyDescent="0.2">
      <c r="A576" s="9"/>
      <c r="B576" s="8"/>
      <c r="C576" s="10" t="str">
        <f>IFERROR(INDEX(Reference!$B$29:$B$200,MATCH(B576,Reference!$A$29:$A$200,0)),"")</f>
        <v/>
      </c>
      <c r="D576" s="13"/>
      <c r="E576" s="10" t="str">
        <f t="shared" si="8"/>
        <v/>
      </c>
      <c r="F576" s="8"/>
    </row>
    <row r="577" spans="1:6" ht="15" customHeight="1" x14ac:dyDescent="0.2">
      <c r="A577" s="9"/>
      <c r="B577" s="8"/>
      <c r="C577" s="10" t="str">
        <f>IFERROR(INDEX(Reference!$B$29:$B$200,MATCH(B577,Reference!$A$29:$A$200,0)),"")</f>
        <v/>
      </c>
      <c r="D577" s="13"/>
      <c r="E577" s="10" t="str">
        <f t="shared" si="8"/>
        <v/>
      </c>
      <c r="F577" s="8"/>
    </row>
    <row r="578" spans="1:6" ht="15" customHeight="1" x14ac:dyDescent="0.2">
      <c r="A578" s="9"/>
      <c r="B578" s="8"/>
      <c r="C578" s="10" t="str">
        <f>IFERROR(INDEX(Reference!$B$29:$B$200,MATCH(B578,Reference!$A$29:$A$200,0)),"")</f>
        <v/>
      </c>
      <c r="D578" s="13"/>
      <c r="E578" s="10" t="str">
        <f t="shared" ref="E578:E641" si="9">IF(A578="","",IF(MONTH(A578)&gt;=8,YEAR(A578)&amp;"-"&amp;RIGHT(YEAR(A578)+1,2),YEAR(A578)-1&amp;"-"&amp;RIGHT(YEAR(A578),2)))</f>
        <v/>
      </c>
      <c r="F578" s="8"/>
    </row>
    <row r="579" spans="1:6" ht="15" customHeight="1" x14ac:dyDescent="0.2">
      <c r="A579" s="9"/>
      <c r="B579" s="8"/>
      <c r="C579" s="10" t="str">
        <f>IFERROR(INDEX(Reference!$B$29:$B$200,MATCH(B579,Reference!$A$29:$A$200,0)),"")</f>
        <v/>
      </c>
      <c r="D579" s="13"/>
      <c r="E579" s="10" t="str">
        <f t="shared" si="9"/>
        <v/>
      </c>
      <c r="F579" s="8"/>
    </row>
    <row r="580" spans="1:6" ht="15" customHeight="1" x14ac:dyDescent="0.2">
      <c r="A580" s="9"/>
      <c r="B580" s="8"/>
      <c r="C580" s="10" t="str">
        <f>IFERROR(INDEX(Reference!$B$29:$B$200,MATCH(B580,Reference!$A$29:$A$200,0)),"")</f>
        <v/>
      </c>
      <c r="D580" s="13"/>
      <c r="E580" s="10" t="str">
        <f t="shared" si="9"/>
        <v/>
      </c>
      <c r="F580" s="8"/>
    </row>
    <row r="581" spans="1:6" ht="15" customHeight="1" x14ac:dyDescent="0.2">
      <c r="A581" s="9"/>
      <c r="B581" s="8"/>
      <c r="C581" s="10" t="str">
        <f>IFERROR(INDEX(Reference!$B$29:$B$200,MATCH(B581,Reference!$A$29:$A$200,0)),"")</f>
        <v/>
      </c>
      <c r="D581" s="13"/>
      <c r="E581" s="10" t="str">
        <f t="shared" si="9"/>
        <v/>
      </c>
      <c r="F581" s="8"/>
    </row>
    <row r="582" spans="1:6" ht="15" customHeight="1" x14ac:dyDescent="0.2">
      <c r="A582" s="9"/>
      <c r="B582" s="8"/>
      <c r="C582" s="10" t="str">
        <f>IFERROR(INDEX(Reference!$B$29:$B$200,MATCH(B582,Reference!$A$29:$A$200,0)),"")</f>
        <v/>
      </c>
      <c r="D582" s="13"/>
      <c r="E582" s="10" t="str">
        <f t="shared" si="9"/>
        <v/>
      </c>
      <c r="F582" s="8"/>
    </row>
    <row r="583" spans="1:6" ht="15" customHeight="1" x14ac:dyDescent="0.2">
      <c r="A583" s="9"/>
      <c r="B583" s="8"/>
      <c r="C583" s="10" t="str">
        <f>IFERROR(INDEX(Reference!$B$29:$B$200,MATCH(B583,Reference!$A$29:$A$200,0)),"")</f>
        <v/>
      </c>
      <c r="D583" s="13"/>
      <c r="E583" s="10" t="str">
        <f t="shared" si="9"/>
        <v/>
      </c>
      <c r="F583" s="8"/>
    </row>
    <row r="584" spans="1:6" ht="15" customHeight="1" x14ac:dyDescent="0.2">
      <c r="A584" s="9"/>
      <c r="B584" s="8"/>
      <c r="C584" s="10" t="str">
        <f>IFERROR(INDEX(Reference!$B$29:$B$200,MATCH(B584,Reference!$A$29:$A$200,0)),"")</f>
        <v/>
      </c>
      <c r="D584" s="13"/>
      <c r="E584" s="10" t="str">
        <f t="shared" si="9"/>
        <v/>
      </c>
      <c r="F584" s="8"/>
    </row>
    <row r="585" spans="1:6" ht="15" customHeight="1" x14ac:dyDescent="0.2">
      <c r="A585" s="9"/>
      <c r="B585" s="8"/>
      <c r="C585" s="10" t="str">
        <f>IFERROR(INDEX(Reference!$B$29:$B$200,MATCH(B585,Reference!$A$29:$A$200,0)),"")</f>
        <v/>
      </c>
      <c r="D585" s="13"/>
      <c r="E585" s="10" t="str">
        <f t="shared" si="9"/>
        <v/>
      </c>
      <c r="F585" s="8"/>
    </row>
    <row r="586" spans="1:6" ht="15" customHeight="1" x14ac:dyDescent="0.2">
      <c r="A586" s="9"/>
      <c r="B586" s="8"/>
      <c r="C586" s="10" t="str">
        <f>IFERROR(INDEX(Reference!$B$29:$B$200,MATCH(B586,Reference!$A$29:$A$200,0)),"")</f>
        <v/>
      </c>
      <c r="D586" s="13"/>
      <c r="E586" s="10" t="str">
        <f t="shared" si="9"/>
        <v/>
      </c>
      <c r="F586" s="8"/>
    </row>
    <row r="587" spans="1:6" ht="15" customHeight="1" x14ac:dyDescent="0.2">
      <c r="A587" s="9"/>
      <c r="B587" s="8"/>
      <c r="C587" s="10" t="str">
        <f>IFERROR(INDEX(Reference!$B$29:$B$200,MATCH(B587,Reference!$A$29:$A$200,0)),"")</f>
        <v/>
      </c>
      <c r="D587" s="13"/>
      <c r="E587" s="10" t="str">
        <f t="shared" si="9"/>
        <v/>
      </c>
      <c r="F587" s="8"/>
    </row>
    <row r="588" spans="1:6" ht="15" customHeight="1" x14ac:dyDescent="0.2">
      <c r="A588" s="9"/>
      <c r="B588" s="8"/>
      <c r="C588" s="10" t="str">
        <f>IFERROR(INDEX(Reference!$B$29:$B$200,MATCH(B588,Reference!$A$29:$A$200,0)),"")</f>
        <v/>
      </c>
      <c r="D588" s="13"/>
      <c r="E588" s="10" t="str">
        <f t="shared" si="9"/>
        <v/>
      </c>
      <c r="F588" s="8"/>
    </row>
    <row r="589" spans="1:6" ht="15" customHeight="1" x14ac:dyDescent="0.2">
      <c r="A589" s="9"/>
      <c r="B589" s="8"/>
      <c r="C589" s="10" t="str">
        <f>IFERROR(INDEX(Reference!$B$29:$B$200,MATCH(B589,Reference!$A$29:$A$200,0)),"")</f>
        <v/>
      </c>
      <c r="D589" s="13"/>
      <c r="E589" s="10" t="str">
        <f t="shared" si="9"/>
        <v/>
      </c>
      <c r="F589" s="8"/>
    </row>
    <row r="590" spans="1:6" ht="15" customHeight="1" x14ac:dyDescent="0.2">
      <c r="A590" s="9"/>
      <c r="B590" s="8"/>
      <c r="C590" s="10" t="str">
        <f>IFERROR(INDEX(Reference!$B$29:$B$200,MATCH(B590,Reference!$A$29:$A$200,0)),"")</f>
        <v/>
      </c>
      <c r="D590" s="13"/>
      <c r="E590" s="10" t="str">
        <f t="shared" si="9"/>
        <v/>
      </c>
      <c r="F590" s="8"/>
    </row>
    <row r="591" spans="1:6" ht="15" customHeight="1" x14ac:dyDescent="0.2">
      <c r="A591" s="9"/>
      <c r="B591" s="8"/>
      <c r="C591" s="10" t="str">
        <f>IFERROR(INDEX(Reference!$B$29:$B$200,MATCH(B591,Reference!$A$29:$A$200,0)),"")</f>
        <v/>
      </c>
      <c r="D591" s="13"/>
      <c r="E591" s="10" t="str">
        <f t="shared" si="9"/>
        <v/>
      </c>
      <c r="F591" s="8"/>
    </row>
    <row r="592" spans="1:6" ht="15" customHeight="1" x14ac:dyDescent="0.2">
      <c r="A592" s="9"/>
      <c r="B592" s="8"/>
      <c r="C592" s="10" t="str">
        <f>IFERROR(INDEX(Reference!$B$29:$B$200,MATCH(B592,Reference!$A$29:$A$200,0)),"")</f>
        <v/>
      </c>
      <c r="D592" s="13"/>
      <c r="E592" s="10" t="str">
        <f t="shared" si="9"/>
        <v/>
      </c>
      <c r="F592" s="8"/>
    </row>
    <row r="593" spans="1:6" ht="15" customHeight="1" x14ac:dyDescent="0.2">
      <c r="A593" s="9"/>
      <c r="B593" s="8"/>
      <c r="C593" s="10" t="str">
        <f>IFERROR(INDEX(Reference!$B$29:$B$200,MATCH(B593,Reference!$A$29:$A$200,0)),"")</f>
        <v/>
      </c>
      <c r="D593" s="13"/>
      <c r="E593" s="10" t="str">
        <f t="shared" si="9"/>
        <v/>
      </c>
      <c r="F593" s="8"/>
    </row>
    <row r="594" spans="1:6" ht="15" customHeight="1" x14ac:dyDescent="0.2">
      <c r="A594" s="9"/>
      <c r="B594" s="8"/>
      <c r="C594" s="10" t="str">
        <f>IFERROR(INDEX(Reference!$B$29:$B$200,MATCH(B594,Reference!$A$29:$A$200,0)),"")</f>
        <v/>
      </c>
      <c r="D594" s="13"/>
      <c r="E594" s="10" t="str">
        <f t="shared" si="9"/>
        <v/>
      </c>
      <c r="F594" s="8"/>
    </row>
    <row r="595" spans="1:6" ht="15" customHeight="1" x14ac:dyDescent="0.2">
      <c r="A595" s="9"/>
      <c r="B595" s="8"/>
      <c r="C595" s="10" t="str">
        <f>IFERROR(INDEX(Reference!$B$29:$B$200,MATCH(B595,Reference!$A$29:$A$200,0)),"")</f>
        <v/>
      </c>
      <c r="D595" s="13"/>
      <c r="E595" s="10" t="str">
        <f t="shared" si="9"/>
        <v/>
      </c>
      <c r="F595" s="8"/>
    </row>
    <row r="596" spans="1:6" ht="15" customHeight="1" x14ac:dyDescent="0.2">
      <c r="A596" s="9"/>
      <c r="B596" s="8"/>
      <c r="C596" s="10" t="str">
        <f>IFERROR(INDEX(Reference!$B$29:$B$200,MATCH(B596,Reference!$A$29:$A$200,0)),"")</f>
        <v/>
      </c>
      <c r="D596" s="13"/>
      <c r="E596" s="10" t="str">
        <f t="shared" si="9"/>
        <v/>
      </c>
      <c r="F596" s="8"/>
    </row>
    <row r="597" spans="1:6" ht="15" customHeight="1" x14ac:dyDescent="0.2">
      <c r="A597" s="9"/>
      <c r="B597" s="8"/>
      <c r="C597" s="10" t="str">
        <f>IFERROR(INDEX(Reference!$B$29:$B$200,MATCH(B597,Reference!$A$29:$A$200,0)),"")</f>
        <v/>
      </c>
      <c r="D597" s="13"/>
      <c r="E597" s="10" t="str">
        <f t="shared" si="9"/>
        <v/>
      </c>
      <c r="F597" s="8"/>
    </row>
    <row r="598" spans="1:6" ht="15" customHeight="1" x14ac:dyDescent="0.2">
      <c r="A598" s="9"/>
      <c r="B598" s="8"/>
      <c r="C598" s="10" t="str">
        <f>IFERROR(INDEX(Reference!$B$29:$B$200,MATCH(B598,Reference!$A$29:$A$200,0)),"")</f>
        <v/>
      </c>
      <c r="D598" s="13"/>
      <c r="E598" s="10" t="str">
        <f t="shared" si="9"/>
        <v/>
      </c>
      <c r="F598" s="8"/>
    </row>
    <row r="599" spans="1:6" ht="15" customHeight="1" x14ac:dyDescent="0.2">
      <c r="A599" s="9"/>
      <c r="B599" s="8"/>
      <c r="C599" s="10" t="str">
        <f>IFERROR(INDEX(Reference!$B$29:$B$200,MATCH(B599,Reference!$A$29:$A$200,0)),"")</f>
        <v/>
      </c>
      <c r="D599" s="13"/>
      <c r="E599" s="10" t="str">
        <f t="shared" si="9"/>
        <v/>
      </c>
      <c r="F599" s="8"/>
    </row>
    <row r="600" spans="1:6" ht="15" customHeight="1" x14ac:dyDescent="0.2">
      <c r="A600" s="9"/>
      <c r="B600" s="8"/>
      <c r="C600" s="10" t="str">
        <f>IFERROR(INDEX(Reference!$B$29:$B$200,MATCH(B600,Reference!$A$29:$A$200,0)),"")</f>
        <v/>
      </c>
      <c r="D600" s="13"/>
      <c r="E600" s="10" t="str">
        <f t="shared" si="9"/>
        <v/>
      </c>
      <c r="F600" s="8"/>
    </row>
    <row r="601" spans="1:6" ht="15" customHeight="1" x14ac:dyDescent="0.2">
      <c r="A601" s="9"/>
      <c r="B601" s="8"/>
      <c r="C601" s="10" t="str">
        <f>IFERROR(INDEX(Reference!$B$29:$B$200,MATCH(B601,Reference!$A$29:$A$200,0)),"")</f>
        <v/>
      </c>
      <c r="D601" s="13"/>
      <c r="E601" s="10" t="str">
        <f t="shared" si="9"/>
        <v/>
      </c>
      <c r="F601" s="8"/>
    </row>
    <row r="602" spans="1:6" ht="15" customHeight="1" x14ac:dyDescent="0.2">
      <c r="A602" s="9"/>
      <c r="B602" s="8"/>
      <c r="C602" s="10" t="str">
        <f>IFERROR(INDEX(Reference!$B$29:$B$200,MATCH(B602,Reference!$A$29:$A$200,0)),"")</f>
        <v/>
      </c>
      <c r="D602" s="13"/>
      <c r="E602" s="10" t="str">
        <f t="shared" si="9"/>
        <v/>
      </c>
      <c r="F602" s="8"/>
    </row>
    <row r="603" spans="1:6" ht="15" customHeight="1" x14ac:dyDescent="0.2">
      <c r="A603" s="9"/>
      <c r="B603" s="8"/>
      <c r="C603" s="10" t="str">
        <f>IFERROR(INDEX(Reference!$B$29:$B$200,MATCH(B603,Reference!$A$29:$A$200,0)),"")</f>
        <v/>
      </c>
      <c r="D603" s="13"/>
      <c r="E603" s="10" t="str">
        <f t="shared" si="9"/>
        <v/>
      </c>
      <c r="F603" s="8"/>
    </row>
    <row r="604" spans="1:6" ht="15" customHeight="1" x14ac:dyDescent="0.2">
      <c r="A604" s="9"/>
      <c r="B604" s="8"/>
      <c r="C604" s="10" t="str">
        <f>IFERROR(INDEX(Reference!$B$29:$B$200,MATCH(B604,Reference!$A$29:$A$200,0)),"")</f>
        <v/>
      </c>
      <c r="D604" s="13"/>
      <c r="E604" s="10" t="str">
        <f t="shared" si="9"/>
        <v/>
      </c>
      <c r="F604" s="8"/>
    </row>
    <row r="605" spans="1:6" ht="15" customHeight="1" x14ac:dyDescent="0.2">
      <c r="A605" s="9"/>
      <c r="B605" s="8"/>
      <c r="C605" s="10" t="str">
        <f>IFERROR(INDEX(Reference!$B$29:$B$200,MATCH(B605,Reference!$A$29:$A$200,0)),"")</f>
        <v/>
      </c>
      <c r="D605" s="13"/>
      <c r="E605" s="10" t="str">
        <f t="shared" si="9"/>
        <v/>
      </c>
      <c r="F605" s="8"/>
    </row>
    <row r="606" spans="1:6" ht="15" customHeight="1" x14ac:dyDescent="0.2">
      <c r="A606" s="9"/>
      <c r="B606" s="8"/>
      <c r="C606" s="10" t="str">
        <f>IFERROR(INDEX(Reference!$B$29:$B$200,MATCH(B606,Reference!$A$29:$A$200,0)),"")</f>
        <v/>
      </c>
      <c r="D606" s="13"/>
      <c r="E606" s="10" t="str">
        <f t="shared" si="9"/>
        <v/>
      </c>
      <c r="F606" s="8"/>
    </row>
    <row r="607" spans="1:6" ht="15" customHeight="1" x14ac:dyDescent="0.2">
      <c r="A607" s="9"/>
      <c r="B607" s="8"/>
      <c r="C607" s="10" t="str">
        <f>IFERROR(INDEX(Reference!$B$29:$B$200,MATCH(B607,Reference!$A$29:$A$200,0)),"")</f>
        <v/>
      </c>
      <c r="D607" s="13"/>
      <c r="E607" s="10" t="str">
        <f t="shared" si="9"/>
        <v/>
      </c>
      <c r="F607" s="8"/>
    </row>
    <row r="608" spans="1:6" ht="15" customHeight="1" x14ac:dyDescent="0.2">
      <c r="A608" s="9"/>
      <c r="B608" s="8"/>
      <c r="C608" s="10" t="str">
        <f>IFERROR(INDEX(Reference!$B$29:$B$200,MATCH(B608,Reference!$A$29:$A$200,0)),"")</f>
        <v/>
      </c>
      <c r="D608" s="13"/>
      <c r="E608" s="10" t="str">
        <f t="shared" si="9"/>
        <v/>
      </c>
      <c r="F608" s="8"/>
    </row>
    <row r="609" spans="1:6" ht="15" customHeight="1" x14ac:dyDescent="0.2">
      <c r="A609" s="9"/>
      <c r="B609" s="8"/>
      <c r="C609" s="10" t="str">
        <f>IFERROR(INDEX(Reference!$B$29:$B$200,MATCH(B609,Reference!$A$29:$A$200,0)),"")</f>
        <v/>
      </c>
      <c r="D609" s="13"/>
      <c r="E609" s="10" t="str">
        <f t="shared" si="9"/>
        <v/>
      </c>
      <c r="F609" s="8"/>
    </row>
    <row r="610" spans="1:6" ht="15" customHeight="1" x14ac:dyDescent="0.2">
      <c r="A610" s="9"/>
      <c r="B610" s="8"/>
      <c r="C610" s="10" t="str">
        <f>IFERROR(INDEX(Reference!$B$29:$B$200,MATCH(B610,Reference!$A$29:$A$200,0)),"")</f>
        <v/>
      </c>
      <c r="D610" s="13"/>
      <c r="E610" s="10" t="str">
        <f t="shared" si="9"/>
        <v/>
      </c>
      <c r="F610" s="8"/>
    </row>
    <row r="611" spans="1:6" ht="15" customHeight="1" x14ac:dyDescent="0.2">
      <c r="A611" s="9"/>
      <c r="B611" s="8"/>
      <c r="C611" s="10" t="str">
        <f>IFERROR(INDEX(Reference!$B$29:$B$200,MATCH(B611,Reference!$A$29:$A$200,0)),"")</f>
        <v/>
      </c>
      <c r="D611" s="13"/>
      <c r="E611" s="10" t="str">
        <f t="shared" si="9"/>
        <v/>
      </c>
      <c r="F611" s="8"/>
    </row>
    <row r="612" spans="1:6" ht="15" customHeight="1" x14ac:dyDescent="0.2">
      <c r="A612" s="9"/>
      <c r="B612" s="8"/>
      <c r="C612" s="10" t="str">
        <f>IFERROR(INDEX(Reference!$B$29:$B$200,MATCH(B612,Reference!$A$29:$A$200,0)),"")</f>
        <v/>
      </c>
      <c r="D612" s="13"/>
      <c r="E612" s="10" t="str">
        <f t="shared" si="9"/>
        <v/>
      </c>
      <c r="F612" s="8"/>
    </row>
    <row r="613" spans="1:6" ht="15" customHeight="1" x14ac:dyDescent="0.2">
      <c r="A613" s="9"/>
      <c r="B613" s="8"/>
      <c r="C613" s="10" t="str">
        <f>IFERROR(INDEX(Reference!$B$29:$B$200,MATCH(B613,Reference!$A$29:$A$200,0)),"")</f>
        <v/>
      </c>
      <c r="D613" s="13"/>
      <c r="E613" s="10" t="str">
        <f t="shared" si="9"/>
        <v/>
      </c>
      <c r="F613" s="8"/>
    </row>
    <row r="614" spans="1:6" ht="15" customHeight="1" x14ac:dyDescent="0.2">
      <c r="A614" s="9"/>
      <c r="B614" s="8"/>
      <c r="C614" s="10" t="str">
        <f>IFERROR(INDEX(Reference!$B$29:$B$200,MATCH(B614,Reference!$A$29:$A$200,0)),"")</f>
        <v/>
      </c>
      <c r="D614" s="13"/>
      <c r="E614" s="10" t="str">
        <f t="shared" si="9"/>
        <v/>
      </c>
      <c r="F614" s="8"/>
    </row>
    <row r="615" spans="1:6" ht="15" customHeight="1" x14ac:dyDescent="0.2">
      <c r="A615" s="9"/>
      <c r="B615" s="8"/>
      <c r="C615" s="10" t="str">
        <f>IFERROR(INDEX(Reference!$B$29:$B$200,MATCH(B615,Reference!$A$29:$A$200,0)),"")</f>
        <v/>
      </c>
      <c r="D615" s="13"/>
      <c r="E615" s="10" t="str">
        <f t="shared" si="9"/>
        <v/>
      </c>
      <c r="F615" s="8"/>
    </row>
    <row r="616" spans="1:6" ht="15" customHeight="1" x14ac:dyDescent="0.2">
      <c r="A616" s="9"/>
      <c r="B616" s="8"/>
      <c r="C616" s="10" t="str">
        <f>IFERROR(INDEX(Reference!$B$29:$B$200,MATCH(B616,Reference!$A$29:$A$200,0)),"")</f>
        <v/>
      </c>
      <c r="D616" s="13"/>
      <c r="E616" s="10" t="str">
        <f t="shared" si="9"/>
        <v/>
      </c>
      <c r="F616" s="8"/>
    </row>
    <row r="617" spans="1:6" ht="15" customHeight="1" x14ac:dyDescent="0.2">
      <c r="A617" s="9"/>
      <c r="B617" s="8"/>
      <c r="C617" s="10" t="str">
        <f>IFERROR(INDEX(Reference!$B$29:$B$200,MATCH(B617,Reference!$A$29:$A$200,0)),"")</f>
        <v/>
      </c>
      <c r="D617" s="13"/>
      <c r="E617" s="10" t="str">
        <f t="shared" si="9"/>
        <v/>
      </c>
      <c r="F617" s="8"/>
    </row>
    <row r="618" spans="1:6" ht="15" customHeight="1" x14ac:dyDescent="0.2">
      <c r="A618" s="9"/>
      <c r="B618" s="8"/>
      <c r="C618" s="10" t="str">
        <f>IFERROR(INDEX(Reference!$B$29:$B$200,MATCH(B618,Reference!$A$29:$A$200,0)),"")</f>
        <v/>
      </c>
      <c r="D618" s="13"/>
      <c r="E618" s="10" t="str">
        <f t="shared" si="9"/>
        <v/>
      </c>
      <c r="F618" s="8"/>
    </row>
    <row r="619" spans="1:6" ht="15" customHeight="1" x14ac:dyDescent="0.2">
      <c r="A619" s="9"/>
      <c r="B619" s="8"/>
      <c r="C619" s="10" t="str">
        <f>IFERROR(INDEX(Reference!$B$29:$B$200,MATCH(B619,Reference!$A$29:$A$200,0)),"")</f>
        <v/>
      </c>
      <c r="D619" s="13"/>
      <c r="E619" s="10" t="str">
        <f t="shared" si="9"/>
        <v/>
      </c>
      <c r="F619" s="8"/>
    </row>
    <row r="620" spans="1:6" ht="15" customHeight="1" x14ac:dyDescent="0.2">
      <c r="A620" s="9"/>
      <c r="B620" s="8"/>
      <c r="C620" s="10" t="str">
        <f>IFERROR(INDEX(Reference!$B$29:$B$200,MATCH(B620,Reference!$A$29:$A$200,0)),"")</f>
        <v/>
      </c>
      <c r="D620" s="13"/>
      <c r="E620" s="10" t="str">
        <f t="shared" si="9"/>
        <v/>
      </c>
      <c r="F620" s="8"/>
    </row>
    <row r="621" spans="1:6" ht="15" customHeight="1" x14ac:dyDescent="0.2">
      <c r="A621" s="9"/>
      <c r="B621" s="8"/>
      <c r="C621" s="10" t="str">
        <f>IFERROR(INDEX(Reference!$B$29:$B$200,MATCH(B621,Reference!$A$29:$A$200,0)),"")</f>
        <v/>
      </c>
      <c r="D621" s="13"/>
      <c r="E621" s="10" t="str">
        <f t="shared" si="9"/>
        <v/>
      </c>
      <c r="F621" s="8"/>
    </row>
    <row r="622" spans="1:6" ht="15" customHeight="1" x14ac:dyDescent="0.2">
      <c r="A622" s="9"/>
      <c r="B622" s="8"/>
      <c r="C622" s="10" t="str">
        <f>IFERROR(INDEX(Reference!$B$29:$B$200,MATCH(B622,Reference!$A$29:$A$200,0)),"")</f>
        <v/>
      </c>
      <c r="D622" s="13"/>
      <c r="E622" s="10" t="str">
        <f t="shared" si="9"/>
        <v/>
      </c>
      <c r="F622" s="8"/>
    </row>
    <row r="623" spans="1:6" ht="15" customHeight="1" x14ac:dyDescent="0.2">
      <c r="A623" s="9"/>
      <c r="B623" s="8"/>
      <c r="C623" s="10" t="str">
        <f>IFERROR(INDEX(Reference!$B$29:$B$200,MATCH(B623,Reference!$A$29:$A$200,0)),"")</f>
        <v/>
      </c>
      <c r="D623" s="13"/>
      <c r="E623" s="10" t="str">
        <f t="shared" si="9"/>
        <v/>
      </c>
      <c r="F623" s="8"/>
    </row>
    <row r="624" spans="1:6" ht="15" customHeight="1" x14ac:dyDescent="0.2">
      <c r="A624" s="9"/>
      <c r="B624" s="8"/>
      <c r="C624" s="10" t="str">
        <f>IFERROR(INDEX(Reference!$B$29:$B$200,MATCH(B624,Reference!$A$29:$A$200,0)),"")</f>
        <v/>
      </c>
      <c r="D624" s="13"/>
      <c r="E624" s="10" t="str">
        <f t="shared" si="9"/>
        <v/>
      </c>
      <c r="F624" s="8"/>
    </row>
    <row r="625" spans="1:6" ht="15" customHeight="1" x14ac:dyDescent="0.2">
      <c r="A625" s="9"/>
      <c r="B625" s="8"/>
      <c r="C625" s="10" t="str">
        <f>IFERROR(INDEX(Reference!$B$29:$B$200,MATCH(B625,Reference!$A$29:$A$200,0)),"")</f>
        <v/>
      </c>
      <c r="D625" s="13"/>
      <c r="E625" s="10" t="str">
        <f t="shared" si="9"/>
        <v/>
      </c>
      <c r="F625" s="8"/>
    </row>
    <row r="626" spans="1:6" ht="15" customHeight="1" x14ac:dyDescent="0.2">
      <c r="A626" s="9"/>
      <c r="B626" s="8"/>
      <c r="C626" s="10" t="str">
        <f>IFERROR(INDEX(Reference!$B$29:$B$200,MATCH(B626,Reference!$A$29:$A$200,0)),"")</f>
        <v/>
      </c>
      <c r="D626" s="13"/>
      <c r="E626" s="10" t="str">
        <f t="shared" si="9"/>
        <v/>
      </c>
      <c r="F626" s="8"/>
    </row>
    <row r="627" spans="1:6" ht="15" customHeight="1" x14ac:dyDescent="0.2">
      <c r="A627" s="9"/>
      <c r="B627" s="8"/>
      <c r="C627" s="10" t="str">
        <f>IFERROR(INDEX(Reference!$B$29:$B$200,MATCH(B627,Reference!$A$29:$A$200,0)),"")</f>
        <v/>
      </c>
      <c r="D627" s="13"/>
      <c r="E627" s="10" t="str">
        <f t="shared" si="9"/>
        <v/>
      </c>
      <c r="F627" s="8"/>
    </row>
    <row r="628" spans="1:6" ht="15" customHeight="1" x14ac:dyDescent="0.2">
      <c r="A628" s="9"/>
      <c r="B628" s="8"/>
      <c r="C628" s="10" t="str">
        <f>IFERROR(INDEX(Reference!$B$29:$B$200,MATCH(B628,Reference!$A$29:$A$200,0)),"")</f>
        <v/>
      </c>
      <c r="D628" s="13"/>
      <c r="E628" s="10" t="str">
        <f t="shared" si="9"/>
        <v/>
      </c>
      <c r="F628" s="8"/>
    </row>
    <row r="629" spans="1:6" ht="15" customHeight="1" x14ac:dyDescent="0.2">
      <c r="A629" s="9"/>
      <c r="B629" s="8"/>
      <c r="C629" s="10" t="str">
        <f>IFERROR(INDEX(Reference!$B$29:$B$200,MATCH(B629,Reference!$A$29:$A$200,0)),"")</f>
        <v/>
      </c>
      <c r="D629" s="13"/>
      <c r="E629" s="10" t="str">
        <f t="shared" si="9"/>
        <v/>
      </c>
      <c r="F629" s="8"/>
    </row>
    <row r="630" spans="1:6" ht="15" customHeight="1" x14ac:dyDescent="0.2">
      <c r="A630" s="9"/>
      <c r="B630" s="8"/>
      <c r="C630" s="10" t="str">
        <f>IFERROR(INDEX(Reference!$B$29:$B$200,MATCH(B630,Reference!$A$29:$A$200,0)),"")</f>
        <v/>
      </c>
      <c r="D630" s="13"/>
      <c r="E630" s="10" t="str">
        <f t="shared" si="9"/>
        <v/>
      </c>
      <c r="F630" s="8"/>
    </row>
    <row r="631" spans="1:6" ht="15" customHeight="1" x14ac:dyDescent="0.2">
      <c r="A631" s="9"/>
      <c r="B631" s="8"/>
      <c r="C631" s="10" t="str">
        <f>IFERROR(INDEX(Reference!$B$29:$B$200,MATCH(B631,Reference!$A$29:$A$200,0)),"")</f>
        <v/>
      </c>
      <c r="D631" s="13"/>
      <c r="E631" s="10" t="str">
        <f t="shared" si="9"/>
        <v/>
      </c>
      <c r="F631" s="8"/>
    </row>
    <row r="632" spans="1:6" ht="15" customHeight="1" x14ac:dyDescent="0.2">
      <c r="A632" s="9"/>
      <c r="B632" s="8"/>
      <c r="C632" s="10" t="str">
        <f>IFERROR(INDEX(Reference!$B$29:$B$200,MATCH(B632,Reference!$A$29:$A$200,0)),"")</f>
        <v/>
      </c>
      <c r="D632" s="13"/>
      <c r="E632" s="10" t="str">
        <f t="shared" si="9"/>
        <v/>
      </c>
      <c r="F632" s="8"/>
    </row>
    <row r="633" spans="1:6" ht="15" customHeight="1" x14ac:dyDescent="0.2">
      <c r="A633" s="9"/>
      <c r="B633" s="8"/>
      <c r="C633" s="10" t="str">
        <f>IFERROR(INDEX(Reference!$B$29:$B$200,MATCH(B633,Reference!$A$29:$A$200,0)),"")</f>
        <v/>
      </c>
      <c r="D633" s="13"/>
      <c r="E633" s="10" t="str">
        <f t="shared" si="9"/>
        <v/>
      </c>
      <c r="F633" s="8"/>
    </row>
    <row r="634" spans="1:6" ht="15" customHeight="1" x14ac:dyDescent="0.2">
      <c r="A634" s="9"/>
      <c r="B634" s="8"/>
      <c r="C634" s="10" t="str">
        <f>IFERROR(INDEX(Reference!$B$29:$B$200,MATCH(B634,Reference!$A$29:$A$200,0)),"")</f>
        <v/>
      </c>
      <c r="D634" s="13"/>
      <c r="E634" s="10" t="str">
        <f t="shared" si="9"/>
        <v/>
      </c>
      <c r="F634" s="8"/>
    </row>
    <row r="635" spans="1:6" ht="15" customHeight="1" x14ac:dyDescent="0.2">
      <c r="A635" s="9"/>
      <c r="B635" s="8"/>
      <c r="C635" s="10" t="str">
        <f>IFERROR(INDEX(Reference!$B$29:$B$200,MATCH(B635,Reference!$A$29:$A$200,0)),"")</f>
        <v/>
      </c>
      <c r="D635" s="13"/>
      <c r="E635" s="10" t="str">
        <f t="shared" si="9"/>
        <v/>
      </c>
      <c r="F635" s="8"/>
    </row>
    <row r="636" spans="1:6" ht="15" customHeight="1" x14ac:dyDescent="0.2">
      <c r="A636" s="9"/>
      <c r="B636" s="8"/>
      <c r="C636" s="10" t="str">
        <f>IFERROR(INDEX(Reference!$B$29:$B$200,MATCH(B636,Reference!$A$29:$A$200,0)),"")</f>
        <v/>
      </c>
      <c r="D636" s="13"/>
      <c r="E636" s="10" t="str">
        <f t="shared" si="9"/>
        <v/>
      </c>
      <c r="F636" s="8"/>
    </row>
    <row r="637" spans="1:6" ht="15" customHeight="1" x14ac:dyDescent="0.2">
      <c r="A637" s="9"/>
      <c r="B637" s="8"/>
      <c r="C637" s="10" t="str">
        <f>IFERROR(INDEX(Reference!$B$29:$B$200,MATCH(B637,Reference!$A$29:$A$200,0)),"")</f>
        <v/>
      </c>
      <c r="D637" s="13"/>
      <c r="E637" s="10" t="str">
        <f t="shared" si="9"/>
        <v/>
      </c>
      <c r="F637" s="8"/>
    </row>
    <row r="638" spans="1:6" ht="15" customHeight="1" x14ac:dyDescent="0.2">
      <c r="A638" s="9"/>
      <c r="B638" s="8"/>
      <c r="C638" s="10" t="str">
        <f>IFERROR(INDEX(Reference!$B$29:$B$200,MATCH(B638,Reference!$A$29:$A$200,0)),"")</f>
        <v/>
      </c>
      <c r="D638" s="13"/>
      <c r="E638" s="10" t="str">
        <f t="shared" si="9"/>
        <v/>
      </c>
      <c r="F638" s="8"/>
    </row>
    <row r="639" spans="1:6" ht="15" customHeight="1" x14ac:dyDescent="0.2">
      <c r="A639" s="9"/>
      <c r="B639" s="8"/>
      <c r="C639" s="10" t="str">
        <f>IFERROR(INDEX(Reference!$B$29:$B$200,MATCH(B639,Reference!$A$29:$A$200,0)),"")</f>
        <v/>
      </c>
      <c r="D639" s="13"/>
      <c r="E639" s="10" t="str">
        <f t="shared" si="9"/>
        <v/>
      </c>
      <c r="F639" s="8"/>
    </row>
    <row r="640" spans="1:6" ht="15" customHeight="1" x14ac:dyDescent="0.2">
      <c r="A640" s="9"/>
      <c r="B640" s="8"/>
      <c r="C640" s="10" t="str">
        <f>IFERROR(INDEX(Reference!$B$29:$B$200,MATCH(B640,Reference!$A$29:$A$200,0)),"")</f>
        <v/>
      </c>
      <c r="D640" s="13"/>
      <c r="E640" s="10" t="str">
        <f t="shared" si="9"/>
        <v/>
      </c>
      <c r="F640" s="8"/>
    </row>
    <row r="641" spans="1:6" ht="15" customHeight="1" x14ac:dyDescent="0.2">
      <c r="A641" s="9"/>
      <c r="B641" s="8"/>
      <c r="C641" s="10" t="str">
        <f>IFERROR(INDEX(Reference!$B$29:$B$200,MATCH(B641,Reference!$A$29:$A$200,0)),"")</f>
        <v/>
      </c>
      <c r="D641" s="13"/>
      <c r="E641" s="10" t="str">
        <f t="shared" si="9"/>
        <v/>
      </c>
      <c r="F641" s="8"/>
    </row>
    <row r="642" spans="1:6" ht="15" customHeight="1" x14ac:dyDescent="0.2">
      <c r="A642" s="9"/>
      <c r="B642" s="8"/>
      <c r="C642" s="10" t="str">
        <f>IFERROR(INDEX(Reference!$B$29:$B$200,MATCH(B642,Reference!$A$29:$A$200,0)),"")</f>
        <v/>
      </c>
      <c r="D642" s="13"/>
      <c r="E642" s="10" t="str">
        <f t="shared" ref="E642:E705" si="10">IF(A642="","",IF(MONTH(A642)&gt;=8,YEAR(A642)&amp;"-"&amp;RIGHT(YEAR(A642)+1,2),YEAR(A642)-1&amp;"-"&amp;RIGHT(YEAR(A642),2)))</f>
        <v/>
      </c>
      <c r="F642" s="8"/>
    </row>
    <row r="643" spans="1:6" ht="15" customHeight="1" x14ac:dyDescent="0.2">
      <c r="A643" s="9"/>
      <c r="B643" s="8"/>
      <c r="C643" s="10" t="str">
        <f>IFERROR(INDEX(Reference!$B$29:$B$200,MATCH(B643,Reference!$A$29:$A$200,0)),"")</f>
        <v/>
      </c>
      <c r="D643" s="13"/>
      <c r="E643" s="10" t="str">
        <f t="shared" si="10"/>
        <v/>
      </c>
      <c r="F643" s="8"/>
    </row>
    <row r="644" spans="1:6" ht="15" customHeight="1" x14ac:dyDescent="0.2">
      <c r="A644" s="9"/>
      <c r="B644" s="8"/>
      <c r="C644" s="10" t="str">
        <f>IFERROR(INDEX(Reference!$B$29:$B$200,MATCH(B644,Reference!$A$29:$A$200,0)),"")</f>
        <v/>
      </c>
      <c r="D644" s="13"/>
      <c r="E644" s="10" t="str">
        <f t="shared" si="10"/>
        <v/>
      </c>
      <c r="F644" s="8"/>
    </row>
    <row r="645" spans="1:6" ht="15" customHeight="1" x14ac:dyDescent="0.2">
      <c r="A645" s="9"/>
      <c r="B645" s="8"/>
      <c r="C645" s="10" t="str">
        <f>IFERROR(INDEX(Reference!$B$29:$B$200,MATCH(B645,Reference!$A$29:$A$200,0)),"")</f>
        <v/>
      </c>
      <c r="D645" s="13"/>
      <c r="E645" s="10" t="str">
        <f t="shared" si="10"/>
        <v/>
      </c>
      <c r="F645" s="8"/>
    </row>
    <row r="646" spans="1:6" ht="15" customHeight="1" x14ac:dyDescent="0.2">
      <c r="A646" s="9"/>
      <c r="B646" s="8"/>
      <c r="C646" s="10" t="str">
        <f>IFERROR(INDEX(Reference!$B$29:$B$200,MATCH(B646,Reference!$A$29:$A$200,0)),"")</f>
        <v/>
      </c>
      <c r="D646" s="13"/>
      <c r="E646" s="10" t="str">
        <f t="shared" si="10"/>
        <v/>
      </c>
      <c r="F646" s="8"/>
    </row>
    <row r="647" spans="1:6" ht="15" customHeight="1" x14ac:dyDescent="0.2">
      <c r="A647" s="9"/>
      <c r="B647" s="8"/>
      <c r="C647" s="10" t="str">
        <f>IFERROR(INDEX(Reference!$B$29:$B$200,MATCH(B647,Reference!$A$29:$A$200,0)),"")</f>
        <v/>
      </c>
      <c r="D647" s="13"/>
      <c r="E647" s="10" t="str">
        <f t="shared" si="10"/>
        <v/>
      </c>
      <c r="F647" s="8"/>
    </row>
    <row r="648" spans="1:6" ht="15" customHeight="1" x14ac:dyDescent="0.2">
      <c r="A648" s="9"/>
      <c r="B648" s="8"/>
      <c r="C648" s="10" t="str">
        <f>IFERROR(INDEX(Reference!$B$29:$B$200,MATCH(B648,Reference!$A$29:$A$200,0)),"")</f>
        <v/>
      </c>
      <c r="D648" s="13"/>
      <c r="E648" s="10" t="str">
        <f t="shared" si="10"/>
        <v/>
      </c>
      <c r="F648" s="8"/>
    </row>
    <row r="649" spans="1:6" ht="15" customHeight="1" x14ac:dyDescent="0.2">
      <c r="A649" s="9"/>
      <c r="B649" s="8"/>
      <c r="C649" s="10" t="str">
        <f>IFERROR(INDEX(Reference!$B$29:$B$200,MATCH(B649,Reference!$A$29:$A$200,0)),"")</f>
        <v/>
      </c>
      <c r="D649" s="13"/>
      <c r="E649" s="10" t="str">
        <f t="shared" si="10"/>
        <v/>
      </c>
      <c r="F649" s="8"/>
    </row>
    <row r="650" spans="1:6" ht="15" customHeight="1" x14ac:dyDescent="0.2">
      <c r="A650" s="9"/>
      <c r="B650" s="8"/>
      <c r="C650" s="10" t="str">
        <f>IFERROR(INDEX(Reference!$B$29:$B$200,MATCH(B650,Reference!$A$29:$A$200,0)),"")</f>
        <v/>
      </c>
      <c r="D650" s="13"/>
      <c r="E650" s="10" t="str">
        <f t="shared" si="10"/>
        <v/>
      </c>
      <c r="F650" s="8"/>
    </row>
    <row r="651" spans="1:6" ht="15" customHeight="1" x14ac:dyDescent="0.2">
      <c r="A651" s="9"/>
      <c r="B651" s="8"/>
      <c r="C651" s="10" t="str">
        <f>IFERROR(INDEX(Reference!$B$29:$B$200,MATCH(B651,Reference!$A$29:$A$200,0)),"")</f>
        <v/>
      </c>
      <c r="D651" s="13"/>
      <c r="E651" s="10" t="str">
        <f t="shared" si="10"/>
        <v/>
      </c>
      <c r="F651" s="8"/>
    </row>
    <row r="652" spans="1:6" ht="15" customHeight="1" x14ac:dyDescent="0.2">
      <c r="A652" s="9"/>
      <c r="B652" s="8"/>
      <c r="C652" s="10" t="str">
        <f>IFERROR(INDEX(Reference!$B$29:$B$200,MATCH(B652,Reference!$A$29:$A$200,0)),"")</f>
        <v/>
      </c>
      <c r="D652" s="13"/>
      <c r="E652" s="10" t="str">
        <f t="shared" si="10"/>
        <v/>
      </c>
      <c r="F652" s="8"/>
    </row>
    <row r="653" spans="1:6" ht="15" customHeight="1" x14ac:dyDescent="0.2">
      <c r="A653" s="9"/>
      <c r="B653" s="8"/>
      <c r="C653" s="10" t="str">
        <f>IFERROR(INDEX(Reference!$B$29:$B$200,MATCH(B653,Reference!$A$29:$A$200,0)),"")</f>
        <v/>
      </c>
      <c r="D653" s="13"/>
      <c r="E653" s="10" t="str">
        <f t="shared" si="10"/>
        <v/>
      </c>
      <c r="F653" s="8"/>
    </row>
    <row r="654" spans="1:6" ht="15" customHeight="1" x14ac:dyDescent="0.2">
      <c r="A654" s="9"/>
      <c r="B654" s="8"/>
      <c r="C654" s="10" t="str">
        <f>IFERROR(INDEX(Reference!$B$29:$B$200,MATCH(B654,Reference!$A$29:$A$200,0)),"")</f>
        <v/>
      </c>
      <c r="D654" s="13"/>
      <c r="E654" s="10" t="str">
        <f t="shared" si="10"/>
        <v/>
      </c>
      <c r="F654" s="8"/>
    </row>
    <row r="655" spans="1:6" ht="15" customHeight="1" x14ac:dyDescent="0.2">
      <c r="A655" s="9"/>
      <c r="B655" s="8"/>
      <c r="C655" s="10" t="str">
        <f>IFERROR(INDEX(Reference!$B$29:$B$200,MATCH(B655,Reference!$A$29:$A$200,0)),"")</f>
        <v/>
      </c>
      <c r="D655" s="13"/>
      <c r="E655" s="10" t="str">
        <f t="shared" si="10"/>
        <v/>
      </c>
      <c r="F655" s="8"/>
    </row>
    <row r="656" spans="1:6" ht="15" customHeight="1" x14ac:dyDescent="0.2">
      <c r="A656" s="9"/>
      <c r="B656" s="8"/>
      <c r="C656" s="10" t="str">
        <f>IFERROR(INDEX(Reference!$B$29:$B$200,MATCH(B656,Reference!$A$29:$A$200,0)),"")</f>
        <v/>
      </c>
      <c r="D656" s="13"/>
      <c r="E656" s="10" t="str">
        <f t="shared" si="10"/>
        <v/>
      </c>
      <c r="F656" s="8"/>
    </row>
    <row r="657" spans="1:6" ht="15" customHeight="1" x14ac:dyDescent="0.2">
      <c r="A657" s="9"/>
      <c r="B657" s="8"/>
      <c r="C657" s="10" t="str">
        <f>IFERROR(INDEX(Reference!$B$29:$B$200,MATCH(B657,Reference!$A$29:$A$200,0)),"")</f>
        <v/>
      </c>
      <c r="D657" s="13"/>
      <c r="E657" s="10" t="str">
        <f t="shared" si="10"/>
        <v/>
      </c>
      <c r="F657" s="8"/>
    </row>
    <row r="658" spans="1:6" ht="15" customHeight="1" x14ac:dyDescent="0.2">
      <c r="A658" s="9"/>
      <c r="B658" s="8"/>
      <c r="C658" s="10" t="str">
        <f>IFERROR(INDEX(Reference!$B$29:$B$200,MATCH(B658,Reference!$A$29:$A$200,0)),"")</f>
        <v/>
      </c>
      <c r="D658" s="13"/>
      <c r="E658" s="10" t="str">
        <f t="shared" si="10"/>
        <v/>
      </c>
      <c r="F658" s="8"/>
    </row>
    <row r="659" spans="1:6" ht="15" customHeight="1" x14ac:dyDescent="0.2">
      <c r="A659" s="9"/>
      <c r="B659" s="8"/>
      <c r="C659" s="10" t="str">
        <f>IFERROR(INDEX(Reference!$B$29:$B$200,MATCH(B659,Reference!$A$29:$A$200,0)),"")</f>
        <v/>
      </c>
      <c r="D659" s="13"/>
      <c r="E659" s="10" t="str">
        <f t="shared" si="10"/>
        <v/>
      </c>
      <c r="F659" s="8"/>
    </row>
    <row r="660" spans="1:6" ht="15" customHeight="1" x14ac:dyDescent="0.2">
      <c r="A660" s="9"/>
      <c r="B660" s="8"/>
      <c r="C660" s="10" t="str">
        <f>IFERROR(INDEX(Reference!$B$29:$B$200,MATCH(B660,Reference!$A$29:$A$200,0)),"")</f>
        <v/>
      </c>
      <c r="D660" s="13"/>
      <c r="E660" s="10" t="str">
        <f t="shared" si="10"/>
        <v/>
      </c>
      <c r="F660" s="8"/>
    </row>
    <row r="661" spans="1:6" ht="15" customHeight="1" x14ac:dyDescent="0.2">
      <c r="A661" s="9"/>
      <c r="B661" s="8"/>
      <c r="C661" s="10" t="str">
        <f>IFERROR(INDEX(Reference!$B$29:$B$200,MATCH(B661,Reference!$A$29:$A$200,0)),"")</f>
        <v/>
      </c>
      <c r="D661" s="13"/>
      <c r="E661" s="10" t="str">
        <f t="shared" si="10"/>
        <v/>
      </c>
      <c r="F661" s="8"/>
    </row>
    <row r="662" spans="1:6" ht="15" customHeight="1" x14ac:dyDescent="0.2">
      <c r="A662" s="9"/>
      <c r="B662" s="8"/>
      <c r="C662" s="10" t="str">
        <f>IFERROR(INDEX(Reference!$B$29:$B$200,MATCH(B662,Reference!$A$29:$A$200,0)),"")</f>
        <v/>
      </c>
      <c r="D662" s="13"/>
      <c r="E662" s="10" t="str">
        <f t="shared" si="10"/>
        <v/>
      </c>
      <c r="F662" s="8"/>
    </row>
    <row r="663" spans="1:6" ht="15" customHeight="1" x14ac:dyDescent="0.2">
      <c r="A663" s="9"/>
      <c r="B663" s="8"/>
      <c r="C663" s="10" t="str">
        <f>IFERROR(INDEX(Reference!$B$29:$B$200,MATCH(B663,Reference!$A$29:$A$200,0)),"")</f>
        <v/>
      </c>
      <c r="D663" s="13"/>
      <c r="E663" s="10" t="str">
        <f t="shared" si="10"/>
        <v/>
      </c>
      <c r="F663" s="8"/>
    </row>
    <row r="664" spans="1:6" ht="15" customHeight="1" x14ac:dyDescent="0.2">
      <c r="A664" s="9"/>
      <c r="B664" s="8"/>
      <c r="C664" s="10" t="str">
        <f>IFERROR(INDEX(Reference!$B$29:$B$200,MATCH(B664,Reference!$A$29:$A$200,0)),"")</f>
        <v/>
      </c>
      <c r="D664" s="13"/>
      <c r="E664" s="10" t="str">
        <f t="shared" si="10"/>
        <v/>
      </c>
      <c r="F664" s="8"/>
    </row>
    <row r="665" spans="1:6" ht="15" customHeight="1" x14ac:dyDescent="0.2">
      <c r="A665" s="9"/>
      <c r="B665" s="8"/>
      <c r="C665" s="10" t="str">
        <f>IFERROR(INDEX(Reference!$B$29:$B$200,MATCH(B665,Reference!$A$29:$A$200,0)),"")</f>
        <v/>
      </c>
      <c r="D665" s="13"/>
      <c r="E665" s="10" t="str">
        <f t="shared" si="10"/>
        <v/>
      </c>
      <c r="F665" s="8"/>
    </row>
    <row r="666" spans="1:6" ht="15" customHeight="1" x14ac:dyDescent="0.2">
      <c r="A666" s="9"/>
      <c r="B666" s="8"/>
      <c r="C666" s="10" t="str">
        <f>IFERROR(INDEX(Reference!$B$29:$B$200,MATCH(B666,Reference!$A$29:$A$200,0)),"")</f>
        <v/>
      </c>
      <c r="D666" s="13"/>
      <c r="E666" s="10" t="str">
        <f t="shared" si="10"/>
        <v/>
      </c>
      <c r="F666" s="8"/>
    </row>
    <row r="667" spans="1:6" ht="15" customHeight="1" x14ac:dyDescent="0.2">
      <c r="A667" s="9"/>
      <c r="B667" s="8"/>
      <c r="C667" s="10" t="str">
        <f>IFERROR(INDEX(Reference!$B$29:$B$200,MATCH(B667,Reference!$A$29:$A$200,0)),"")</f>
        <v/>
      </c>
      <c r="D667" s="13"/>
      <c r="E667" s="10" t="str">
        <f t="shared" si="10"/>
        <v/>
      </c>
      <c r="F667" s="8"/>
    </row>
    <row r="668" spans="1:6" ht="15" customHeight="1" x14ac:dyDescent="0.2">
      <c r="A668" s="9"/>
      <c r="B668" s="8"/>
      <c r="C668" s="10" t="str">
        <f>IFERROR(INDEX(Reference!$B$29:$B$200,MATCH(B668,Reference!$A$29:$A$200,0)),"")</f>
        <v/>
      </c>
      <c r="D668" s="13"/>
      <c r="E668" s="10" t="str">
        <f t="shared" si="10"/>
        <v/>
      </c>
      <c r="F668" s="8"/>
    </row>
    <row r="669" spans="1:6" ht="15" customHeight="1" x14ac:dyDescent="0.2">
      <c r="A669" s="9"/>
      <c r="B669" s="8"/>
      <c r="C669" s="10" t="str">
        <f>IFERROR(INDEX(Reference!$B$29:$B$200,MATCH(B669,Reference!$A$29:$A$200,0)),"")</f>
        <v/>
      </c>
      <c r="D669" s="13"/>
      <c r="E669" s="10" t="str">
        <f t="shared" si="10"/>
        <v/>
      </c>
      <c r="F669" s="8"/>
    </row>
    <row r="670" spans="1:6" ht="15" customHeight="1" x14ac:dyDescent="0.2">
      <c r="A670" s="9"/>
      <c r="B670" s="8"/>
      <c r="C670" s="10" t="str">
        <f>IFERROR(INDEX(Reference!$B$29:$B$200,MATCH(B670,Reference!$A$29:$A$200,0)),"")</f>
        <v/>
      </c>
      <c r="D670" s="13"/>
      <c r="E670" s="10" t="str">
        <f t="shared" si="10"/>
        <v/>
      </c>
      <c r="F670" s="8"/>
    </row>
    <row r="671" spans="1:6" ht="15" customHeight="1" x14ac:dyDescent="0.2">
      <c r="A671" s="9"/>
      <c r="B671" s="8"/>
      <c r="C671" s="10" t="str">
        <f>IFERROR(INDEX(Reference!$B$29:$B$200,MATCH(B671,Reference!$A$29:$A$200,0)),"")</f>
        <v/>
      </c>
      <c r="D671" s="13"/>
      <c r="E671" s="10" t="str">
        <f t="shared" si="10"/>
        <v/>
      </c>
      <c r="F671" s="8"/>
    </row>
    <row r="672" spans="1:6" ht="15" customHeight="1" x14ac:dyDescent="0.2">
      <c r="A672" s="9"/>
      <c r="B672" s="8"/>
      <c r="C672" s="10" t="str">
        <f>IFERROR(INDEX(Reference!$B$29:$B$200,MATCH(B672,Reference!$A$29:$A$200,0)),"")</f>
        <v/>
      </c>
      <c r="D672" s="13"/>
      <c r="E672" s="10" t="str">
        <f t="shared" si="10"/>
        <v/>
      </c>
      <c r="F672" s="8"/>
    </row>
    <row r="673" spans="1:6" ht="15" customHeight="1" x14ac:dyDescent="0.2">
      <c r="A673" s="9"/>
      <c r="B673" s="8"/>
      <c r="C673" s="10" t="str">
        <f>IFERROR(INDEX(Reference!$B$29:$B$200,MATCH(B673,Reference!$A$29:$A$200,0)),"")</f>
        <v/>
      </c>
      <c r="D673" s="13"/>
      <c r="E673" s="10" t="str">
        <f t="shared" si="10"/>
        <v/>
      </c>
      <c r="F673" s="8"/>
    </row>
    <row r="674" spans="1:6" ht="15" customHeight="1" x14ac:dyDescent="0.2">
      <c r="A674" s="9"/>
      <c r="B674" s="8"/>
      <c r="C674" s="10" t="str">
        <f>IFERROR(INDEX(Reference!$B$29:$B$200,MATCH(B674,Reference!$A$29:$A$200,0)),"")</f>
        <v/>
      </c>
      <c r="D674" s="13"/>
      <c r="E674" s="10" t="str">
        <f t="shared" si="10"/>
        <v/>
      </c>
      <c r="F674" s="8"/>
    </row>
    <row r="675" spans="1:6" ht="15" customHeight="1" x14ac:dyDescent="0.2">
      <c r="A675" s="9"/>
      <c r="B675" s="8"/>
      <c r="C675" s="10" t="str">
        <f>IFERROR(INDEX(Reference!$B$29:$B$200,MATCH(B675,Reference!$A$29:$A$200,0)),"")</f>
        <v/>
      </c>
      <c r="D675" s="13"/>
      <c r="E675" s="10" t="str">
        <f t="shared" si="10"/>
        <v/>
      </c>
      <c r="F675" s="8"/>
    </row>
    <row r="676" spans="1:6" ht="15" customHeight="1" x14ac:dyDescent="0.2">
      <c r="A676" s="9"/>
      <c r="B676" s="8"/>
      <c r="C676" s="10" t="str">
        <f>IFERROR(INDEX(Reference!$B$29:$B$200,MATCH(B676,Reference!$A$29:$A$200,0)),"")</f>
        <v/>
      </c>
      <c r="D676" s="13"/>
      <c r="E676" s="10" t="str">
        <f t="shared" si="10"/>
        <v/>
      </c>
      <c r="F676" s="8"/>
    </row>
    <row r="677" spans="1:6" ht="15" customHeight="1" x14ac:dyDescent="0.2">
      <c r="A677" s="9"/>
      <c r="B677" s="8"/>
      <c r="C677" s="10" t="str">
        <f>IFERROR(INDEX(Reference!$B$29:$B$200,MATCH(B677,Reference!$A$29:$A$200,0)),"")</f>
        <v/>
      </c>
      <c r="D677" s="13"/>
      <c r="E677" s="10" t="str">
        <f t="shared" si="10"/>
        <v/>
      </c>
      <c r="F677" s="8"/>
    </row>
    <row r="678" spans="1:6" ht="15" customHeight="1" x14ac:dyDescent="0.2">
      <c r="A678" s="9"/>
      <c r="B678" s="8"/>
      <c r="C678" s="10" t="str">
        <f>IFERROR(INDEX(Reference!$B$29:$B$200,MATCH(B678,Reference!$A$29:$A$200,0)),"")</f>
        <v/>
      </c>
      <c r="D678" s="13"/>
      <c r="E678" s="10" t="str">
        <f t="shared" si="10"/>
        <v/>
      </c>
      <c r="F678" s="8"/>
    </row>
    <row r="679" spans="1:6" ht="15" customHeight="1" x14ac:dyDescent="0.2">
      <c r="A679" s="9"/>
      <c r="B679" s="8"/>
      <c r="C679" s="10" t="str">
        <f>IFERROR(INDEX(Reference!$B$29:$B$200,MATCH(B679,Reference!$A$29:$A$200,0)),"")</f>
        <v/>
      </c>
      <c r="D679" s="13"/>
      <c r="E679" s="10" t="str">
        <f t="shared" si="10"/>
        <v/>
      </c>
      <c r="F679" s="8"/>
    </row>
    <row r="680" spans="1:6" ht="15" customHeight="1" x14ac:dyDescent="0.2">
      <c r="A680" s="9"/>
      <c r="B680" s="8"/>
      <c r="C680" s="10" t="str">
        <f>IFERROR(INDEX(Reference!$B$29:$B$200,MATCH(B680,Reference!$A$29:$A$200,0)),"")</f>
        <v/>
      </c>
      <c r="D680" s="13"/>
      <c r="E680" s="10" t="str">
        <f t="shared" si="10"/>
        <v/>
      </c>
      <c r="F680" s="8"/>
    </row>
    <row r="681" spans="1:6" ht="15" customHeight="1" x14ac:dyDescent="0.2">
      <c r="A681" s="9"/>
      <c r="B681" s="8"/>
      <c r="C681" s="10" t="str">
        <f>IFERROR(INDEX(Reference!$B$29:$B$200,MATCH(B681,Reference!$A$29:$A$200,0)),"")</f>
        <v/>
      </c>
      <c r="D681" s="13"/>
      <c r="E681" s="10" t="str">
        <f t="shared" si="10"/>
        <v/>
      </c>
      <c r="F681" s="8"/>
    </row>
    <row r="682" spans="1:6" ht="15" customHeight="1" x14ac:dyDescent="0.2">
      <c r="A682" s="9"/>
      <c r="B682" s="8"/>
      <c r="C682" s="10" t="str">
        <f>IFERROR(INDEX(Reference!$B$29:$B$200,MATCH(B682,Reference!$A$29:$A$200,0)),"")</f>
        <v/>
      </c>
      <c r="D682" s="13"/>
      <c r="E682" s="10" t="str">
        <f t="shared" si="10"/>
        <v/>
      </c>
      <c r="F682" s="8"/>
    </row>
    <row r="683" spans="1:6" ht="15" customHeight="1" x14ac:dyDescent="0.2">
      <c r="A683" s="9"/>
      <c r="B683" s="8"/>
      <c r="C683" s="10" t="str">
        <f>IFERROR(INDEX(Reference!$B$29:$B$200,MATCH(B683,Reference!$A$29:$A$200,0)),"")</f>
        <v/>
      </c>
      <c r="D683" s="13"/>
      <c r="E683" s="10" t="str">
        <f t="shared" si="10"/>
        <v/>
      </c>
      <c r="F683" s="8"/>
    </row>
    <row r="684" spans="1:6" ht="15" customHeight="1" x14ac:dyDescent="0.2">
      <c r="A684" s="9"/>
      <c r="B684" s="8"/>
      <c r="C684" s="10" t="str">
        <f>IFERROR(INDEX(Reference!$B$29:$B$200,MATCH(B684,Reference!$A$29:$A$200,0)),"")</f>
        <v/>
      </c>
      <c r="D684" s="13"/>
      <c r="E684" s="10" t="str">
        <f t="shared" si="10"/>
        <v/>
      </c>
      <c r="F684" s="8"/>
    </row>
    <row r="685" spans="1:6" ht="15" customHeight="1" x14ac:dyDescent="0.2">
      <c r="A685" s="9"/>
      <c r="B685" s="8"/>
      <c r="C685" s="10" t="str">
        <f>IFERROR(INDEX(Reference!$B$29:$B$200,MATCH(B685,Reference!$A$29:$A$200,0)),"")</f>
        <v/>
      </c>
      <c r="D685" s="13"/>
      <c r="E685" s="10" t="str">
        <f t="shared" si="10"/>
        <v/>
      </c>
      <c r="F685" s="8"/>
    </row>
    <row r="686" spans="1:6" ht="15" customHeight="1" x14ac:dyDescent="0.2">
      <c r="A686" s="9"/>
      <c r="B686" s="8"/>
      <c r="C686" s="10" t="str">
        <f>IFERROR(INDEX(Reference!$B$29:$B$200,MATCH(B686,Reference!$A$29:$A$200,0)),"")</f>
        <v/>
      </c>
      <c r="D686" s="13"/>
      <c r="E686" s="10" t="str">
        <f t="shared" si="10"/>
        <v/>
      </c>
      <c r="F686" s="8"/>
    </row>
    <row r="687" spans="1:6" ht="15" customHeight="1" x14ac:dyDescent="0.2">
      <c r="A687" s="9"/>
      <c r="B687" s="8"/>
      <c r="C687" s="10" t="str">
        <f>IFERROR(INDEX(Reference!$B$29:$B$200,MATCH(B687,Reference!$A$29:$A$200,0)),"")</f>
        <v/>
      </c>
      <c r="D687" s="13"/>
      <c r="E687" s="10" t="str">
        <f t="shared" si="10"/>
        <v/>
      </c>
      <c r="F687" s="8"/>
    </row>
    <row r="688" spans="1:6" ht="15" customHeight="1" x14ac:dyDescent="0.2">
      <c r="A688" s="9"/>
      <c r="B688" s="8"/>
      <c r="C688" s="10" t="str">
        <f>IFERROR(INDEX(Reference!$B$29:$B$200,MATCH(B688,Reference!$A$29:$A$200,0)),"")</f>
        <v/>
      </c>
      <c r="D688" s="13"/>
      <c r="E688" s="10" t="str">
        <f t="shared" si="10"/>
        <v/>
      </c>
      <c r="F688" s="8"/>
    </row>
    <row r="689" spans="1:6" ht="15" customHeight="1" x14ac:dyDescent="0.2">
      <c r="A689" s="9"/>
      <c r="B689" s="8"/>
      <c r="C689" s="10" t="str">
        <f>IFERROR(INDEX(Reference!$B$29:$B$200,MATCH(B689,Reference!$A$29:$A$200,0)),"")</f>
        <v/>
      </c>
      <c r="D689" s="13"/>
      <c r="E689" s="10" t="str">
        <f t="shared" si="10"/>
        <v/>
      </c>
      <c r="F689" s="8"/>
    </row>
    <row r="690" spans="1:6" ht="15" customHeight="1" x14ac:dyDescent="0.2">
      <c r="A690" s="9"/>
      <c r="B690" s="8"/>
      <c r="C690" s="10" t="str">
        <f>IFERROR(INDEX(Reference!$B$29:$B$200,MATCH(B690,Reference!$A$29:$A$200,0)),"")</f>
        <v/>
      </c>
      <c r="D690" s="13"/>
      <c r="E690" s="10" t="str">
        <f t="shared" si="10"/>
        <v/>
      </c>
      <c r="F690" s="8"/>
    </row>
    <row r="691" spans="1:6" ht="15" customHeight="1" x14ac:dyDescent="0.2">
      <c r="A691" s="9"/>
      <c r="B691" s="8"/>
      <c r="C691" s="10" t="str">
        <f>IFERROR(INDEX(Reference!$B$29:$B$200,MATCH(B691,Reference!$A$29:$A$200,0)),"")</f>
        <v/>
      </c>
      <c r="D691" s="13"/>
      <c r="E691" s="10" t="str">
        <f t="shared" si="10"/>
        <v/>
      </c>
      <c r="F691" s="8"/>
    </row>
    <row r="692" spans="1:6" ht="15" customHeight="1" x14ac:dyDescent="0.2">
      <c r="A692" s="9"/>
      <c r="B692" s="8"/>
      <c r="C692" s="10" t="str">
        <f>IFERROR(INDEX(Reference!$B$29:$B$200,MATCH(B692,Reference!$A$29:$A$200,0)),"")</f>
        <v/>
      </c>
      <c r="D692" s="13"/>
      <c r="E692" s="10" t="str">
        <f t="shared" si="10"/>
        <v/>
      </c>
      <c r="F692" s="8"/>
    </row>
    <row r="693" spans="1:6" ht="15" customHeight="1" x14ac:dyDescent="0.2">
      <c r="A693" s="9"/>
      <c r="B693" s="8"/>
      <c r="C693" s="10" t="str">
        <f>IFERROR(INDEX(Reference!$B$29:$B$200,MATCH(B693,Reference!$A$29:$A$200,0)),"")</f>
        <v/>
      </c>
      <c r="D693" s="13"/>
      <c r="E693" s="10" t="str">
        <f t="shared" si="10"/>
        <v/>
      </c>
      <c r="F693" s="8"/>
    </row>
    <row r="694" spans="1:6" ht="15" customHeight="1" x14ac:dyDescent="0.2">
      <c r="A694" s="9"/>
      <c r="B694" s="8"/>
      <c r="C694" s="10" t="str">
        <f>IFERROR(INDEX(Reference!$B$29:$B$200,MATCH(B694,Reference!$A$29:$A$200,0)),"")</f>
        <v/>
      </c>
      <c r="D694" s="13"/>
      <c r="E694" s="10" t="str">
        <f t="shared" si="10"/>
        <v/>
      </c>
      <c r="F694" s="8"/>
    </row>
    <row r="695" spans="1:6" ht="15" customHeight="1" x14ac:dyDescent="0.2">
      <c r="A695" s="9"/>
      <c r="B695" s="8"/>
      <c r="C695" s="10" t="str">
        <f>IFERROR(INDEX(Reference!$B$29:$B$200,MATCH(B695,Reference!$A$29:$A$200,0)),"")</f>
        <v/>
      </c>
      <c r="D695" s="13"/>
      <c r="E695" s="10" t="str">
        <f t="shared" si="10"/>
        <v/>
      </c>
      <c r="F695" s="8"/>
    </row>
    <row r="696" spans="1:6" ht="15" customHeight="1" x14ac:dyDescent="0.2">
      <c r="A696" s="9"/>
      <c r="B696" s="8"/>
      <c r="C696" s="10" t="str">
        <f>IFERROR(INDEX(Reference!$B$29:$B$200,MATCH(B696,Reference!$A$29:$A$200,0)),"")</f>
        <v/>
      </c>
      <c r="D696" s="13"/>
      <c r="E696" s="10" t="str">
        <f t="shared" si="10"/>
        <v/>
      </c>
      <c r="F696" s="8"/>
    </row>
    <row r="697" spans="1:6" ht="15" customHeight="1" x14ac:dyDescent="0.2">
      <c r="A697" s="9"/>
      <c r="B697" s="8"/>
      <c r="C697" s="10" t="str">
        <f>IFERROR(INDEX(Reference!$B$29:$B$200,MATCH(B697,Reference!$A$29:$A$200,0)),"")</f>
        <v/>
      </c>
      <c r="D697" s="13"/>
      <c r="E697" s="10" t="str">
        <f t="shared" si="10"/>
        <v/>
      </c>
      <c r="F697" s="8"/>
    </row>
    <row r="698" spans="1:6" ht="15" customHeight="1" x14ac:dyDescent="0.2">
      <c r="A698" s="9"/>
      <c r="B698" s="8"/>
      <c r="C698" s="10" t="str">
        <f>IFERROR(INDEX(Reference!$B$29:$B$200,MATCH(B698,Reference!$A$29:$A$200,0)),"")</f>
        <v/>
      </c>
      <c r="D698" s="13"/>
      <c r="E698" s="10" t="str">
        <f t="shared" si="10"/>
        <v/>
      </c>
      <c r="F698" s="8"/>
    </row>
    <row r="699" spans="1:6" ht="15" customHeight="1" x14ac:dyDescent="0.2">
      <c r="A699" s="9"/>
      <c r="B699" s="8"/>
      <c r="C699" s="10" t="str">
        <f>IFERROR(INDEX(Reference!$B$29:$B$200,MATCH(B699,Reference!$A$29:$A$200,0)),"")</f>
        <v/>
      </c>
      <c r="D699" s="13"/>
      <c r="E699" s="10" t="str">
        <f t="shared" si="10"/>
        <v/>
      </c>
      <c r="F699" s="8"/>
    </row>
    <row r="700" spans="1:6" ht="15" customHeight="1" x14ac:dyDescent="0.2">
      <c r="A700" s="9"/>
      <c r="B700" s="8"/>
      <c r="C700" s="10" t="str">
        <f>IFERROR(INDEX(Reference!$B$29:$B$200,MATCH(B700,Reference!$A$29:$A$200,0)),"")</f>
        <v/>
      </c>
      <c r="D700" s="13"/>
      <c r="E700" s="10" t="str">
        <f t="shared" si="10"/>
        <v/>
      </c>
      <c r="F700" s="8"/>
    </row>
    <row r="701" spans="1:6" ht="15" customHeight="1" x14ac:dyDescent="0.2">
      <c r="A701" s="9"/>
      <c r="B701" s="8"/>
      <c r="C701" s="10" t="str">
        <f>IFERROR(INDEX(Reference!$B$29:$B$200,MATCH(B701,Reference!$A$29:$A$200,0)),"")</f>
        <v/>
      </c>
      <c r="D701" s="13"/>
      <c r="E701" s="10" t="str">
        <f t="shared" si="10"/>
        <v/>
      </c>
      <c r="F701" s="8"/>
    </row>
    <row r="702" spans="1:6" ht="15" customHeight="1" x14ac:dyDescent="0.2">
      <c r="A702" s="9"/>
      <c r="B702" s="8"/>
      <c r="C702" s="10" t="str">
        <f>IFERROR(INDEX(Reference!$B$29:$B$200,MATCH(B702,Reference!$A$29:$A$200,0)),"")</f>
        <v/>
      </c>
      <c r="D702" s="13"/>
      <c r="E702" s="10" t="str">
        <f t="shared" si="10"/>
        <v/>
      </c>
      <c r="F702" s="8"/>
    </row>
    <row r="703" spans="1:6" ht="15" customHeight="1" x14ac:dyDescent="0.2">
      <c r="A703" s="9"/>
      <c r="B703" s="8"/>
      <c r="C703" s="10" t="str">
        <f>IFERROR(INDEX(Reference!$B$29:$B$200,MATCH(B703,Reference!$A$29:$A$200,0)),"")</f>
        <v/>
      </c>
      <c r="D703" s="13"/>
      <c r="E703" s="10" t="str">
        <f t="shared" si="10"/>
        <v/>
      </c>
      <c r="F703" s="8"/>
    </row>
    <row r="704" spans="1:6" ht="15" customHeight="1" x14ac:dyDescent="0.2">
      <c r="A704" s="9"/>
      <c r="B704" s="8"/>
      <c r="C704" s="10" t="str">
        <f>IFERROR(INDEX(Reference!$B$29:$B$200,MATCH(B704,Reference!$A$29:$A$200,0)),"")</f>
        <v/>
      </c>
      <c r="D704" s="13"/>
      <c r="E704" s="10" t="str">
        <f t="shared" si="10"/>
        <v/>
      </c>
      <c r="F704" s="8"/>
    </row>
    <row r="705" spans="1:6" ht="15" customHeight="1" x14ac:dyDescent="0.2">
      <c r="A705" s="9"/>
      <c r="B705" s="8"/>
      <c r="C705" s="10" t="str">
        <f>IFERROR(INDEX(Reference!$B$29:$B$200,MATCH(B705,Reference!$A$29:$A$200,0)),"")</f>
        <v/>
      </c>
      <c r="D705" s="13"/>
      <c r="E705" s="10" t="str">
        <f t="shared" si="10"/>
        <v/>
      </c>
      <c r="F705" s="8"/>
    </row>
    <row r="706" spans="1:6" ht="15" customHeight="1" x14ac:dyDescent="0.2">
      <c r="A706" s="9"/>
      <c r="B706" s="8"/>
      <c r="C706" s="10" t="str">
        <f>IFERROR(INDEX(Reference!$B$29:$B$200,MATCH(B706,Reference!$A$29:$A$200,0)),"")</f>
        <v/>
      </c>
      <c r="D706" s="13"/>
      <c r="E706" s="10" t="str">
        <f t="shared" ref="E706:E769" si="11">IF(A706="","",IF(MONTH(A706)&gt;=8,YEAR(A706)&amp;"-"&amp;RIGHT(YEAR(A706)+1,2),YEAR(A706)-1&amp;"-"&amp;RIGHT(YEAR(A706),2)))</f>
        <v/>
      </c>
      <c r="F706" s="8"/>
    </row>
    <row r="707" spans="1:6" ht="15" customHeight="1" x14ac:dyDescent="0.2">
      <c r="A707" s="9"/>
      <c r="B707" s="8"/>
      <c r="C707" s="10" t="str">
        <f>IFERROR(INDEX(Reference!$B$29:$B$200,MATCH(B707,Reference!$A$29:$A$200,0)),"")</f>
        <v/>
      </c>
      <c r="D707" s="13"/>
      <c r="E707" s="10" t="str">
        <f t="shared" si="11"/>
        <v/>
      </c>
      <c r="F707" s="8"/>
    </row>
    <row r="708" spans="1:6" ht="15" customHeight="1" x14ac:dyDescent="0.2">
      <c r="A708" s="9"/>
      <c r="B708" s="8"/>
      <c r="C708" s="10" t="str">
        <f>IFERROR(INDEX(Reference!$B$29:$B$200,MATCH(B708,Reference!$A$29:$A$200,0)),"")</f>
        <v/>
      </c>
      <c r="D708" s="13"/>
      <c r="E708" s="10" t="str">
        <f t="shared" si="11"/>
        <v/>
      </c>
      <c r="F708" s="8"/>
    </row>
    <row r="709" spans="1:6" ht="15" customHeight="1" x14ac:dyDescent="0.2">
      <c r="A709" s="9"/>
      <c r="B709" s="8"/>
      <c r="C709" s="10" t="str">
        <f>IFERROR(INDEX(Reference!$B$29:$B$200,MATCH(B709,Reference!$A$29:$A$200,0)),"")</f>
        <v/>
      </c>
      <c r="D709" s="13"/>
      <c r="E709" s="10" t="str">
        <f t="shared" si="11"/>
        <v/>
      </c>
      <c r="F709" s="8"/>
    </row>
    <row r="710" spans="1:6" ht="15" customHeight="1" x14ac:dyDescent="0.2">
      <c r="A710" s="9"/>
      <c r="B710" s="8"/>
      <c r="C710" s="10" t="str">
        <f>IFERROR(INDEX(Reference!$B$29:$B$200,MATCH(B710,Reference!$A$29:$A$200,0)),"")</f>
        <v/>
      </c>
      <c r="D710" s="13"/>
      <c r="E710" s="10" t="str">
        <f t="shared" si="11"/>
        <v/>
      </c>
      <c r="F710" s="8"/>
    </row>
    <row r="711" spans="1:6" ht="15" customHeight="1" x14ac:dyDescent="0.2">
      <c r="A711" s="9"/>
      <c r="B711" s="8"/>
      <c r="C711" s="10" t="str">
        <f>IFERROR(INDEX(Reference!$B$29:$B$200,MATCH(B711,Reference!$A$29:$A$200,0)),"")</f>
        <v/>
      </c>
      <c r="D711" s="13"/>
      <c r="E711" s="10" t="str">
        <f t="shared" si="11"/>
        <v/>
      </c>
      <c r="F711" s="8"/>
    </row>
    <row r="712" spans="1:6" ht="15" customHeight="1" x14ac:dyDescent="0.2">
      <c r="A712" s="9"/>
      <c r="B712" s="8"/>
      <c r="C712" s="10" t="str">
        <f>IFERROR(INDEX(Reference!$B$29:$B$200,MATCH(B712,Reference!$A$29:$A$200,0)),"")</f>
        <v/>
      </c>
      <c r="D712" s="13"/>
      <c r="E712" s="10" t="str">
        <f t="shared" si="11"/>
        <v/>
      </c>
      <c r="F712" s="8"/>
    </row>
    <row r="713" spans="1:6" ht="15" customHeight="1" x14ac:dyDescent="0.2">
      <c r="A713" s="9"/>
      <c r="B713" s="8"/>
      <c r="C713" s="10" t="str">
        <f>IFERROR(INDEX(Reference!$B$29:$B$200,MATCH(B713,Reference!$A$29:$A$200,0)),"")</f>
        <v/>
      </c>
      <c r="D713" s="13"/>
      <c r="E713" s="10" t="str">
        <f t="shared" si="11"/>
        <v/>
      </c>
      <c r="F713" s="8"/>
    </row>
    <row r="714" spans="1:6" ht="15" customHeight="1" x14ac:dyDescent="0.2">
      <c r="A714" s="9"/>
      <c r="B714" s="8"/>
      <c r="C714" s="10" t="str">
        <f>IFERROR(INDEX(Reference!$B$29:$B$200,MATCH(B714,Reference!$A$29:$A$200,0)),"")</f>
        <v/>
      </c>
      <c r="D714" s="13"/>
      <c r="E714" s="10" t="str">
        <f t="shared" si="11"/>
        <v/>
      </c>
      <c r="F714" s="8"/>
    </row>
    <row r="715" spans="1:6" ht="15" customHeight="1" x14ac:dyDescent="0.2">
      <c r="A715" s="9"/>
      <c r="B715" s="8"/>
      <c r="C715" s="10" t="str">
        <f>IFERROR(INDEX(Reference!$B$29:$B$200,MATCH(B715,Reference!$A$29:$A$200,0)),"")</f>
        <v/>
      </c>
      <c r="D715" s="13"/>
      <c r="E715" s="10" t="str">
        <f t="shared" si="11"/>
        <v/>
      </c>
      <c r="F715" s="8"/>
    </row>
    <row r="716" spans="1:6" ht="15" customHeight="1" x14ac:dyDescent="0.2">
      <c r="A716" s="9"/>
      <c r="B716" s="8"/>
      <c r="C716" s="10" t="str">
        <f>IFERROR(INDEX(Reference!$B$29:$B$200,MATCH(B716,Reference!$A$29:$A$200,0)),"")</f>
        <v/>
      </c>
      <c r="D716" s="13"/>
      <c r="E716" s="10" t="str">
        <f t="shared" si="11"/>
        <v/>
      </c>
      <c r="F716" s="8"/>
    </row>
    <row r="717" spans="1:6" ht="15" customHeight="1" x14ac:dyDescent="0.2">
      <c r="A717" s="9"/>
      <c r="B717" s="8"/>
      <c r="C717" s="10" t="str">
        <f>IFERROR(INDEX(Reference!$B$29:$B$200,MATCH(B717,Reference!$A$29:$A$200,0)),"")</f>
        <v/>
      </c>
      <c r="D717" s="13"/>
      <c r="E717" s="10" t="str">
        <f t="shared" si="11"/>
        <v/>
      </c>
      <c r="F717" s="8"/>
    </row>
    <row r="718" spans="1:6" ht="15" customHeight="1" x14ac:dyDescent="0.2">
      <c r="A718" s="9"/>
      <c r="B718" s="8"/>
      <c r="C718" s="10" t="str">
        <f>IFERROR(INDEX(Reference!$B$29:$B$200,MATCH(B718,Reference!$A$29:$A$200,0)),"")</f>
        <v/>
      </c>
      <c r="D718" s="13"/>
      <c r="E718" s="10" t="str">
        <f t="shared" si="11"/>
        <v/>
      </c>
      <c r="F718" s="8"/>
    </row>
    <row r="719" spans="1:6" ht="15" customHeight="1" x14ac:dyDescent="0.2">
      <c r="A719" s="9"/>
      <c r="B719" s="8"/>
      <c r="C719" s="10" t="str">
        <f>IFERROR(INDEX(Reference!$B$29:$B$200,MATCH(B719,Reference!$A$29:$A$200,0)),"")</f>
        <v/>
      </c>
      <c r="D719" s="13"/>
      <c r="E719" s="10" t="str">
        <f t="shared" si="11"/>
        <v/>
      </c>
      <c r="F719" s="8"/>
    </row>
    <row r="720" spans="1:6" ht="15" customHeight="1" x14ac:dyDescent="0.2">
      <c r="A720" s="9"/>
      <c r="B720" s="8"/>
      <c r="C720" s="10" t="str">
        <f>IFERROR(INDEX(Reference!$B$29:$B$200,MATCH(B720,Reference!$A$29:$A$200,0)),"")</f>
        <v/>
      </c>
      <c r="D720" s="13"/>
      <c r="E720" s="10" t="str">
        <f t="shared" si="11"/>
        <v/>
      </c>
      <c r="F720" s="8"/>
    </row>
    <row r="721" spans="1:6" ht="15" customHeight="1" x14ac:dyDescent="0.2">
      <c r="A721" s="9"/>
      <c r="B721" s="8"/>
      <c r="C721" s="10" t="str">
        <f>IFERROR(INDEX(Reference!$B$29:$B$200,MATCH(B721,Reference!$A$29:$A$200,0)),"")</f>
        <v/>
      </c>
      <c r="D721" s="13"/>
      <c r="E721" s="10" t="str">
        <f t="shared" si="11"/>
        <v/>
      </c>
      <c r="F721" s="8"/>
    </row>
    <row r="722" spans="1:6" ht="15" customHeight="1" x14ac:dyDescent="0.2">
      <c r="A722" s="9"/>
      <c r="B722" s="8"/>
      <c r="C722" s="10" t="str">
        <f>IFERROR(INDEX(Reference!$B$29:$B$200,MATCH(B722,Reference!$A$29:$A$200,0)),"")</f>
        <v/>
      </c>
      <c r="D722" s="13"/>
      <c r="E722" s="10" t="str">
        <f t="shared" si="11"/>
        <v/>
      </c>
      <c r="F722" s="8"/>
    </row>
    <row r="723" spans="1:6" ht="15" customHeight="1" x14ac:dyDescent="0.2">
      <c r="A723" s="9"/>
      <c r="B723" s="8"/>
      <c r="C723" s="10" t="str">
        <f>IFERROR(INDEX(Reference!$B$29:$B$200,MATCH(B723,Reference!$A$29:$A$200,0)),"")</f>
        <v/>
      </c>
      <c r="D723" s="13"/>
      <c r="E723" s="10" t="str">
        <f t="shared" si="11"/>
        <v/>
      </c>
      <c r="F723" s="8"/>
    </row>
    <row r="724" spans="1:6" ht="15" customHeight="1" x14ac:dyDescent="0.2">
      <c r="A724" s="9"/>
      <c r="B724" s="8"/>
      <c r="C724" s="10" t="str">
        <f>IFERROR(INDEX(Reference!$B$29:$B$200,MATCH(B724,Reference!$A$29:$A$200,0)),"")</f>
        <v/>
      </c>
      <c r="D724" s="13"/>
      <c r="E724" s="10" t="str">
        <f t="shared" si="11"/>
        <v/>
      </c>
      <c r="F724" s="8"/>
    </row>
    <row r="725" spans="1:6" ht="15" customHeight="1" x14ac:dyDescent="0.2">
      <c r="A725" s="9"/>
      <c r="B725" s="8"/>
      <c r="C725" s="10" t="str">
        <f>IFERROR(INDEX(Reference!$B$29:$B$200,MATCH(B725,Reference!$A$29:$A$200,0)),"")</f>
        <v/>
      </c>
      <c r="D725" s="13"/>
      <c r="E725" s="10" t="str">
        <f t="shared" si="11"/>
        <v/>
      </c>
      <c r="F725" s="8"/>
    </row>
    <row r="726" spans="1:6" ht="15" customHeight="1" x14ac:dyDescent="0.2">
      <c r="A726" s="9"/>
      <c r="B726" s="8"/>
      <c r="C726" s="10" t="str">
        <f>IFERROR(INDEX(Reference!$B$29:$B$200,MATCH(B726,Reference!$A$29:$A$200,0)),"")</f>
        <v/>
      </c>
      <c r="D726" s="13"/>
      <c r="E726" s="10" t="str">
        <f t="shared" si="11"/>
        <v/>
      </c>
      <c r="F726" s="8"/>
    </row>
    <row r="727" spans="1:6" ht="15" customHeight="1" x14ac:dyDescent="0.2">
      <c r="A727" s="9"/>
      <c r="B727" s="8"/>
      <c r="C727" s="10" t="str">
        <f>IFERROR(INDEX(Reference!$B$29:$B$200,MATCH(B727,Reference!$A$29:$A$200,0)),"")</f>
        <v/>
      </c>
      <c r="D727" s="13"/>
      <c r="E727" s="10" t="str">
        <f t="shared" si="11"/>
        <v/>
      </c>
      <c r="F727" s="8"/>
    </row>
    <row r="728" spans="1:6" ht="15" customHeight="1" x14ac:dyDescent="0.2">
      <c r="A728" s="9"/>
      <c r="B728" s="8"/>
      <c r="C728" s="10" t="str">
        <f>IFERROR(INDEX(Reference!$B$29:$B$200,MATCH(B728,Reference!$A$29:$A$200,0)),"")</f>
        <v/>
      </c>
      <c r="D728" s="13"/>
      <c r="E728" s="10" t="str">
        <f t="shared" si="11"/>
        <v/>
      </c>
      <c r="F728" s="8"/>
    </row>
    <row r="729" spans="1:6" ht="15" customHeight="1" x14ac:dyDescent="0.2">
      <c r="A729" s="9"/>
      <c r="B729" s="8"/>
      <c r="C729" s="10" t="str">
        <f>IFERROR(INDEX(Reference!$B$29:$B$200,MATCH(B729,Reference!$A$29:$A$200,0)),"")</f>
        <v/>
      </c>
      <c r="D729" s="13"/>
      <c r="E729" s="10" t="str">
        <f t="shared" si="11"/>
        <v/>
      </c>
      <c r="F729" s="8"/>
    </row>
    <row r="730" spans="1:6" ht="15" customHeight="1" x14ac:dyDescent="0.2">
      <c r="A730" s="9"/>
      <c r="B730" s="8"/>
      <c r="C730" s="10" t="str">
        <f>IFERROR(INDEX(Reference!$B$29:$B$200,MATCH(B730,Reference!$A$29:$A$200,0)),"")</f>
        <v/>
      </c>
      <c r="D730" s="13"/>
      <c r="E730" s="10" t="str">
        <f t="shared" si="11"/>
        <v/>
      </c>
      <c r="F730" s="8"/>
    </row>
    <row r="731" spans="1:6" ht="15" customHeight="1" x14ac:dyDescent="0.2">
      <c r="A731" s="9"/>
      <c r="B731" s="8"/>
      <c r="C731" s="10" t="str">
        <f>IFERROR(INDEX(Reference!$B$29:$B$200,MATCH(B731,Reference!$A$29:$A$200,0)),"")</f>
        <v/>
      </c>
      <c r="D731" s="13"/>
      <c r="E731" s="10" t="str">
        <f t="shared" si="11"/>
        <v/>
      </c>
      <c r="F731" s="8"/>
    </row>
    <row r="732" spans="1:6" ht="15" customHeight="1" x14ac:dyDescent="0.2">
      <c r="A732" s="9"/>
      <c r="B732" s="8"/>
      <c r="C732" s="10" t="str">
        <f>IFERROR(INDEX(Reference!$B$29:$B$200,MATCH(B732,Reference!$A$29:$A$200,0)),"")</f>
        <v/>
      </c>
      <c r="D732" s="13"/>
      <c r="E732" s="10" t="str">
        <f t="shared" si="11"/>
        <v/>
      </c>
      <c r="F732" s="8"/>
    </row>
    <row r="733" spans="1:6" ht="15" customHeight="1" x14ac:dyDescent="0.2">
      <c r="A733" s="9"/>
      <c r="B733" s="8"/>
      <c r="C733" s="10" t="str">
        <f>IFERROR(INDEX(Reference!$B$29:$B$200,MATCH(B733,Reference!$A$29:$A$200,0)),"")</f>
        <v/>
      </c>
      <c r="D733" s="13"/>
      <c r="E733" s="10" t="str">
        <f t="shared" si="11"/>
        <v/>
      </c>
      <c r="F733" s="8"/>
    </row>
    <row r="734" spans="1:6" ht="15" customHeight="1" x14ac:dyDescent="0.2">
      <c r="A734" s="9"/>
      <c r="B734" s="8"/>
      <c r="C734" s="10" t="str">
        <f>IFERROR(INDEX(Reference!$B$29:$B$200,MATCH(B734,Reference!$A$29:$A$200,0)),"")</f>
        <v/>
      </c>
      <c r="D734" s="13"/>
      <c r="E734" s="10" t="str">
        <f t="shared" si="11"/>
        <v/>
      </c>
      <c r="F734" s="8"/>
    </row>
    <row r="735" spans="1:6" ht="15" customHeight="1" x14ac:dyDescent="0.2">
      <c r="A735" s="9"/>
      <c r="B735" s="8"/>
      <c r="C735" s="10" t="str">
        <f>IFERROR(INDEX(Reference!$B$29:$B$200,MATCH(B735,Reference!$A$29:$A$200,0)),"")</f>
        <v/>
      </c>
      <c r="D735" s="13"/>
      <c r="E735" s="10" t="str">
        <f t="shared" si="11"/>
        <v/>
      </c>
      <c r="F735" s="8"/>
    </row>
    <row r="736" spans="1:6" ht="15" customHeight="1" x14ac:dyDescent="0.2">
      <c r="A736" s="9"/>
      <c r="B736" s="8"/>
      <c r="C736" s="10" t="str">
        <f>IFERROR(INDEX(Reference!$B$29:$B$200,MATCH(B736,Reference!$A$29:$A$200,0)),"")</f>
        <v/>
      </c>
      <c r="D736" s="13"/>
      <c r="E736" s="10" t="str">
        <f t="shared" si="11"/>
        <v/>
      </c>
      <c r="F736" s="8"/>
    </row>
    <row r="737" spans="1:6" ht="15" customHeight="1" x14ac:dyDescent="0.2">
      <c r="A737" s="9"/>
      <c r="B737" s="8"/>
      <c r="C737" s="10" t="str">
        <f>IFERROR(INDEX(Reference!$B$29:$B$200,MATCH(B737,Reference!$A$29:$A$200,0)),"")</f>
        <v/>
      </c>
      <c r="D737" s="13"/>
      <c r="E737" s="10" t="str">
        <f t="shared" si="11"/>
        <v/>
      </c>
      <c r="F737" s="8"/>
    </row>
    <row r="738" spans="1:6" ht="15" customHeight="1" x14ac:dyDescent="0.2">
      <c r="A738" s="9"/>
      <c r="B738" s="8"/>
      <c r="C738" s="10" t="str">
        <f>IFERROR(INDEX(Reference!$B$29:$B$200,MATCH(B738,Reference!$A$29:$A$200,0)),"")</f>
        <v/>
      </c>
      <c r="D738" s="13"/>
      <c r="E738" s="10" t="str">
        <f t="shared" si="11"/>
        <v/>
      </c>
      <c r="F738" s="8"/>
    </row>
    <row r="739" spans="1:6" ht="15" customHeight="1" x14ac:dyDescent="0.2">
      <c r="A739" s="9"/>
      <c r="B739" s="8"/>
      <c r="C739" s="10" t="str">
        <f>IFERROR(INDEX(Reference!$B$29:$B$200,MATCH(B739,Reference!$A$29:$A$200,0)),"")</f>
        <v/>
      </c>
      <c r="D739" s="13"/>
      <c r="E739" s="10" t="str">
        <f t="shared" si="11"/>
        <v/>
      </c>
      <c r="F739" s="8"/>
    </row>
    <row r="740" spans="1:6" ht="15" customHeight="1" x14ac:dyDescent="0.2">
      <c r="A740" s="9"/>
      <c r="B740" s="8"/>
      <c r="C740" s="10" t="str">
        <f>IFERROR(INDEX(Reference!$B$29:$B$200,MATCH(B740,Reference!$A$29:$A$200,0)),"")</f>
        <v/>
      </c>
      <c r="D740" s="13"/>
      <c r="E740" s="10" t="str">
        <f t="shared" si="11"/>
        <v/>
      </c>
      <c r="F740" s="8"/>
    </row>
    <row r="741" spans="1:6" ht="15" customHeight="1" x14ac:dyDescent="0.2">
      <c r="A741" s="9"/>
      <c r="B741" s="8"/>
      <c r="C741" s="10" t="str">
        <f>IFERROR(INDEX(Reference!$B$29:$B$200,MATCH(B741,Reference!$A$29:$A$200,0)),"")</f>
        <v/>
      </c>
      <c r="D741" s="13"/>
      <c r="E741" s="10" t="str">
        <f t="shared" si="11"/>
        <v/>
      </c>
      <c r="F741" s="8"/>
    </row>
    <row r="742" spans="1:6" ht="15" customHeight="1" x14ac:dyDescent="0.2">
      <c r="A742" s="9"/>
      <c r="B742" s="8"/>
      <c r="C742" s="10" t="str">
        <f>IFERROR(INDEX(Reference!$B$29:$B$200,MATCH(B742,Reference!$A$29:$A$200,0)),"")</f>
        <v/>
      </c>
      <c r="D742" s="13"/>
      <c r="E742" s="10" t="str">
        <f t="shared" si="11"/>
        <v/>
      </c>
      <c r="F742" s="8"/>
    </row>
    <row r="743" spans="1:6" ht="15" customHeight="1" x14ac:dyDescent="0.2">
      <c r="A743" s="9"/>
      <c r="B743" s="8"/>
      <c r="C743" s="10" t="str">
        <f>IFERROR(INDEX(Reference!$B$29:$B$200,MATCH(B743,Reference!$A$29:$A$200,0)),"")</f>
        <v/>
      </c>
      <c r="D743" s="13"/>
      <c r="E743" s="10" t="str">
        <f t="shared" si="11"/>
        <v/>
      </c>
      <c r="F743" s="8"/>
    </row>
    <row r="744" spans="1:6" ht="15" customHeight="1" x14ac:dyDescent="0.2">
      <c r="A744" s="9"/>
      <c r="B744" s="8"/>
      <c r="C744" s="10" t="str">
        <f>IFERROR(INDEX(Reference!$B$29:$B$200,MATCH(B744,Reference!$A$29:$A$200,0)),"")</f>
        <v/>
      </c>
      <c r="D744" s="13"/>
      <c r="E744" s="10" t="str">
        <f t="shared" si="11"/>
        <v/>
      </c>
      <c r="F744" s="8"/>
    </row>
    <row r="745" spans="1:6" ht="15" customHeight="1" x14ac:dyDescent="0.2">
      <c r="A745" s="9"/>
      <c r="B745" s="8"/>
      <c r="C745" s="10" t="str">
        <f>IFERROR(INDEX(Reference!$B$29:$B$200,MATCH(B745,Reference!$A$29:$A$200,0)),"")</f>
        <v/>
      </c>
      <c r="D745" s="13"/>
      <c r="E745" s="10" t="str">
        <f t="shared" si="11"/>
        <v/>
      </c>
      <c r="F745" s="8"/>
    </row>
    <row r="746" spans="1:6" ht="15" customHeight="1" x14ac:dyDescent="0.2">
      <c r="A746" s="9"/>
      <c r="B746" s="8"/>
      <c r="C746" s="10" t="str">
        <f>IFERROR(INDEX(Reference!$B$29:$B$200,MATCH(B746,Reference!$A$29:$A$200,0)),"")</f>
        <v/>
      </c>
      <c r="D746" s="13"/>
      <c r="E746" s="10" t="str">
        <f t="shared" si="11"/>
        <v/>
      </c>
      <c r="F746" s="8"/>
    </row>
    <row r="747" spans="1:6" ht="15" customHeight="1" x14ac:dyDescent="0.2">
      <c r="A747" s="9"/>
      <c r="B747" s="8"/>
      <c r="C747" s="10" t="str">
        <f>IFERROR(INDEX(Reference!$B$29:$B$200,MATCH(B747,Reference!$A$29:$A$200,0)),"")</f>
        <v/>
      </c>
      <c r="D747" s="13"/>
      <c r="E747" s="10" t="str">
        <f t="shared" si="11"/>
        <v/>
      </c>
      <c r="F747" s="8"/>
    </row>
    <row r="748" spans="1:6" ht="15" customHeight="1" x14ac:dyDescent="0.2">
      <c r="A748" s="9"/>
      <c r="B748" s="8"/>
      <c r="C748" s="10" t="str">
        <f>IFERROR(INDEX(Reference!$B$29:$B$200,MATCH(B748,Reference!$A$29:$A$200,0)),"")</f>
        <v/>
      </c>
      <c r="D748" s="13"/>
      <c r="E748" s="10" t="str">
        <f t="shared" si="11"/>
        <v/>
      </c>
      <c r="F748" s="8"/>
    </row>
    <row r="749" spans="1:6" ht="15" customHeight="1" x14ac:dyDescent="0.2">
      <c r="A749" s="9"/>
      <c r="B749" s="8"/>
      <c r="C749" s="10" t="str">
        <f>IFERROR(INDEX(Reference!$B$29:$B$200,MATCH(B749,Reference!$A$29:$A$200,0)),"")</f>
        <v/>
      </c>
      <c r="D749" s="13"/>
      <c r="E749" s="10" t="str">
        <f t="shared" si="11"/>
        <v/>
      </c>
      <c r="F749" s="8"/>
    </row>
    <row r="750" spans="1:6" ht="15" customHeight="1" x14ac:dyDescent="0.2">
      <c r="A750" s="9"/>
      <c r="B750" s="8"/>
      <c r="C750" s="10" t="str">
        <f>IFERROR(INDEX(Reference!$B$29:$B$200,MATCH(B750,Reference!$A$29:$A$200,0)),"")</f>
        <v/>
      </c>
      <c r="D750" s="13"/>
      <c r="E750" s="10" t="str">
        <f t="shared" si="11"/>
        <v/>
      </c>
      <c r="F750" s="8"/>
    </row>
    <row r="751" spans="1:6" ht="15" customHeight="1" x14ac:dyDescent="0.2">
      <c r="A751" s="9"/>
      <c r="B751" s="8"/>
      <c r="C751" s="10" t="str">
        <f>IFERROR(INDEX(Reference!$B$29:$B$200,MATCH(B751,Reference!$A$29:$A$200,0)),"")</f>
        <v/>
      </c>
      <c r="D751" s="13"/>
      <c r="E751" s="10" t="str">
        <f t="shared" si="11"/>
        <v/>
      </c>
      <c r="F751" s="8"/>
    </row>
    <row r="752" spans="1:6" ht="15" customHeight="1" x14ac:dyDescent="0.2">
      <c r="A752" s="9"/>
      <c r="B752" s="8"/>
      <c r="C752" s="10" t="str">
        <f>IFERROR(INDEX(Reference!$B$29:$B$200,MATCH(B752,Reference!$A$29:$A$200,0)),"")</f>
        <v/>
      </c>
      <c r="D752" s="13"/>
      <c r="E752" s="10" t="str">
        <f t="shared" si="11"/>
        <v/>
      </c>
      <c r="F752" s="8"/>
    </row>
    <row r="753" spans="1:6" ht="15" customHeight="1" x14ac:dyDescent="0.2">
      <c r="A753" s="9"/>
      <c r="B753" s="8"/>
      <c r="C753" s="10" t="str">
        <f>IFERROR(INDEX(Reference!$B$29:$B$200,MATCH(B753,Reference!$A$29:$A$200,0)),"")</f>
        <v/>
      </c>
      <c r="D753" s="13"/>
      <c r="E753" s="10" t="str">
        <f t="shared" si="11"/>
        <v/>
      </c>
      <c r="F753" s="8"/>
    </row>
    <row r="754" spans="1:6" ht="15" customHeight="1" x14ac:dyDescent="0.2">
      <c r="A754" s="9"/>
      <c r="B754" s="8"/>
      <c r="C754" s="10" t="str">
        <f>IFERROR(INDEX(Reference!$B$29:$B$200,MATCH(B754,Reference!$A$29:$A$200,0)),"")</f>
        <v/>
      </c>
      <c r="D754" s="13"/>
      <c r="E754" s="10" t="str">
        <f t="shared" si="11"/>
        <v/>
      </c>
      <c r="F754" s="8"/>
    </row>
    <row r="755" spans="1:6" ht="15" customHeight="1" x14ac:dyDescent="0.2">
      <c r="A755" s="9"/>
      <c r="B755" s="8"/>
      <c r="C755" s="10" t="str">
        <f>IFERROR(INDEX(Reference!$B$29:$B$200,MATCH(B755,Reference!$A$29:$A$200,0)),"")</f>
        <v/>
      </c>
      <c r="D755" s="13"/>
      <c r="E755" s="10" t="str">
        <f t="shared" si="11"/>
        <v/>
      </c>
      <c r="F755" s="8"/>
    </row>
    <row r="756" spans="1:6" ht="15" customHeight="1" x14ac:dyDescent="0.2">
      <c r="A756" s="9"/>
      <c r="B756" s="8"/>
      <c r="C756" s="10" t="str">
        <f>IFERROR(INDEX(Reference!$B$29:$B$200,MATCH(B756,Reference!$A$29:$A$200,0)),"")</f>
        <v/>
      </c>
      <c r="D756" s="13"/>
      <c r="E756" s="10" t="str">
        <f t="shared" si="11"/>
        <v/>
      </c>
      <c r="F756" s="8"/>
    </row>
    <row r="757" spans="1:6" ht="15" customHeight="1" x14ac:dyDescent="0.2">
      <c r="A757" s="9"/>
      <c r="B757" s="8"/>
      <c r="C757" s="10" t="str">
        <f>IFERROR(INDEX(Reference!$B$29:$B$200,MATCH(B757,Reference!$A$29:$A$200,0)),"")</f>
        <v/>
      </c>
      <c r="D757" s="13"/>
      <c r="E757" s="10" t="str">
        <f t="shared" si="11"/>
        <v/>
      </c>
      <c r="F757" s="8"/>
    </row>
    <row r="758" spans="1:6" ht="15" customHeight="1" x14ac:dyDescent="0.2">
      <c r="A758" s="9"/>
      <c r="B758" s="8"/>
      <c r="C758" s="10" t="str">
        <f>IFERROR(INDEX(Reference!$B$29:$B$200,MATCH(B758,Reference!$A$29:$A$200,0)),"")</f>
        <v/>
      </c>
      <c r="D758" s="13"/>
      <c r="E758" s="10" t="str">
        <f t="shared" si="11"/>
        <v/>
      </c>
      <c r="F758" s="8"/>
    </row>
    <row r="759" spans="1:6" ht="15" customHeight="1" x14ac:dyDescent="0.2">
      <c r="A759" s="9"/>
      <c r="B759" s="8"/>
      <c r="C759" s="10" t="str">
        <f>IFERROR(INDEX(Reference!$B$29:$B$200,MATCH(B759,Reference!$A$29:$A$200,0)),"")</f>
        <v/>
      </c>
      <c r="D759" s="13"/>
      <c r="E759" s="10" t="str">
        <f t="shared" si="11"/>
        <v/>
      </c>
      <c r="F759" s="8"/>
    </row>
    <row r="760" spans="1:6" ht="15" customHeight="1" x14ac:dyDescent="0.2">
      <c r="A760" s="9"/>
      <c r="B760" s="8"/>
      <c r="C760" s="10" t="str">
        <f>IFERROR(INDEX(Reference!$B$29:$B$200,MATCH(B760,Reference!$A$29:$A$200,0)),"")</f>
        <v/>
      </c>
      <c r="D760" s="13"/>
      <c r="E760" s="10" t="str">
        <f t="shared" si="11"/>
        <v/>
      </c>
      <c r="F760" s="8"/>
    </row>
    <row r="761" spans="1:6" ht="15" customHeight="1" x14ac:dyDescent="0.2">
      <c r="A761" s="9"/>
      <c r="B761" s="8"/>
      <c r="C761" s="10" t="str">
        <f>IFERROR(INDEX(Reference!$B$29:$B$200,MATCH(B761,Reference!$A$29:$A$200,0)),"")</f>
        <v/>
      </c>
      <c r="D761" s="13"/>
      <c r="E761" s="10" t="str">
        <f t="shared" si="11"/>
        <v/>
      </c>
      <c r="F761" s="8"/>
    </row>
    <row r="762" spans="1:6" ht="15" customHeight="1" x14ac:dyDescent="0.2">
      <c r="A762" s="9"/>
      <c r="B762" s="8"/>
      <c r="C762" s="10" t="str">
        <f>IFERROR(INDEX(Reference!$B$29:$B$200,MATCH(B762,Reference!$A$29:$A$200,0)),"")</f>
        <v/>
      </c>
      <c r="D762" s="13"/>
      <c r="E762" s="10" t="str">
        <f t="shared" si="11"/>
        <v/>
      </c>
      <c r="F762" s="8"/>
    </row>
    <row r="763" spans="1:6" ht="15" customHeight="1" x14ac:dyDescent="0.2">
      <c r="A763" s="9"/>
      <c r="B763" s="8"/>
      <c r="C763" s="10" t="str">
        <f>IFERROR(INDEX(Reference!$B$29:$B$200,MATCH(B763,Reference!$A$29:$A$200,0)),"")</f>
        <v/>
      </c>
      <c r="D763" s="13"/>
      <c r="E763" s="10" t="str">
        <f t="shared" si="11"/>
        <v/>
      </c>
      <c r="F763" s="8"/>
    </row>
    <row r="764" spans="1:6" ht="15" customHeight="1" x14ac:dyDescent="0.2">
      <c r="A764" s="9"/>
      <c r="B764" s="8"/>
      <c r="C764" s="10" t="str">
        <f>IFERROR(INDEX(Reference!$B$29:$B$200,MATCH(B764,Reference!$A$29:$A$200,0)),"")</f>
        <v/>
      </c>
      <c r="D764" s="13"/>
      <c r="E764" s="10" t="str">
        <f t="shared" si="11"/>
        <v/>
      </c>
      <c r="F764" s="8"/>
    </row>
    <row r="765" spans="1:6" ht="15" customHeight="1" x14ac:dyDescent="0.2">
      <c r="A765" s="9"/>
      <c r="B765" s="8"/>
      <c r="C765" s="10" t="str">
        <f>IFERROR(INDEX(Reference!$B$29:$B$200,MATCH(B765,Reference!$A$29:$A$200,0)),"")</f>
        <v/>
      </c>
      <c r="D765" s="13"/>
      <c r="E765" s="10" t="str">
        <f t="shared" si="11"/>
        <v/>
      </c>
      <c r="F765" s="8"/>
    </row>
    <row r="766" spans="1:6" ht="15" customHeight="1" x14ac:dyDescent="0.2">
      <c r="A766" s="9"/>
      <c r="B766" s="8"/>
      <c r="C766" s="10" t="str">
        <f>IFERROR(INDEX(Reference!$B$29:$B$200,MATCH(B766,Reference!$A$29:$A$200,0)),"")</f>
        <v/>
      </c>
      <c r="D766" s="13"/>
      <c r="E766" s="10" t="str">
        <f t="shared" si="11"/>
        <v/>
      </c>
      <c r="F766" s="8"/>
    </row>
    <row r="767" spans="1:6" ht="15" customHeight="1" x14ac:dyDescent="0.2">
      <c r="A767" s="9"/>
      <c r="B767" s="8"/>
      <c r="C767" s="10" t="str">
        <f>IFERROR(INDEX(Reference!$B$29:$B$200,MATCH(B767,Reference!$A$29:$A$200,0)),"")</f>
        <v/>
      </c>
      <c r="D767" s="13"/>
      <c r="E767" s="10" t="str">
        <f t="shared" si="11"/>
        <v/>
      </c>
      <c r="F767" s="8"/>
    </row>
    <row r="768" spans="1:6" ht="15" customHeight="1" x14ac:dyDescent="0.2">
      <c r="A768" s="9"/>
      <c r="B768" s="8"/>
      <c r="C768" s="10" t="str">
        <f>IFERROR(INDEX(Reference!$B$29:$B$200,MATCH(B768,Reference!$A$29:$A$200,0)),"")</f>
        <v/>
      </c>
      <c r="D768" s="13"/>
      <c r="E768" s="10" t="str">
        <f t="shared" si="11"/>
        <v/>
      </c>
      <c r="F768" s="8"/>
    </row>
    <row r="769" spans="1:6" ht="15" customHeight="1" x14ac:dyDescent="0.2">
      <c r="A769" s="9"/>
      <c r="B769" s="8"/>
      <c r="C769" s="10" t="str">
        <f>IFERROR(INDEX(Reference!$B$29:$B$200,MATCH(B769,Reference!$A$29:$A$200,0)),"")</f>
        <v/>
      </c>
      <c r="D769" s="13"/>
      <c r="E769" s="10" t="str">
        <f t="shared" si="11"/>
        <v/>
      </c>
      <c r="F769" s="8"/>
    </row>
    <row r="770" spans="1:6" ht="15" customHeight="1" x14ac:dyDescent="0.2">
      <c r="A770" s="9"/>
      <c r="B770" s="8"/>
      <c r="C770" s="10" t="str">
        <f>IFERROR(INDEX(Reference!$B$29:$B$200,MATCH(B770,Reference!$A$29:$A$200,0)),"")</f>
        <v/>
      </c>
      <c r="D770" s="13"/>
      <c r="E770" s="10" t="str">
        <f t="shared" ref="E770:E833" si="12">IF(A770="","",IF(MONTH(A770)&gt;=8,YEAR(A770)&amp;"-"&amp;RIGHT(YEAR(A770)+1,2),YEAR(A770)-1&amp;"-"&amp;RIGHT(YEAR(A770),2)))</f>
        <v/>
      </c>
      <c r="F770" s="8"/>
    </row>
    <row r="771" spans="1:6" ht="15" customHeight="1" x14ac:dyDescent="0.2">
      <c r="A771" s="9"/>
      <c r="B771" s="8"/>
      <c r="C771" s="10" t="str">
        <f>IFERROR(INDEX(Reference!$B$29:$B$200,MATCH(B771,Reference!$A$29:$A$200,0)),"")</f>
        <v/>
      </c>
      <c r="D771" s="13"/>
      <c r="E771" s="10" t="str">
        <f t="shared" si="12"/>
        <v/>
      </c>
      <c r="F771" s="8"/>
    </row>
    <row r="772" spans="1:6" ht="15" customHeight="1" x14ac:dyDescent="0.2">
      <c r="A772" s="9"/>
      <c r="B772" s="8"/>
      <c r="C772" s="10" t="str">
        <f>IFERROR(INDEX(Reference!$B$29:$B$200,MATCH(B772,Reference!$A$29:$A$200,0)),"")</f>
        <v/>
      </c>
      <c r="D772" s="13"/>
      <c r="E772" s="10" t="str">
        <f t="shared" si="12"/>
        <v/>
      </c>
      <c r="F772" s="8"/>
    </row>
    <row r="773" spans="1:6" ht="15" customHeight="1" x14ac:dyDescent="0.2">
      <c r="A773" s="9"/>
      <c r="B773" s="8"/>
      <c r="C773" s="10" t="str">
        <f>IFERROR(INDEX(Reference!$B$29:$B$200,MATCH(B773,Reference!$A$29:$A$200,0)),"")</f>
        <v/>
      </c>
      <c r="D773" s="13"/>
      <c r="E773" s="10" t="str">
        <f t="shared" si="12"/>
        <v/>
      </c>
      <c r="F773" s="8"/>
    </row>
    <row r="774" spans="1:6" ht="15" customHeight="1" x14ac:dyDescent="0.2">
      <c r="A774" s="9"/>
      <c r="B774" s="8"/>
      <c r="C774" s="10" t="str">
        <f>IFERROR(INDEX(Reference!$B$29:$B$200,MATCH(B774,Reference!$A$29:$A$200,0)),"")</f>
        <v/>
      </c>
      <c r="D774" s="13"/>
      <c r="E774" s="10" t="str">
        <f t="shared" si="12"/>
        <v/>
      </c>
      <c r="F774" s="8"/>
    </row>
    <row r="775" spans="1:6" ht="15" customHeight="1" x14ac:dyDescent="0.2">
      <c r="A775" s="9"/>
      <c r="B775" s="8"/>
      <c r="C775" s="10" t="str">
        <f>IFERROR(INDEX(Reference!$B$29:$B$200,MATCH(B775,Reference!$A$29:$A$200,0)),"")</f>
        <v/>
      </c>
      <c r="D775" s="13"/>
      <c r="E775" s="10" t="str">
        <f t="shared" si="12"/>
        <v/>
      </c>
      <c r="F775" s="8"/>
    </row>
    <row r="776" spans="1:6" ht="15" customHeight="1" x14ac:dyDescent="0.2">
      <c r="A776" s="9"/>
      <c r="B776" s="8"/>
      <c r="C776" s="10" t="str">
        <f>IFERROR(INDEX(Reference!$B$29:$B$200,MATCH(B776,Reference!$A$29:$A$200,0)),"")</f>
        <v/>
      </c>
      <c r="D776" s="13"/>
      <c r="E776" s="10" t="str">
        <f t="shared" si="12"/>
        <v/>
      </c>
      <c r="F776" s="8"/>
    </row>
    <row r="777" spans="1:6" ht="15" customHeight="1" x14ac:dyDescent="0.2">
      <c r="A777" s="9"/>
      <c r="B777" s="8"/>
      <c r="C777" s="10" t="str">
        <f>IFERROR(INDEX(Reference!$B$29:$B$200,MATCH(B777,Reference!$A$29:$A$200,0)),"")</f>
        <v/>
      </c>
      <c r="D777" s="13"/>
      <c r="E777" s="10" t="str">
        <f t="shared" si="12"/>
        <v/>
      </c>
      <c r="F777" s="8"/>
    </row>
    <row r="778" spans="1:6" ht="15" customHeight="1" x14ac:dyDescent="0.2">
      <c r="A778" s="9"/>
      <c r="B778" s="8"/>
      <c r="C778" s="10" t="str">
        <f>IFERROR(INDEX(Reference!$B$29:$B$200,MATCH(B778,Reference!$A$29:$A$200,0)),"")</f>
        <v/>
      </c>
      <c r="D778" s="13"/>
      <c r="E778" s="10" t="str">
        <f t="shared" si="12"/>
        <v/>
      </c>
      <c r="F778" s="8"/>
    </row>
    <row r="779" spans="1:6" ht="15" customHeight="1" x14ac:dyDescent="0.2">
      <c r="A779" s="9"/>
      <c r="B779" s="8"/>
      <c r="C779" s="10" t="str">
        <f>IFERROR(INDEX(Reference!$B$29:$B$200,MATCH(B779,Reference!$A$29:$A$200,0)),"")</f>
        <v/>
      </c>
      <c r="D779" s="13"/>
      <c r="E779" s="10" t="str">
        <f t="shared" si="12"/>
        <v/>
      </c>
      <c r="F779" s="8"/>
    </row>
    <row r="780" spans="1:6" ht="15" customHeight="1" x14ac:dyDescent="0.2">
      <c r="A780" s="9"/>
      <c r="B780" s="8"/>
      <c r="C780" s="10" t="str">
        <f>IFERROR(INDEX(Reference!$B$29:$B$200,MATCH(B780,Reference!$A$29:$A$200,0)),"")</f>
        <v/>
      </c>
      <c r="D780" s="13"/>
      <c r="E780" s="10" t="str">
        <f t="shared" si="12"/>
        <v/>
      </c>
      <c r="F780" s="8"/>
    </row>
    <row r="781" spans="1:6" ht="15" customHeight="1" x14ac:dyDescent="0.2">
      <c r="A781" s="9"/>
      <c r="B781" s="8"/>
      <c r="C781" s="10" t="str">
        <f>IFERROR(INDEX(Reference!$B$29:$B$200,MATCH(B781,Reference!$A$29:$A$200,0)),"")</f>
        <v/>
      </c>
      <c r="D781" s="13"/>
      <c r="E781" s="10" t="str">
        <f t="shared" si="12"/>
        <v/>
      </c>
      <c r="F781" s="8"/>
    </row>
    <row r="782" spans="1:6" ht="15" customHeight="1" x14ac:dyDescent="0.2">
      <c r="A782" s="9"/>
      <c r="B782" s="8"/>
      <c r="C782" s="10" t="str">
        <f>IFERROR(INDEX(Reference!$B$29:$B$200,MATCH(B782,Reference!$A$29:$A$200,0)),"")</f>
        <v/>
      </c>
      <c r="D782" s="13"/>
      <c r="E782" s="10" t="str">
        <f t="shared" si="12"/>
        <v/>
      </c>
      <c r="F782" s="8"/>
    </row>
    <row r="783" spans="1:6" ht="15" customHeight="1" x14ac:dyDescent="0.2">
      <c r="A783" s="9"/>
      <c r="B783" s="8"/>
      <c r="C783" s="10" t="str">
        <f>IFERROR(INDEX(Reference!$B$29:$B$200,MATCH(B783,Reference!$A$29:$A$200,0)),"")</f>
        <v/>
      </c>
      <c r="D783" s="13"/>
      <c r="E783" s="10" t="str">
        <f t="shared" si="12"/>
        <v/>
      </c>
      <c r="F783" s="8"/>
    </row>
    <row r="784" spans="1:6" ht="15" customHeight="1" x14ac:dyDescent="0.2">
      <c r="A784" s="9"/>
      <c r="B784" s="8"/>
      <c r="C784" s="10" t="str">
        <f>IFERROR(INDEX(Reference!$B$29:$B$200,MATCH(B784,Reference!$A$29:$A$200,0)),"")</f>
        <v/>
      </c>
      <c r="D784" s="13"/>
      <c r="E784" s="10" t="str">
        <f t="shared" si="12"/>
        <v/>
      </c>
      <c r="F784" s="8"/>
    </row>
    <row r="785" spans="1:6" ht="15" customHeight="1" x14ac:dyDescent="0.2">
      <c r="A785" s="9"/>
      <c r="B785" s="8"/>
      <c r="C785" s="10" t="str">
        <f>IFERROR(INDEX(Reference!$B$29:$B$200,MATCH(B785,Reference!$A$29:$A$200,0)),"")</f>
        <v/>
      </c>
      <c r="D785" s="13"/>
      <c r="E785" s="10" t="str">
        <f t="shared" si="12"/>
        <v/>
      </c>
      <c r="F785" s="8"/>
    </row>
    <row r="786" spans="1:6" ht="15" customHeight="1" x14ac:dyDescent="0.2">
      <c r="A786" s="9"/>
      <c r="B786" s="8"/>
      <c r="C786" s="10" t="str">
        <f>IFERROR(INDEX(Reference!$B$29:$B$200,MATCH(B786,Reference!$A$29:$A$200,0)),"")</f>
        <v/>
      </c>
      <c r="D786" s="13"/>
      <c r="E786" s="10" t="str">
        <f t="shared" si="12"/>
        <v/>
      </c>
      <c r="F786" s="8"/>
    </row>
    <row r="787" spans="1:6" ht="15" customHeight="1" x14ac:dyDescent="0.2">
      <c r="A787" s="9"/>
      <c r="B787" s="8"/>
      <c r="C787" s="10" t="str">
        <f>IFERROR(INDEX(Reference!$B$29:$B$200,MATCH(B787,Reference!$A$29:$A$200,0)),"")</f>
        <v/>
      </c>
      <c r="D787" s="13"/>
      <c r="E787" s="10" t="str">
        <f t="shared" si="12"/>
        <v/>
      </c>
      <c r="F787" s="8"/>
    </row>
    <row r="788" spans="1:6" ht="15" customHeight="1" x14ac:dyDescent="0.2">
      <c r="A788" s="9"/>
      <c r="B788" s="8"/>
      <c r="C788" s="10" t="str">
        <f>IFERROR(INDEX(Reference!$B$29:$B$200,MATCH(B788,Reference!$A$29:$A$200,0)),"")</f>
        <v/>
      </c>
      <c r="D788" s="13"/>
      <c r="E788" s="10" t="str">
        <f t="shared" si="12"/>
        <v/>
      </c>
      <c r="F788" s="8"/>
    </row>
    <row r="789" spans="1:6" ht="15" customHeight="1" x14ac:dyDescent="0.2">
      <c r="A789" s="9"/>
      <c r="B789" s="8"/>
      <c r="C789" s="10" t="str">
        <f>IFERROR(INDEX(Reference!$B$29:$B$200,MATCH(B789,Reference!$A$29:$A$200,0)),"")</f>
        <v/>
      </c>
      <c r="D789" s="13"/>
      <c r="E789" s="10" t="str">
        <f t="shared" si="12"/>
        <v/>
      </c>
      <c r="F789" s="8"/>
    </row>
    <row r="790" spans="1:6" ht="15" customHeight="1" x14ac:dyDescent="0.2">
      <c r="A790" s="9"/>
      <c r="B790" s="8"/>
      <c r="C790" s="10" t="str">
        <f>IFERROR(INDEX(Reference!$B$29:$B$200,MATCH(B790,Reference!$A$29:$A$200,0)),"")</f>
        <v/>
      </c>
      <c r="D790" s="13"/>
      <c r="E790" s="10" t="str">
        <f t="shared" si="12"/>
        <v/>
      </c>
      <c r="F790" s="8"/>
    </row>
    <row r="791" spans="1:6" ht="15" customHeight="1" x14ac:dyDescent="0.2">
      <c r="A791" s="9"/>
      <c r="B791" s="8"/>
      <c r="C791" s="10" t="str">
        <f>IFERROR(INDEX(Reference!$B$29:$B$200,MATCH(B791,Reference!$A$29:$A$200,0)),"")</f>
        <v/>
      </c>
      <c r="D791" s="13"/>
      <c r="E791" s="10" t="str">
        <f t="shared" si="12"/>
        <v/>
      </c>
      <c r="F791" s="8"/>
    </row>
    <row r="792" spans="1:6" ht="15" customHeight="1" x14ac:dyDescent="0.2">
      <c r="A792" s="9"/>
      <c r="B792" s="8"/>
      <c r="C792" s="10" t="str">
        <f>IFERROR(INDEX(Reference!$B$29:$B$200,MATCH(B792,Reference!$A$29:$A$200,0)),"")</f>
        <v/>
      </c>
      <c r="D792" s="13"/>
      <c r="E792" s="10" t="str">
        <f t="shared" si="12"/>
        <v/>
      </c>
      <c r="F792" s="8"/>
    </row>
    <row r="793" spans="1:6" ht="15" customHeight="1" x14ac:dyDescent="0.2">
      <c r="A793" s="9"/>
      <c r="B793" s="8"/>
      <c r="C793" s="10" t="str">
        <f>IFERROR(INDEX(Reference!$B$29:$B$200,MATCH(B793,Reference!$A$29:$A$200,0)),"")</f>
        <v/>
      </c>
      <c r="D793" s="13"/>
      <c r="E793" s="10" t="str">
        <f t="shared" si="12"/>
        <v/>
      </c>
      <c r="F793" s="8"/>
    </row>
    <row r="794" spans="1:6" ht="15" customHeight="1" x14ac:dyDescent="0.2">
      <c r="A794" s="9"/>
      <c r="B794" s="8"/>
      <c r="C794" s="10" t="str">
        <f>IFERROR(INDEX(Reference!$B$29:$B$200,MATCH(B794,Reference!$A$29:$A$200,0)),"")</f>
        <v/>
      </c>
      <c r="D794" s="13"/>
      <c r="E794" s="10" t="str">
        <f t="shared" si="12"/>
        <v/>
      </c>
      <c r="F794" s="8"/>
    </row>
    <row r="795" spans="1:6" ht="15" customHeight="1" x14ac:dyDescent="0.2">
      <c r="A795" s="9"/>
      <c r="B795" s="8"/>
      <c r="C795" s="10" t="str">
        <f>IFERROR(INDEX(Reference!$B$29:$B$200,MATCH(B795,Reference!$A$29:$A$200,0)),"")</f>
        <v/>
      </c>
      <c r="D795" s="13"/>
      <c r="E795" s="10" t="str">
        <f t="shared" si="12"/>
        <v/>
      </c>
      <c r="F795" s="8"/>
    </row>
    <row r="796" spans="1:6" ht="15" customHeight="1" x14ac:dyDescent="0.2">
      <c r="A796" s="9"/>
      <c r="B796" s="8"/>
      <c r="C796" s="10" t="str">
        <f>IFERROR(INDEX(Reference!$B$29:$B$200,MATCH(B796,Reference!$A$29:$A$200,0)),"")</f>
        <v/>
      </c>
      <c r="D796" s="13"/>
      <c r="E796" s="10" t="str">
        <f t="shared" si="12"/>
        <v/>
      </c>
      <c r="F796" s="8"/>
    </row>
    <row r="797" spans="1:6" ht="15" customHeight="1" x14ac:dyDescent="0.2">
      <c r="A797" s="9"/>
      <c r="B797" s="8"/>
      <c r="C797" s="10" t="str">
        <f>IFERROR(INDEX(Reference!$B$29:$B$200,MATCH(B797,Reference!$A$29:$A$200,0)),"")</f>
        <v/>
      </c>
      <c r="D797" s="13"/>
      <c r="E797" s="10" t="str">
        <f t="shared" si="12"/>
        <v/>
      </c>
      <c r="F797" s="8"/>
    </row>
    <row r="798" spans="1:6" ht="15" customHeight="1" x14ac:dyDescent="0.2">
      <c r="A798" s="9"/>
      <c r="B798" s="8"/>
      <c r="C798" s="10" t="str">
        <f>IFERROR(INDEX(Reference!$B$29:$B$200,MATCH(B798,Reference!$A$29:$A$200,0)),"")</f>
        <v/>
      </c>
      <c r="D798" s="13"/>
      <c r="E798" s="10" t="str">
        <f t="shared" si="12"/>
        <v/>
      </c>
      <c r="F798" s="8"/>
    </row>
    <row r="799" spans="1:6" ht="15" customHeight="1" x14ac:dyDescent="0.2">
      <c r="A799" s="9"/>
      <c r="B799" s="8"/>
      <c r="C799" s="10" t="str">
        <f>IFERROR(INDEX(Reference!$B$29:$B$200,MATCH(B799,Reference!$A$29:$A$200,0)),"")</f>
        <v/>
      </c>
      <c r="D799" s="13"/>
      <c r="E799" s="10" t="str">
        <f t="shared" si="12"/>
        <v/>
      </c>
      <c r="F799" s="8"/>
    </row>
    <row r="800" spans="1:6" ht="15" customHeight="1" x14ac:dyDescent="0.2">
      <c r="A800" s="9"/>
      <c r="B800" s="8"/>
      <c r="C800" s="10" t="str">
        <f>IFERROR(INDEX(Reference!$B$29:$B$200,MATCH(B800,Reference!$A$29:$A$200,0)),"")</f>
        <v/>
      </c>
      <c r="D800" s="13"/>
      <c r="E800" s="10" t="str">
        <f t="shared" si="12"/>
        <v/>
      </c>
      <c r="F800" s="8"/>
    </row>
    <row r="801" spans="1:6" ht="15" customHeight="1" x14ac:dyDescent="0.2">
      <c r="A801" s="9"/>
      <c r="B801" s="8"/>
      <c r="C801" s="10" t="str">
        <f>IFERROR(INDEX(Reference!$B$29:$B$200,MATCH(B801,Reference!$A$29:$A$200,0)),"")</f>
        <v/>
      </c>
      <c r="D801" s="13"/>
      <c r="E801" s="10" t="str">
        <f t="shared" si="12"/>
        <v/>
      </c>
      <c r="F801" s="8"/>
    </row>
    <row r="802" spans="1:6" ht="15" customHeight="1" x14ac:dyDescent="0.2">
      <c r="A802" s="9"/>
      <c r="B802" s="8"/>
      <c r="C802" s="10" t="str">
        <f>IFERROR(INDEX(Reference!$B$29:$B$200,MATCH(B802,Reference!$A$29:$A$200,0)),"")</f>
        <v/>
      </c>
      <c r="D802" s="13"/>
      <c r="E802" s="10" t="str">
        <f t="shared" si="12"/>
        <v/>
      </c>
      <c r="F802" s="8"/>
    </row>
    <row r="803" spans="1:6" ht="15" customHeight="1" x14ac:dyDescent="0.2">
      <c r="A803" s="9"/>
      <c r="B803" s="8"/>
      <c r="C803" s="10" t="str">
        <f>IFERROR(INDEX(Reference!$B$29:$B$200,MATCH(B803,Reference!$A$29:$A$200,0)),"")</f>
        <v/>
      </c>
      <c r="D803" s="13"/>
      <c r="E803" s="10" t="str">
        <f t="shared" si="12"/>
        <v/>
      </c>
      <c r="F803" s="8"/>
    </row>
    <row r="804" spans="1:6" ht="15" customHeight="1" x14ac:dyDescent="0.2">
      <c r="A804" s="9"/>
      <c r="B804" s="8"/>
      <c r="C804" s="10" t="str">
        <f>IFERROR(INDEX(Reference!$B$29:$B$200,MATCH(B804,Reference!$A$29:$A$200,0)),"")</f>
        <v/>
      </c>
      <c r="D804" s="13"/>
      <c r="E804" s="10" t="str">
        <f t="shared" si="12"/>
        <v/>
      </c>
      <c r="F804" s="8"/>
    </row>
    <row r="805" spans="1:6" ht="15" customHeight="1" x14ac:dyDescent="0.2">
      <c r="A805" s="9"/>
      <c r="B805" s="8"/>
      <c r="C805" s="10" t="str">
        <f>IFERROR(INDEX(Reference!$B$29:$B$200,MATCH(B805,Reference!$A$29:$A$200,0)),"")</f>
        <v/>
      </c>
      <c r="D805" s="13"/>
      <c r="E805" s="10" t="str">
        <f t="shared" si="12"/>
        <v/>
      </c>
      <c r="F805" s="8"/>
    </row>
    <row r="806" spans="1:6" ht="15" customHeight="1" x14ac:dyDescent="0.2">
      <c r="A806" s="9"/>
      <c r="B806" s="8"/>
      <c r="C806" s="10" t="str">
        <f>IFERROR(INDEX(Reference!$B$29:$B$200,MATCH(B806,Reference!$A$29:$A$200,0)),"")</f>
        <v/>
      </c>
      <c r="D806" s="13"/>
      <c r="E806" s="10" t="str">
        <f t="shared" si="12"/>
        <v/>
      </c>
      <c r="F806" s="8"/>
    </row>
    <row r="807" spans="1:6" ht="15" customHeight="1" x14ac:dyDescent="0.2">
      <c r="A807" s="9"/>
      <c r="B807" s="8"/>
      <c r="C807" s="10" t="str">
        <f>IFERROR(INDEX(Reference!$B$29:$B$200,MATCH(B807,Reference!$A$29:$A$200,0)),"")</f>
        <v/>
      </c>
      <c r="D807" s="13"/>
      <c r="E807" s="10" t="str">
        <f t="shared" si="12"/>
        <v/>
      </c>
      <c r="F807" s="8"/>
    </row>
    <row r="808" spans="1:6" ht="15" customHeight="1" x14ac:dyDescent="0.2">
      <c r="A808" s="9"/>
      <c r="B808" s="8"/>
      <c r="C808" s="10" t="str">
        <f>IFERROR(INDEX(Reference!$B$29:$B$200,MATCH(B808,Reference!$A$29:$A$200,0)),"")</f>
        <v/>
      </c>
      <c r="D808" s="13"/>
      <c r="E808" s="10" t="str">
        <f t="shared" si="12"/>
        <v/>
      </c>
      <c r="F808" s="8"/>
    </row>
    <row r="809" spans="1:6" ht="15" customHeight="1" x14ac:dyDescent="0.2">
      <c r="A809" s="9"/>
      <c r="B809" s="8"/>
      <c r="C809" s="10" t="str">
        <f>IFERROR(INDEX(Reference!$B$29:$B$200,MATCH(B809,Reference!$A$29:$A$200,0)),"")</f>
        <v/>
      </c>
      <c r="D809" s="13"/>
      <c r="E809" s="10" t="str">
        <f t="shared" si="12"/>
        <v/>
      </c>
      <c r="F809" s="8"/>
    </row>
    <row r="810" spans="1:6" ht="15" customHeight="1" x14ac:dyDescent="0.2">
      <c r="A810" s="9"/>
      <c r="B810" s="8"/>
      <c r="C810" s="10" t="str">
        <f>IFERROR(INDEX(Reference!$B$29:$B$200,MATCH(B810,Reference!$A$29:$A$200,0)),"")</f>
        <v/>
      </c>
      <c r="D810" s="13"/>
      <c r="E810" s="10" t="str">
        <f t="shared" si="12"/>
        <v/>
      </c>
      <c r="F810" s="8"/>
    </row>
    <row r="811" spans="1:6" ht="15" customHeight="1" x14ac:dyDescent="0.2">
      <c r="A811" s="9"/>
      <c r="B811" s="8"/>
      <c r="C811" s="10" t="str">
        <f>IFERROR(INDEX(Reference!$B$29:$B$200,MATCH(B811,Reference!$A$29:$A$200,0)),"")</f>
        <v/>
      </c>
      <c r="D811" s="13"/>
      <c r="E811" s="10" t="str">
        <f t="shared" si="12"/>
        <v/>
      </c>
      <c r="F811" s="8"/>
    </row>
    <row r="812" spans="1:6" ht="15" customHeight="1" x14ac:dyDescent="0.2">
      <c r="A812" s="9"/>
      <c r="B812" s="8"/>
      <c r="C812" s="10" t="str">
        <f>IFERROR(INDEX(Reference!$B$29:$B$200,MATCH(B812,Reference!$A$29:$A$200,0)),"")</f>
        <v/>
      </c>
      <c r="D812" s="13"/>
      <c r="E812" s="10" t="str">
        <f t="shared" si="12"/>
        <v/>
      </c>
      <c r="F812" s="8"/>
    </row>
    <row r="813" spans="1:6" ht="15" customHeight="1" x14ac:dyDescent="0.2">
      <c r="A813" s="9"/>
      <c r="B813" s="8"/>
      <c r="C813" s="10" t="str">
        <f>IFERROR(INDEX(Reference!$B$29:$B$200,MATCH(B813,Reference!$A$29:$A$200,0)),"")</f>
        <v/>
      </c>
      <c r="D813" s="13"/>
      <c r="E813" s="10" t="str">
        <f t="shared" si="12"/>
        <v/>
      </c>
      <c r="F813" s="8"/>
    </row>
    <row r="814" spans="1:6" ht="15" customHeight="1" x14ac:dyDescent="0.2">
      <c r="A814" s="9"/>
      <c r="B814" s="8"/>
      <c r="C814" s="10" t="str">
        <f>IFERROR(INDEX(Reference!$B$29:$B$200,MATCH(B814,Reference!$A$29:$A$200,0)),"")</f>
        <v/>
      </c>
      <c r="D814" s="13"/>
      <c r="E814" s="10" t="str">
        <f t="shared" si="12"/>
        <v/>
      </c>
      <c r="F814" s="8"/>
    </row>
    <row r="815" spans="1:6" ht="15" customHeight="1" x14ac:dyDescent="0.2">
      <c r="A815" s="9"/>
      <c r="B815" s="8"/>
      <c r="C815" s="10" t="str">
        <f>IFERROR(INDEX(Reference!$B$29:$B$200,MATCH(B815,Reference!$A$29:$A$200,0)),"")</f>
        <v/>
      </c>
      <c r="D815" s="13"/>
      <c r="E815" s="10" t="str">
        <f t="shared" si="12"/>
        <v/>
      </c>
      <c r="F815" s="8"/>
    </row>
    <row r="816" spans="1:6" ht="15" customHeight="1" x14ac:dyDescent="0.2">
      <c r="A816" s="9"/>
      <c r="B816" s="8"/>
      <c r="C816" s="10" t="str">
        <f>IFERROR(INDEX(Reference!$B$29:$B$200,MATCH(B816,Reference!$A$29:$A$200,0)),"")</f>
        <v/>
      </c>
      <c r="D816" s="13"/>
      <c r="E816" s="10" t="str">
        <f t="shared" si="12"/>
        <v/>
      </c>
      <c r="F816" s="8"/>
    </row>
    <row r="817" spans="1:6" ht="15" customHeight="1" x14ac:dyDescent="0.2">
      <c r="A817" s="9"/>
      <c r="B817" s="8"/>
      <c r="C817" s="10" t="str">
        <f>IFERROR(INDEX(Reference!$B$29:$B$200,MATCH(B817,Reference!$A$29:$A$200,0)),"")</f>
        <v/>
      </c>
      <c r="D817" s="13"/>
      <c r="E817" s="10" t="str">
        <f t="shared" si="12"/>
        <v/>
      </c>
      <c r="F817" s="8"/>
    </row>
    <row r="818" spans="1:6" ht="15" customHeight="1" x14ac:dyDescent="0.2">
      <c r="A818" s="9"/>
      <c r="B818" s="8"/>
      <c r="C818" s="10" t="str">
        <f>IFERROR(INDEX(Reference!$B$29:$B$200,MATCH(B818,Reference!$A$29:$A$200,0)),"")</f>
        <v/>
      </c>
      <c r="D818" s="13"/>
      <c r="E818" s="10" t="str">
        <f t="shared" si="12"/>
        <v/>
      </c>
      <c r="F818" s="8"/>
    </row>
    <row r="819" spans="1:6" ht="15" customHeight="1" x14ac:dyDescent="0.2">
      <c r="A819" s="9"/>
      <c r="B819" s="8"/>
      <c r="C819" s="10" t="str">
        <f>IFERROR(INDEX(Reference!$B$29:$B$200,MATCH(B819,Reference!$A$29:$A$200,0)),"")</f>
        <v/>
      </c>
      <c r="D819" s="13"/>
      <c r="E819" s="10" t="str">
        <f t="shared" si="12"/>
        <v/>
      </c>
      <c r="F819" s="8"/>
    </row>
    <row r="820" spans="1:6" ht="15" customHeight="1" x14ac:dyDescent="0.2">
      <c r="A820" s="9"/>
      <c r="B820" s="8"/>
      <c r="C820" s="10" t="str">
        <f>IFERROR(INDEX(Reference!$B$29:$B$200,MATCH(B820,Reference!$A$29:$A$200,0)),"")</f>
        <v/>
      </c>
      <c r="D820" s="13"/>
      <c r="E820" s="10" t="str">
        <f t="shared" si="12"/>
        <v/>
      </c>
      <c r="F820" s="8"/>
    </row>
    <row r="821" spans="1:6" ht="15" customHeight="1" x14ac:dyDescent="0.2">
      <c r="A821" s="9"/>
      <c r="B821" s="8"/>
      <c r="C821" s="10" t="str">
        <f>IFERROR(INDEX(Reference!$B$29:$B$200,MATCH(B821,Reference!$A$29:$A$200,0)),"")</f>
        <v/>
      </c>
      <c r="D821" s="13"/>
      <c r="E821" s="10" t="str">
        <f t="shared" si="12"/>
        <v/>
      </c>
      <c r="F821" s="8"/>
    </row>
    <row r="822" spans="1:6" ht="15" customHeight="1" x14ac:dyDescent="0.2">
      <c r="A822" s="9"/>
      <c r="B822" s="8"/>
      <c r="C822" s="10" t="str">
        <f>IFERROR(INDEX(Reference!$B$29:$B$200,MATCH(B822,Reference!$A$29:$A$200,0)),"")</f>
        <v/>
      </c>
      <c r="D822" s="13"/>
      <c r="E822" s="10" t="str">
        <f t="shared" si="12"/>
        <v/>
      </c>
      <c r="F822" s="8"/>
    </row>
    <row r="823" spans="1:6" ht="15" customHeight="1" x14ac:dyDescent="0.2">
      <c r="A823" s="9"/>
      <c r="B823" s="8"/>
      <c r="C823" s="10" t="str">
        <f>IFERROR(INDEX(Reference!$B$29:$B$200,MATCH(B823,Reference!$A$29:$A$200,0)),"")</f>
        <v/>
      </c>
      <c r="D823" s="13"/>
      <c r="E823" s="10" t="str">
        <f t="shared" si="12"/>
        <v/>
      </c>
      <c r="F823" s="8"/>
    </row>
    <row r="824" spans="1:6" ht="15" customHeight="1" x14ac:dyDescent="0.2">
      <c r="A824" s="9"/>
      <c r="B824" s="8"/>
      <c r="C824" s="10" t="str">
        <f>IFERROR(INDEX(Reference!$B$29:$B$200,MATCH(B824,Reference!$A$29:$A$200,0)),"")</f>
        <v/>
      </c>
      <c r="D824" s="13"/>
      <c r="E824" s="10" t="str">
        <f t="shared" si="12"/>
        <v/>
      </c>
      <c r="F824" s="8"/>
    </row>
    <row r="825" spans="1:6" ht="15" customHeight="1" x14ac:dyDescent="0.2">
      <c r="A825" s="9"/>
      <c r="B825" s="8"/>
      <c r="C825" s="10" t="str">
        <f>IFERROR(INDEX(Reference!$B$29:$B$200,MATCH(B825,Reference!$A$29:$A$200,0)),"")</f>
        <v/>
      </c>
      <c r="D825" s="13"/>
      <c r="E825" s="10" t="str">
        <f t="shared" si="12"/>
        <v/>
      </c>
      <c r="F825" s="8"/>
    </row>
    <row r="826" spans="1:6" ht="15" customHeight="1" x14ac:dyDescent="0.2">
      <c r="A826" s="9"/>
      <c r="B826" s="8"/>
      <c r="C826" s="10" t="str">
        <f>IFERROR(INDEX(Reference!$B$29:$B$200,MATCH(B826,Reference!$A$29:$A$200,0)),"")</f>
        <v/>
      </c>
      <c r="D826" s="13"/>
      <c r="E826" s="10" t="str">
        <f t="shared" si="12"/>
        <v/>
      </c>
      <c r="F826" s="8"/>
    </row>
    <row r="827" spans="1:6" ht="15" customHeight="1" x14ac:dyDescent="0.2">
      <c r="A827" s="9"/>
      <c r="B827" s="8"/>
      <c r="C827" s="10" t="str">
        <f>IFERROR(INDEX(Reference!$B$29:$B$200,MATCH(B827,Reference!$A$29:$A$200,0)),"")</f>
        <v/>
      </c>
      <c r="D827" s="13"/>
      <c r="E827" s="10" t="str">
        <f t="shared" si="12"/>
        <v/>
      </c>
      <c r="F827" s="8"/>
    </row>
    <row r="828" spans="1:6" ht="15" customHeight="1" x14ac:dyDescent="0.2">
      <c r="A828" s="9"/>
      <c r="B828" s="8"/>
      <c r="C828" s="10" t="str">
        <f>IFERROR(INDEX(Reference!$B$29:$B$200,MATCH(B828,Reference!$A$29:$A$200,0)),"")</f>
        <v/>
      </c>
      <c r="D828" s="13"/>
      <c r="E828" s="10" t="str">
        <f t="shared" si="12"/>
        <v/>
      </c>
      <c r="F828" s="8"/>
    </row>
    <row r="829" spans="1:6" ht="15" customHeight="1" x14ac:dyDescent="0.2">
      <c r="A829" s="9"/>
      <c r="B829" s="8"/>
      <c r="C829" s="10" t="str">
        <f>IFERROR(INDEX(Reference!$B$29:$B$200,MATCH(B829,Reference!$A$29:$A$200,0)),"")</f>
        <v/>
      </c>
      <c r="D829" s="13"/>
      <c r="E829" s="10" t="str">
        <f t="shared" si="12"/>
        <v/>
      </c>
      <c r="F829" s="8"/>
    </row>
    <row r="830" spans="1:6" ht="15" customHeight="1" x14ac:dyDescent="0.2">
      <c r="A830" s="9"/>
      <c r="B830" s="8"/>
      <c r="C830" s="10" t="str">
        <f>IFERROR(INDEX(Reference!$B$29:$B$200,MATCH(B830,Reference!$A$29:$A$200,0)),"")</f>
        <v/>
      </c>
      <c r="D830" s="13"/>
      <c r="E830" s="10" t="str">
        <f t="shared" si="12"/>
        <v/>
      </c>
      <c r="F830" s="8"/>
    </row>
    <row r="831" spans="1:6" ht="15" customHeight="1" x14ac:dyDescent="0.2">
      <c r="A831" s="9"/>
      <c r="B831" s="8"/>
      <c r="C831" s="10" t="str">
        <f>IFERROR(INDEX(Reference!$B$29:$B$200,MATCH(B831,Reference!$A$29:$A$200,0)),"")</f>
        <v/>
      </c>
      <c r="D831" s="13"/>
      <c r="E831" s="10" t="str">
        <f t="shared" si="12"/>
        <v/>
      </c>
      <c r="F831" s="8"/>
    </row>
    <row r="832" spans="1:6" ht="15" customHeight="1" x14ac:dyDescent="0.2">
      <c r="A832" s="9"/>
      <c r="B832" s="8"/>
      <c r="C832" s="10" t="str">
        <f>IFERROR(INDEX(Reference!$B$29:$B$200,MATCH(B832,Reference!$A$29:$A$200,0)),"")</f>
        <v/>
      </c>
      <c r="D832" s="13"/>
      <c r="E832" s="10" t="str">
        <f t="shared" si="12"/>
        <v/>
      </c>
      <c r="F832" s="8"/>
    </row>
    <row r="833" spans="1:6" ht="15" customHeight="1" x14ac:dyDescent="0.2">
      <c r="A833" s="9"/>
      <c r="B833" s="8"/>
      <c r="C833" s="10" t="str">
        <f>IFERROR(INDEX(Reference!$B$29:$B$200,MATCH(B833,Reference!$A$29:$A$200,0)),"")</f>
        <v/>
      </c>
      <c r="D833" s="13"/>
      <c r="E833" s="10" t="str">
        <f t="shared" si="12"/>
        <v/>
      </c>
      <c r="F833" s="8"/>
    </row>
    <row r="834" spans="1:6" ht="15" customHeight="1" x14ac:dyDescent="0.2">
      <c r="A834" s="9"/>
      <c r="B834" s="8"/>
      <c r="C834" s="10" t="str">
        <f>IFERROR(INDEX(Reference!$B$29:$B$200,MATCH(B834,Reference!$A$29:$A$200,0)),"")</f>
        <v/>
      </c>
      <c r="D834" s="13"/>
      <c r="E834" s="10" t="str">
        <f t="shared" ref="E834:E897" si="13">IF(A834="","",IF(MONTH(A834)&gt;=8,YEAR(A834)&amp;"-"&amp;RIGHT(YEAR(A834)+1,2),YEAR(A834)-1&amp;"-"&amp;RIGHT(YEAR(A834),2)))</f>
        <v/>
      </c>
      <c r="F834" s="8"/>
    </row>
    <row r="835" spans="1:6" ht="15" customHeight="1" x14ac:dyDescent="0.2">
      <c r="A835" s="9"/>
      <c r="B835" s="8"/>
      <c r="C835" s="10" t="str">
        <f>IFERROR(INDEX(Reference!$B$29:$B$200,MATCH(B835,Reference!$A$29:$A$200,0)),"")</f>
        <v/>
      </c>
      <c r="D835" s="13"/>
      <c r="E835" s="10" t="str">
        <f t="shared" si="13"/>
        <v/>
      </c>
      <c r="F835" s="8"/>
    </row>
    <row r="836" spans="1:6" ht="15" customHeight="1" x14ac:dyDescent="0.2">
      <c r="A836" s="9"/>
      <c r="B836" s="8"/>
      <c r="C836" s="10" t="str">
        <f>IFERROR(INDEX(Reference!$B$29:$B$200,MATCH(B836,Reference!$A$29:$A$200,0)),"")</f>
        <v/>
      </c>
      <c r="D836" s="13"/>
      <c r="E836" s="10" t="str">
        <f t="shared" si="13"/>
        <v/>
      </c>
      <c r="F836" s="8"/>
    </row>
    <row r="837" spans="1:6" ht="15" customHeight="1" x14ac:dyDescent="0.2">
      <c r="A837" s="9"/>
      <c r="B837" s="8"/>
      <c r="C837" s="10" t="str">
        <f>IFERROR(INDEX(Reference!$B$29:$B$200,MATCH(B837,Reference!$A$29:$A$200,0)),"")</f>
        <v/>
      </c>
      <c r="D837" s="13"/>
      <c r="E837" s="10" t="str">
        <f t="shared" si="13"/>
        <v/>
      </c>
      <c r="F837" s="8"/>
    </row>
    <row r="838" spans="1:6" ht="15" customHeight="1" x14ac:dyDescent="0.2">
      <c r="A838" s="9"/>
      <c r="B838" s="8"/>
      <c r="C838" s="10" t="str">
        <f>IFERROR(INDEX(Reference!$B$29:$B$200,MATCH(B838,Reference!$A$29:$A$200,0)),"")</f>
        <v/>
      </c>
      <c r="D838" s="13"/>
      <c r="E838" s="10" t="str">
        <f t="shared" si="13"/>
        <v/>
      </c>
      <c r="F838" s="8"/>
    </row>
    <row r="839" spans="1:6" ht="15" customHeight="1" x14ac:dyDescent="0.2">
      <c r="A839" s="9"/>
      <c r="B839" s="8"/>
      <c r="C839" s="10" t="str">
        <f>IFERROR(INDEX(Reference!$B$29:$B$200,MATCH(B839,Reference!$A$29:$A$200,0)),"")</f>
        <v/>
      </c>
      <c r="D839" s="13"/>
      <c r="E839" s="10" t="str">
        <f t="shared" si="13"/>
        <v/>
      </c>
      <c r="F839" s="8"/>
    </row>
    <row r="840" spans="1:6" ht="15" customHeight="1" x14ac:dyDescent="0.2">
      <c r="A840" s="9"/>
      <c r="B840" s="8"/>
      <c r="C840" s="10" t="str">
        <f>IFERROR(INDEX(Reference!$B$29:$B$200,MATCH(B840,Reference!$A$29:$A$200,0)),"")</f>
        <v/>
      </c>
      <c r="D840" s="13"/>
      <c r="E840" s="10" t="str">
        <f t="shared" si="13"/>
        <v/>
      </c>
      <c r="F840" s="8"/>
    </row>
    <row r="841" spans="1:6" ht="15" customHeight="1" x14ac:dyDescent="0.2">
      <c r="A841" s="9"/>
      <c r="B841" s="8"/>
      <c r="C841" s="10" t="str">
        <f>IFERROR(INDEX(Reference!$B$29:$B$200,MATCH(B841,Reference!$A$29:$A$200,0)),"")</f>
        <v/>
      </c>
      <c r="D841" s="13"/>
      <c r="E841" s="10" t="str">
        <f t="shared" si="13"/>
        <v/>
      </c>
      <c r="F841" s="8"/>
    </row>
    <row r="842" spans="1:6" ht="15" customHeight="1" x14ac:dyDescent="0.2">
      <c r="A842" s="9"/>
      <c r="B842" s="8"/>
      <c r="C842" s="10" t="str">
        <f>IFERROR(INDEX(Reference!$B$29:$B$200,MATCH(B842,Reference!$A$29:$A$200,0)),"")</f>
        <v/>
      </c>
      <c r="D842" s="13"/>
      <c r="E842" s="10" t="str">
        <f t="shared" si="13"/>
        <v/>
      </c>
      <c r="F842" s="8"/>
    </row>
    <row r="843" spans="1:6" ht="15" customHeight="1" x14ac:dyDescent="0.2">
      <c r="A843" s="9"/>
      <c r="B843" s="8"/>
      <c r="C843" s="10" t="str">
        <f>IFERROR(INDEX(Reference!$B$29:$B$200,MATCH(B843,Reference!$A$29:$A$200,0)),"")</f>
        <v/>
      </c>
      <c r="D843" s="13"/>
      <c r="E843" s="10" t="str">
        <f t="shared" si="13"/>
        <v/>
      </c>
      <c r="F843" s="8"/>
    </row>
    <row r="844" spans="1:6" ht="15" customHeight="1" x14ac:dyDescent="0.2">
      <c r="A844" s="9"/>
      <c r="B844" s="8"/>
      <c r="C844" s="10" t="str">
        <f>IFERROR(INDEX(Reference!$B$29:$B$200,MATCH(B844,Reference!$A$29:$A$200,0)),"")</f>
        <v/>
      </c>
      <c r="D844" s="13"/>
      <c r="E844" s="10" t="str">
        <f t="shared" si="13"/>
        <v/>
      </c>
      <c r="F844" s="8"/>
    </row>
    <row r="845" spans="1:6" ht="15" customHeight="1" x14ac:dyDescent="0.2">
      <c r="A845" s="9"/>
      <c r="B845" s="8"/>
      <c r="C845" s="10" t="str">
        <f>IFERROR(INDEX(Reference!$B$29:$B$200,MATCH(B845,Reference!$A$29:$A$200,0)),"")</f>
        <v/>
      </c>
      <c r="D845" s="13"/>
      <c r="E845" s="10" t="str">
        <f t="shared" si="13"/>
        <v/>
      </c>
      <c r="F845" s="8"/>
    </row>
    <row r="846" spans="1:6" ht="15" customHeight="1" x14ac:dyDescent="0.2">
      <c r="A846" s="9"/>
      <c r="B846" s="8"/>
      <c r="C846" s="10" t="str">
        <f>IFERROR(INDEX(Reference!$B$29:$B$200,MATCH(B846,Reference!$A$29:$A$200,0)),"")</f>
        <v/>
      </c>
      <c r="D846" s="13"/>
      <c r="E846" s="10" t="str">
        <f t="shared" si="13"/>
        <v/>
      </c>
      <c r="F846" s="8"/>
    </row>
    <row r="847" spans="1:6" ht="15" customHeight="1" x14ac:dyDescent="0.2">
      <c r="A847" s="9"/>
      <c r="B847" s="8"/>
      <c r="C847" s="10" t="str">
        <f>IFERROR(INDEX(Reference!$B$29:$B$200,MATCH(B847,Reference!$A$29:$A$200,0)),"")</f>
        <v/>
      </c>
      <c r="D847" s="13"/>
      <c r="E847" s="10" t="str">
        <f t="shared" si="13"/>
        <v/>
      </c>
      <c r="F847" s="8"/>
    </row>
    <row r="848" spans="1:6" ht="15" customHeight="1" x14ac:dyDescent="0.2">
      <c r="A848" s="9"/>
      <c r="B848" s="8"/>
      <c r="C848" s="10" t="str">
        <f>IFERROR(INDEX(Reference!$B$29:$B$200,MATCH(B848,Reference!$A$29:$A$200,0)),"")</f>
        <v/>
      </c>
      <c r="D848" s="13"/>
      <c r="E848" s="10" t="str">
        <f t="shared" si="13"/>
        <v/>
      </c>
      <c r="F848" s="8"/>
    </row>
    <row r="849" spans="1:6" ht="15" customHeight="1" x14ac:dyDescent="0.2">
      <c r="A849" s="9"/>
      <c r="B849" s="8"/>
      <c r="C849" s="10" t="str">
        <f>IFERROR(INDEX(Reference!$B$29:$B$200,MATCH(B849,Reference!$A$29:$A$200,0)),"")</f>
        <v/>
      </c>
      <c r="D849" s="13"/>
      <c r="E849" s="10" t="str">
        <f t="shared" si="13"/>
        <v/>
      </c>
      <c r="F849" s="8"/>
    </row>
    <row r="850" spans="1:6" ht="15" customHeight="1" x14ac:dyDescent="0.2">
      <c r="A850" s="9"/>
      <c r="B850" s="8"/>
      <c r="C850" s="10" t="str">
        <f>IFERROR(INDEX(Reference!$B$29:$B$200,MATCH(B850,Reference!$A$29:$A$200,0)),"")</f>
        <v/>
      </c>
      <c r="D850" s="13"/>
      <c r="E850" s="10" t="str">
        <f t="shared" si="13"/>
        <v/>
      </c>
      <c r="F850" s="8"/>
    </row>
    <row r="851" spans="1:6" ht="15" customHeight="1" x14ac:dyDescent="0.2">
      <c r="A851" s="9"/>
      <c r="B851" s="8"/>
      <c r="C851" s="10" t="str">
        <f>IFERROR(INDEX(Reference!$B$29:$B$200,MATCH(B851,Reference!$A$29:$A$200,0)),"")</f>
        <v/>
      </c>
      <c r="D851" s="13"/>
      <c r="E851" s="10" t="str">
        <f t="shared" si="13"/>
        <v/>
      </c>
      <c r="F851" s="8"/>
    </row>
    <row r="852" spans="1:6" ht="15" customHeight="1" x14ac:dyDescent="0.2">
      <c r="A852" s="9"/>
      <c r="B852" s="8"/>
      <c r="C852" s="10" t="str">
        <f>IFERROR(INDEX(Reference!$B$29:$B$200,MATCH(B852,Reference!$A$29:$A$200,0)),"")</f>
        <v/>
      </c>
      <c r="D852" s="13"/>
      <c r="E852" s="10" t="str">
        <f t="shared" si="13"/>
        <v/>
      </c>
      <c r="F852" s="8"/>
    </row>
    <row r="853" spans="1:6" ht="15" customHeight="1" x14ac:dyDescent="0.2">
      <c r="A853" s="9"/>
      <c r="B853" s="8"/>
      <c r="C853" s="10" t="str">
        <f>IFERROR(INDEX(Reference!$B$29:$B$200,MATCH(B853,Reference!$A$29:$A$200,0)),"")</f>
        <v/>
      </c>
      <c r="D853" s="13"/>
      <c r="E853" s="10" t="str">
        <f t="shared" si="13"/>
        <v/>
      </c>
      <c r="F853" s="8"/>
    </row>
    <row r="854" spans="1:6" ht="15" customHeight="1" x14ac:dyDescent="0.2">
      <c r="A854" s="9"/>
      <c r="B854" s="8"/>
      <c r="C854" s="10" t="str">
        <f>IFERROR(INDEX(Reference!$B$29:$B$200,MATCH(B854,Reference!$A$29:$A$200,0)),"")</f>
        <v/>
      </c>
      <c r="D854" s="13"/>
      <c r="E854" s="10" t="str">
        <f t="shared" si="13"/>
        <v/>
      </c>
      <c r="F854" s="8"/>
    </row>
    <row r="855" spans="1:6" ht="15" customHeight="1" x14ac:dyDescent="0.2">
      <c r="A855" s="9"/>
      <c r="B855" s="8"/>
      <c r="C855" s="10" t="str">
        <f>IFERROR(INDEX(Reference!$B$29:$B$200,MATCH(B855,Reference!$A$29:$A$200,0)),"")</f>
        <v/>
      </c>
      <c r="D855" s="13"/>
      <c r="E855" s="10" t="str">
        <f t="shared" si="13"/>
        <v/>
      </c>
      <c r="F855" s="8"/>
    </row>
    <row r="856" spans="1:6" ht="15" customHeight="1" x14ac:dyDescent="0.2">
      <c r="A856" s="9"/>
      <c r="B856" s="8"/>
      <c r="C856" s="10" t="str">
        <f>IFERROR(INDEX(Reference!$B$29:$B$200,MATCH(B856,Reference!$A$29:$A$200,0)),"")</f>
        <v/>
      </c>
      <c r="D856" s="13"/>
      <c r="E856" s="10" t="str">
        <f t="shared" si="13"/>
        <v/>
      </c>
      <c r="F856" s="8"/>
    </row>
    <row r="857" spans="1:6" ht="15" customHeight="1" x14ac:dyDescent="0.2">
      <c r="A857" s="9"/>
      <c r="B857" s="8"/>
      <c r="C857" s="10" t="str">
        <f>IFERROR(INDEX(Reference!$B$29:$B$200,MATCH(B857,Reference!$A$29:$A$200,0)),"")</f>
        <v/>
      </c>
      <c r="D857" s="13"/>
      <c r="E857" s="10" t="str">
        <f t="shared" si="13"/>
        <v/>
      </c>
      <c r="F857" s="8"/>
    </row>
    <row r="858" spans="1:6" ht="15" customHeight="1" x14ac:dyDescent="0.2">
      <c r="A858" s="9"/>
      <c r="B858" s="8"/>
      <c r="C858" s="10" t="str">
        <f>IFERROR(INDEX(Reference!$B$29:$B$200,MATCH(B858,Reference!$A$29:$A$200,0)),"")</f>
        <v/>
      </c>
      <c r="D858" s="13"/>
      <c r="E858" s="10" t="str">
        <f t="shared" si="13"/>
        <v/>
      </c>
      <c r="F858" s="8"/>
    </row>
    <row r="859" spans="1:6" ht="15" customHeight="1" x14ac:dyDescent="0.2">
      <c r="A859" s="9"/>
      <c r="B859" s="8"/>
      <c r="C859" s="10" t="str">
        <f>IFERROR(INDEX(Reference!$B$29:$B$200,MATCH(B859,Reference!$A$29:$A$200,0)),"")</f>
        <v/>
      </c>
      <c r="D859" s="13"/>
      <c r="E859" s="10" t="str">
        <f t="shared" si="13"/>
        <v/>
      </c>
      <c r="F859" s="8"/>
    </row>
    <row r="860" spans="1:6" ht="15" customHeight="1" x14ac:dyDescent="0.2">
      <c r="A860" s="9"/>
      <c r="B860" s="8"/>
      <c r="C860" s="10" t="str">
        <f>IFERROR(INDEX(Reference!$B$29:$B$200,MATCH(B860,Reference!$A$29:$A$200,0)),"")</f>
        <v/>
      </c>
      <c r="D860" s="13"/>
      <c r="E860" s="10" t="str">
        <f t="shared" si="13"/>
        <v/>
      </c>
      <c r="F860" s="8"/>
    </row>
    <row r="861" spans="1:6" ht="15" customHeight="1" x14ac:dyDescent="0.2">
      <c r="A861" s="9"/>
      <c r="B861" s="8"/>
      <c r="C861" s="10" t="str">
        <f>IFERROR(INDEX(Reference!$B$29:$B$200,MATCH(B861,Reference!$A$29:$A$200,0)),"")</f>
        <v/>
      </c>
      <c r="D861" s="13"/>
      <c r="E861" s="10" t="str">
        <f t="shared" si="13"/>
        <v/>
      </c>
      <c r="F861" s="8"/>
    </row>
    <row r="862" spans="1:6" ht="15" customHeight="1" x14ac:dyDescent="0.2">
      <c r="A862" s="9"/>
      <c r="B862" s="8"/>
      <c r="C862" s="10" t="str">
        <f>IFERROR(INDEX(Reference!$B$29:$B$200,MATCH(B862,Reference!$A$29:$A$200,0)),"")</f>
        <v/>
      </c>
      <c r="D862" s="13"/>
      <c r="E862" s="10" t="str">
        <f t="shared" si="13"/>
        <v/>
      </c>
      <c r="F862" s="8"/>
    </row>
    <row r="863" spans="1:6" ht="15" customHeight="1" x14ac:dyDescent="0.2">
      <c r="A863" s="9"/>
      <c r="B863" s="8"/>
      <c r="C863" s="10" t="str">
        <f>IFERROR(INDEX(Reference!$B$29:$B$200,MATCH(B863,Reference!$A$29:$A$200,0)),"")</f>
        <v/>
      </c>
      <c r="D863" s="13"/>
      <c r="E863" s="10" t="str">
        <f t="shared" si="13"/>
        <v/>
      </c>
      <c r="F863" s="8"/>
    </row>
    <row r="864" spans="1:6" ht="15" customHeight="1" x14ac:dyDescent="0.2">
      <c r="A864" s="9"/>
      <c r="B864" s="8"/>
      <c r="C864" s="10" t="str">
        <f>IFERROR(INDEX(Reference!$B$29:$B$200,MATCH(B864,Reference!$A$29:$A$200,0)),"")</f>
        <v/>
      </c>
      <c r="D864" s="13"/>
      <c r="E864" s="10" t="str">
        <f t="shared" si="13"/>
        <v/>
      </c>
      <c r="F864" s="8"/>
    </row>
    <row r="865" spans="1:6" ht="15" customHeight="1" x14ac:dyDescent="0.2">
      <c r="A865" s="9"/>
      <c r="B865" s="8"/>
      <c r="C865" s="10" t="str">
        <f>IFERROR(INDEX(Reference!$B$29:$B$200,MATCH(B865,Reference!$A$29:$A$200,0)),"")</f>
        <v/>
      </c>
      <c r="D865" s="13"/>
      <c r="E865" s="10" t="str">
        <f t="shared" si="13"/>
        <v/>
      </c>
      <c r="F865" s="8"/>
    </row>
    <row r="866" spans="1:6" ht="15" customHeight="1" x14ac:dyDescent="0.2">
      <c r="A866" s="9"/>
      <c r="B866" s="8"/>
      <c r="C866" s="10" t="str">
        <f>IFERROR(INDEX(Reference!$B$29:$B$200,MATCH(B866,Reference!$A$29:$A$200,0)),"")</f>
        <v/>
      </c>
      <c r="D866" s="13"/>
      <c r="E866" s="10" t="str">
        <f t="shared" si="13"/>
        <v/>
      </c>
      <c r="F866" s="8"/>
    </row>
    <row r="867" spans="1:6" ht="15" customHeight="1" x14ac:dyDescent="0.2">
      <c r="A867" s="9"/>
      <c r="B867" s="8"/>
      <c r="C867" s="10" t="str">
        <f>IFERROR(INDEX(Reference!$B$29:$B$200,MATCH(B867,Reference!$A$29:$A$200,0)),"")</f>
        <v/>
      </c>
      <c r="D867" s="13"/>
      <c r="E867" s="10" t="str">
        <f t="shared" si="13"/>
        <v/>
      </c>
      <c r="F867" s="8"/>
    </row>
    <row r="868" spans="1:6" ht="15" customHeight="1" x14ac:dyDescent="0.2">
      <c r="A868" s="9"/>
      <c r="B868" s="8"/>
      <c r="C868" s="10" t="str">
        <f>IFERROR(INDEX(Reference!$B$29:$B$200,MATCH(B868,Reference!$A$29:$A$200,0)),"")</f>
        <v/>
      </c>
      <c r="D868" s="13"/>
      <c r="E868" s="10" t="str">
        <f t="shared" si="13"/>
        <v/>
      </c>
      <c r="F868" s="8"/>
    </row>
    <row r="869" spans="1:6" ht="15" customHeight="1" x14ac:dyDescent="0.2">
      <c r="A869" s="9"/>
      <c r="B869" s="8"/>
      <c r="C869" s="10" t="str">
        <f>IFERROR(INDEX(Reference!$B$29:$B$200,MATCH(B869,Reference!$A$29:$A$200,0)),"")</f>
        <v/>
      </c>
      <c r="D869" s="13"/>
      <c r="E869" s="10" t="str">
        <f t="shared" si="13"/>
        <v/>
      </c>
      <c r="F869" s="8"/>
    </row>
    <row r="870" spans="1:6" ht="15" customHeight="1" x14ac:dyDescent="0.2">
      <c r="A870" s="9"/>
      <c r="B870" s="8"/>
      <c r="C870" s="10" t="str">
        <f>IFERROR(INDEX(Reference!$B$29:$B$200,MATCH(B870,Reference!$A$29:$A$200,0)),"")</f>
        <v/>
      </c>
      <c r="D870" s="13"/>
      <c r="E870" s="10" t="str">
        <f t="shared" si="13"/>
        <v/>
      </c>
      <c r="F870" s="8"/>
    </row>
    <row r="871" spans="1:6" ht="15" customHeight="1" x14ac:dyDescent="0.2">
      <c r="A871" s="9"/>
      <c r="B871" s="8"/>
      <c r="C871" s="10" t="str">
        <f>IFERROR(INDEX(Reference!$B$29:$B$200,MATCH(B871,Reference!$A$29:$A$200,0)),"")</f>
        <v/>
      </c>
      <c r="D871" s="13"/>
      <c r="E871" s="10" t="str">
        <f t="shared" si="13"/>
        <v/>
      </c>
      <c r="F871" s="8"/>
    </row>
    <row r="872" spans="1:6" ht="15" customHeight="1" x14ac:dyDescent="0.2">
      <c r="A872" s="9"/>
      <c r="B872" s="8"/>
      <c r="C872" s="10" t="str">
        <f>IFERROR(INDEX(Reference!$B$29:$B$200,MATCH(B872,Reference!$A$29:$A$200,0)),"")</f>
        <v/>
      </c>
      <c r="D872" s="13"/>
      <c r="E872" s="10" t="str">
        <f t="shared" si="13"/>
        <v/>
      </c>
      <c r="F872" s="8"/>
    </row>
    <row r="873" spans="1:6" ht="15" customHeight="1" x14ac:dyDescent="0.2">
      <c r="A873" s="9"/>
      <c r="B873" s="8"/>
      <c r="C873" s="10" t="str">
        <f>IFERROR(INDEX(Reference!$B$29:$B$200,MATCH(B873,Reference!$A$29:$A$200,0)),"")</f>
        <v/>
      </c>
      <c r="D873" s="13"/>
      <c r="E873" s="10" t="str">
        <f t="shared" si="13"/>
        <v/>
      </c>
      <c r="F873" s="8"/>
    </row>
    <row r="874" spans="1:6" ht="15" customHeight="1" x14ac:dyDescent="0.2">
      <c r="A874" s="9"/>
      <c r="B874" s="8"/>
      <c r="C874" s="10" t="str">
        <f>IFERROR(INDEX(Reference!$B$29:$B$200,MATCH(B874,Reference!$A$29:$A$200,0)),"")</f>
        <v/>
      </c>
      <c r="D874" s="13"/>
      <c r="E874" s="10" t="str">
        <f t="shared" si="13"/>
        <v/>
      </c>
      <c r="F874" s="8"/>
    </row>
    <row r="875" spans="1:6" ht="15" customHeight="1" x14ac:dyDescent="0.2">
      <c r="A875" s="9"/>
      <c r="B875" s="8"/>
      <c r="C875" s="10" t="str">
        <f>IFERROR(INDEX(Reference!$B$29:$B$200,MATCH(B875,Reference!$A$29:$A$200,0)),"")</f>
        <v/>
      </c>
      <c r="D875" s="13"/>
      <c r="E875" s="10" t="str">
        <f t="shared" si="13"/>
        <v/>
      </c>
      <c r="F875" s="8"/>
    </row>
    <row r="876" spans="1:6" ht="15" customHeight="1" x14ac:dyDescent="0.2">
      <c r="A876" s="9"/>
      <c r="B876" s="8"/>
      <c r="C876" s="10" t="str">
        <f>IFERROR(INDEX(Reference!$B$29:$B$200,MATCH(B876,Reference!$A$29:$A$200,0)),"")</f>
        <v/>
      </c>
      <c r="D876" s="13"/>
      <c r="E876" s="10" t="str">
        <f t="shared" si="13"/>
        <v/>
      </c>
      <c r="F876" s="8"/>
    </row>
    <row r="877" spans="1:6" ht="15" customHeight="1" x14ac:dyDescent="0.2">
      <c r="A877" s="9"/>
      <c r="B877" s="8"/>
      <c r="C877" s="10" t="str">
        <f>IFERROR(INDEX(Reference!$B$29:$B$200,MATCH(B877,Reference!$A$29:$A$200,0)),"")</f>
        <v/>
      </c>
      <c r="D877" s="13"/>
      <c r="E877" s="10" t="str">
        <f t="shared" si="13"/>
        <v/>
      </c>
      <c r="F877" s="8"/>
    </row>
    <row r="878" spans="1:6" ht="15" customHeight="1" x14ac:dyDescent="0.2">
      <c r="A878" s="9"/>
      <c r="B878" s="8"/>
      <c r="C878" s="10" t="str">
        <f>IFERROR(INDEX(Reference!$B$29:$B$200,MATCH(B878,Reference!$A$29:$A$200,0)),"")</f>
        <v/>
      </c>
      <c r="D878" s="13"/>
      <c r="E878" s="10" t="str">
        <f t="shared" si="13"/>
        <v/>
      </c>
      <c r="F878" s="8"/>
    </row>
    <row r="879" spans="1:6" ht="15" customHeight="1" x14ac:dyDescent="0.2">
      <c r="A879" s="9"/>
      <c r="B879" s="8"/>
      <c r="C879" s="10" t="str">
        <f>IFERROR(INDEX(Reference!$B$29:$B$200,MATCH(B879,Reference!$A$29:$A$200,0)),"")</f>
        <v/>
      </c>
      <c r="D879" s="13"/>
      <c r="E879" s="10" t="str">
        <f t="shared" si="13"/>
        <v/>
      </c>
      <c r="F879" s="8"/>
    </row>
    <row r="880" spans="1:6" ht="15" customHeight="1" x14ac:dyDescent="0.2">
      <c r="A880" s="9"/>
      <c r="B880" s="8"/>
      <c r="C880" s="10" t="str">
        <f>IFERROR(INDEX(Reference!$B$29:$B$200,MATCH(B880,Reference!$A$29:$A$200,0)),"")</f>
        <v/>
      </c>
      <c r="D880" s="13"/>
      <c r="E880" s="10" t="str">
        <f t="shared" si="13"/>
        <v/>
      </c>
      <c r="F880" s="8"/>
    </row>
    <row r="881" spans="1:6" ht="15" customHeight="1" x14ac:dyDescent="0.2">
      <c r="A881" s="9"/>
      <c r="B881" s="8"/>
      <c r="C881" s="10" t="str">
        <f>IFERROR(INDEX(Reference!$B$29:$B$200,MATCH(B881,Reference!$A$29:$A$200,0)),"")</f>
        <v/>
      </c>
      <c r="D881" s="13"/>
      <c r="E881" s="10" t="str">
        <f t="shared" si="13"/>
        <v/>
      </c>
      <c r="F881" s="8"/>
    </row>
    <row r="882" spans="1:6" ht="15" customHeight="1" x14ac:dyDescent="0.2">
      <c r="A882" s="9"/>
      <c r="B882" s="8"/>
      <c r="C882" s="10" t="str">
        <f>IFERROR(INDEX(Reference!$B$29:$B$200,MATCH(B882,Reference!$A$29:$A$200,0)),"")</f>
        <v/>
      </c>
      <c r="D882" s="13"/>
      <c r="E882" s="10" t="str">
        <f t="shared" si="13"/>
        <v/>
      </c>
      <c r="F882" s="8"/>
    </row>
    <row r="883" spans="1:6" ht="15" customHeight="1" x14ac:dyDescent="0.2">
      <c r="A883" s="9"/>
      <c r="B883" s="8"/>
      <c r="C883" s="10" t="str">
        <f>IFERROR(INDEX(Reference!$B$29:$B$200,MATCH(B883,Reference!$A$29:$A$200,0)),"")</f>
        <v/>
      </c>
      <c r="D883" s="13"/>
      <c r="E883" s="10" t="str">
        <f t="shared" si="13"/>
        <v/>
      </c>
      <c r="F883" s="8"/>
    </row>
    <row r="884" spans="1:6" ht="15" customHeight="1" x14ac:dyDescent="0.2">
      <c r="A884" s="9"/>
      <c r="B884" s="8"/>
      <c r="C884" s="10" t="str">
        <f>IFERROR(INDEX(Reference!$B$29:$B$200,MATCH(B884,Reference!$A$29:$A$200,0)),"")</f>
        <v/>
      </c>
      <c r="D884" s="13"/>
      <c r="E884" s="10" t="str">
        <f t="shared" si="13"/>
        <v/>
      </c>
      <c r="F884" s="8"/>
    </row>
    <row r="885" spans="1:6" ht="15" customHeight="1" x14ac:dyDescent="0.2">
      <c r="A885" s="9"/>
      <c r="B885" s="8"/>
      <c r="C885" s="10" t="str">
        <f>IFERROR(INDEX(Reference!$B$29:$B$200,MATCH(B885,Reference!$A$29:$A$200,0)),"")</f>
        <v/>
      </c>
      <c r="D885" s="13"/>
      <c r="E885" s="10" t="str">
        <f t="shared" si="13"/>
        <v/>
      </c>
      <c r="F885" s="8"/>
    </row>
    <row r="886" spans="1:6" ht="15" customHeight="1" x14ac:dyDescent="0.2">
      <c r="A886" s="9"/>
      <c r="B886" s="8"/>
      <c r="C886" s="10" t="str">
        <f>IFERROR(INDEX(Reference!$B$29:$B$200,MATCH(B886,Reference!$A$29:$A$200,0)),"")</f>
        <v/>
      </c>
      <c r="D886" s="13"/>
      <c r="E886" s="10" t="str">
        <f t="shared" si="13"/>
        <v/>
      </c>
      <c r="F886" s="8"/>
    </row>
    <row r="887" spans="1:6" ht="15" customHeight="1" x14ac:dyDescent="0.2">
      <c r="A887" s="9"/>
      <c r="B887" s="8"/>
      <c r="C887" s="10" t="str">
        <f>IFERROR(INDEX(Reference!$B$29:$B$200,MATCH(B887,Reference!$A$29:$A$200,0)),"")</f>
        <v/>
      </c>
      <c r="D887" s="13"/>
      <c r="E887" s="10" t="str">
        <f t="shared" si="13"/>
        <v/>
      </c>
      <c r="F887" s="8"/>
    </row>
    <row r="888" spans="1:6" ht="15" customHeight="1" x14ac:dyDescent="0.2">
      <c r="A888" s="9"/>
      <c r="B888" s="8"/>
      <c r="C888" s="10" t="str">
        <f>IFERROR(INDEX(Reference!$B$29:$B$200,MATCH(B888,Reference!$A$29:$A$200,0)),"")</f>
        <v/>
      </c>
      <c r="D888" s="13"/>
      <c r="E888" s="10" t="str">
        <f t="shared" si="13"/>
        <v/>
      </c>
      <c r="F888" s="8"/>
    </row>
    <row r="889" spans="1:6" ht="15" customHeight="1" x14ac:dyDescent="0.2">
      <c r="A889" s="9"/>
      <c r="B889" s="8"/>
      <c r="C889" s="10" t="str">
        <f>IFERROR(INDEX(Reference!$B$29:$B$200,MATCH(B889,Reference!$A$29:$A$200,0)),"")</f>
        <v/>
      </c>
      <c r="D889" s="13"/>
      <c r="E889" s="10" t="str">
        <f t="shared" si="13"/>
        <v/>
      </c>
      <c r="F889" s="8"/>
    </row>
    <row r="890" spans="1:6" ht="15" customHeight="1" x14ac:dyDescent="0.2">
      <c r="A890" s="9"/>
      <c r="B890" s="8"/>
      <c r="C890" s="10" t="str">
        <f>IFERROR(INDEX(Reference!$B$29:$B$200,MATCH(B890,Reference!$A$29:$A$200,0)),"")</f>
        <v/>
      </c>
      <c r="D890" s="13"/>
      <c r="E890" s="10" t="str">
        <f t="shared" si="13"/>
        <v/>
      </c>
      <c r="F890" s="8"/>
    </row>
    <row r="891" spans="1:6" ht="15" customHeight="1" x14ac:dyDescent="0.2">
      <c r="A891" s="9"/>
      <c r="B891" s="8"/>
      <c r="C891" s="10" t="str">
        <f>IFERROR(INDEX(Reference!$B$29:$B$200,MATCH(B891,Reference!$A$29:$A$200,0)),"")</f>
        <v/>
      </c>
      <c r="D891" s="13"/>
      <c r="E891" s="10" t="str">
        <f t="shared" si="13"/>
        <v/>
      </c>
      <c r="F891" s="8"/>
    </row>
    <row r="892" spans="1:6" ht="15" customHeight="1" x14ac:dyDescent="0.2">
      <c r="A892" s="9"/>
      <c r="B892" s="8"/>
      <c r="C892" s="10" t="str">
        <f>IFERROR(INDEX(Reference!$B$29:$B$200,MATCH(B892,Reference!$A$29:$A$200,0)),"")</f>
        <v/>
      </c>
      <c r="D892" s="13"/>
      <c r="E892" s="10" t="str">
        <f t="shared" si="13"/>
        <v/>
      </c>
      <c r="F892" s="8"/>
    </row>
    <row r="893" spans="1:6" ht="15" customHeight="1" x14ac:dyDescent="0.2">
      <c r="A893" s="9"/>
      <c r="B893" s="8"/>
      <c r="C893" s="10" t="str">
        <f>IFERROR(INDEX(Reference!$B$29:$B$200,MATCH(B893,Reference!$A$29:$A$200,0)),"")</f>
        <v/>
      </c>
      <c r="D893" s="13"/>
      <c r="E893" s="10" t="str">
        <f t="shared" si="13"/>
        <v/>
      </c>
      <c r="F893" s="8"/>
    </row>
    <row r="894" spans="1:6" ht="15" customHeight="1" x14ac:dyDescent="0.2">
      <c r="A894" s="9"/>
      <c r="B894" s="8"/>
      <c r="C894" s="10" t="str">
        <f>IFERROR(INDEX(Reference!$B$29:$B$200,MATCH(B894,Reference!$A$29:$A$200,0)),"")</f>
        <v/>
      </c>
      <c r="D894" s="13"/>
      <c r="E894" s="10" t="str">
        <f t="shared" si="13"/>
        <v/>
      </c>
      <c r="F894" s="8"/>
    </row>
    <row r="895" spans="1:6" ht="15" customHeight="1" x14ac:dyDescent="0.2">
      <c r="A895" s="9"/>
      <c r="B895" s="8"/>
      <c r="C895" s="10" t="str">
        <f>IFERROR(INDEX(Reference!$B$29:$B$200,MATCH(B895,Reference!$A$29:$A$200,0)),"")</f>
        <v/>
      </c>
      <c r="D895" s="13"/>
      <c r="E895" s="10" t="str">
        <f t="shared" si="13"/>
        <v/>
      </c>
      <c r="F895" s="8"/>
    </row>
    <row r="896" spans="1:6" ht="15" customHeight="1" x14ac:dyDescent="0.2">
      <c r="A896" s="9"/>
      <c r="B896" s="8"/>
      <c r="C896" s="10" t="str">
        <f>IFERROR(INDEX(Reference!$B$29:$B$200,MATCH(B896,Reference!$A$29:$A$200,0)),"")</f>
        <v/>
      </c>
      <c r="D896" s="13"/>
      <c r="E896" s="10" t="str">
        <f t="shared" si="13"/>
        <v/>
      </c>
      <c r="F896" s="8"/>
    </row>
    <row r="897" spans="1:6" ht="15" customHeight="1" x14ac:dyDescent="0.2">
      <c r="A897" s="9"/>
      <c r="B897" s="8"/>
      <c r="C897" s="10" t="str">
        <f>IFERROR(INDEX(Reference!$B$29:$B$200,MATCH(B897,Reference!$A$29:$A$200,0)),"")</f>
        <v/>
      </c>
      <c r="D897" s="13"/>
      <c r="E897" s="10" t="str">
        <f t="shared" si="13"/>
        <v/>
      </c>
      <c r="F897" s="8"/>
    </row>
    <row r="898" spans="1:6" ht="15" customHeight="1" x14ac:dyDescent="0.2">
      <c r="A898" s="9"/>
      <c r="B898" s="8"/>
      <c r="C898" s="10" t="str">
        <f>IFERROR(INDEX(Reference!$B$29:$B$200,MATCH(B898,Reference!$A$29:$A$200,0)),"")</f>
        <v/>
      </c>
      <c r="D898" s="13"/>
      <c r="E898" s="10" t="str">
        <f t="shared" ref="E898:E961" si="14">IF(A898="","",IF(MONTH(A898)&gt;=8,YEAR(A898)&amp;"-"&amp;RIGHT(YEAR(A898)+1,2),YEAR(A898)-1&amp;"-"&amp;RIGHT(YEAR(A898),2)))</f>
        <v/>
      </c>
      <c r="F898" s="8"/>
    </row>
    <row r="899" spans="1:6" ht="15" customHeight="1" x14ac:dyDescent="0.2">
      <c r="A899" s="9"/>
      <c r="B899" s="8"/>
      <c r="C899" s="10" t="str">
        <f>IFERROR(INDEX(Reference!$B$29:$B$200,MATCH(B899,Reference!$A$29:$A$200,0)),"")</f>
        <v/>
      </c>
      <c r="D899" s="13"/>
      <c r="E899" s="10" t="str">
        <f t="shared" si="14"/>
        <v/>
      </c>
      <c r="F899" s="8"/>
    </row>
    <row r="900" spans="1:6" ht="15" customHeight="1" x14ac:dyDescent="0.2">
      <c r="A900" s="9"/>
      <c r="B900" s="8"/>
      <c r="C900" s="10" t="str">
        <f>IFERROR(INDEX(Reference!$B$29:$B$200,MATCH(B900,Reference!$A$29:$A$200,0)),"")</f>
        <v/>
      </c>
      <c r="D900" s="13"/>
      <c r="E900" s="10" t="str">
        <f t="shared" si="14"/>
        <v/>
      </c>
      <c r="F900" s="8"/>
    </row>
    <row r="901" spans="1:6" ht="15" customHeight="1" x14ac:dyDescent="0.2">
      <c r="A901" s="9"/>
      <c r="B901" s="8"/>
      <c r="C901" s="10" t="str">
        <f>IFERROR(INDEX(Reference!$B$29:$B$200,MATCH(B901,Reference!$A$29:$A$200,0)),"")</f>
        <v/>
      </c>
      <c r="D901" s="13"/>
      <c r="E901" s="10" t="str">
        <f t="shared" si="14"/>
        <v/>
      </c>
      <c r="F901" s="8"/>
    </row>
    <row r="902" spans="1:6" ht="15" customHeight="1" x14ac:dyDescent="0.2">
      <c r="A902" s="9"/>
      <c r="B902" s="8"/>
      <c r="C902" s="10" t="str">
        <f>IFERROR(INDEX(Reference!$B$29:$B$200,MATCH(B902,Reference!$A$29:$A$200,0)),"")</f>
        <v/>
      </c>
      <c r="D902" s="13"/>
      <c r="E902" s="10" t="str">
        <f t="shared" si="14"/>
        <v/>
      </c>
      <c r="F902" s="8"/>
    </row>
    <row r="903" spans="1:6" ht="15" customHeight="1" x14ac:dyDescent="0.2">
      <c r="A903" s="9"/>
      <c r="B903" s="8"/>
      <c r="C903" s="10" t="str">
        <f>IFERROR(INDEX(Reference!$B$29:$B$200,MATCH(B903,Reference!$A$29:$A$200,0)),"")</f>
        <v/>
      </c>
      <c r="D903" s="13"/>
      <c r="E903" s="10" t="str">
        <f t="shared" si="14"/>
        <v/>
      </c>
      <c r="F903" s="8"/>
    </row>
    <row r="904" spans="1:6" ht="15" customHeight="1" x14ac:dyDescent="0.2">
      <c r="A904" s="9"/>
      <c r="B904" s="8"/>
      <c r="C904" s="10" t="str">
        <f>IFERROR(INDEX(Reference!$B$29:$B$200,MATCH(B904,Reference!$A$29:$A$200,0)),"")</f>
        <v/>
      </c>
      <c r="D904" s="13"/>
      <c r="E904" s="10" t="str">
        <f t="shared" si="14"/>
        <v/>
      </c>
      <c r="F904" s="8"/>
    </row>
    <row r="905" spans="1:6" ht="15" customHeight="1" x14ac:dyDescent="0.2">
      <c r="A905" s="9"/>
      <c r="B905" s="8"/>
      <c r="C905" s="10" t="str">
        <f>IFERROR(INDEX(Reference!$B$29:$B$200,MATCH(B905,Reference!$A$29:$A$200,0)),"")</f>
        <v/>
      </c>
      <c r="D905" s="13"/>
      <c r="E905" s="10" t="str">
        <f t="shared" si="14"/>
        <v/>
      </c>
      <c r="F905" s="8"/>
    </row>
    <row r="906" spans="1:6" ht="15" customHeight="1" x14ac:dyDescent="0.2">
      <c r="A906" s="9"/>
      <c r="B906" s="8"/>
      <c r="C906" s="10" t="str">
        <f>IFERROR(INDEX(Reference!$B$29:$B$200,MATCH(B906,Reference!$A$29:$A$200,0)),"")</f>
        <v/>
      </c>
      <c r="D906" s="13"/>
      <c r="E906" s="10" t="str">
        <f t="shared" si="14"/>
        <v/>
      </c>
      <c r="F906" s="8"/>
    </row>
    <row r="907" spans="1:6" ht="15" customHeight="1" x14ac:dyDescent="0.2">
      <c r="A907" s="9"/>
      <c r="B907" s="8"/>
      <c r="C907" s="10" t="str">
        <f>IFERROR(INDEX(Reference!$B$29:$B$200,MATCH(B907,Reference!$A$29:$A$200,0)),"")</f>
        <v/>
      </c>
      <c r="D907" s="13"/>
      <c r="E907" s="10" t="str">
        <f t="shared" si="14"/>
        <v/>
      </c>
      <c r="F907" s="8"/>
    </row>
    <row r="908" spans="1:6" ht="15" customHeight="1" x14ac:dyDescent="0.2">
      <c r="A908" s="9"/>
      <c r="B908" s="8"/>
      <c r="C908" s="10" t="str">
        <f>IFERROR(INDEX(Reference!$B$29:$B$200,MATCH(B908,Reference!$A$29:$A$200,0)),"")</f>
        <v/>
      </c>
      <c r="D908" s="13"/>
      <c r="E908" s="10" t="str">
        <f t="shared" si="14"/>
        <v/>
      </c>
      <c r="F908" s="8"/>
    </row>
    <row r="909" spans="1:6" ht="15" customHeight="1" x14ac:dyDescent="0.2">
      <c r="A909" s="9"/>
      <c r="B909" s="8"/>
      <c r="C909" s="10" t="str">
        <f>IFERROR(INDEX(Reference!$B$29:$B$200,MATCH(B909,Reference!$A$29:$A$200,0)),"")</f>
        <v/>
      </c>
      <c r="D909" s="13"/>
      <c r="E909" s="10" t="str">
        <f t="shared" si="14"/>
        <v/>
      </c>
      <c r="F909" s="8"/>
    </row>
    <row r="910" spans="1:6" ht="15" customHeight="1" x14ac:dyDescent="0.2">
      <c r="A910" s="9"/>
      <c r="B910" s="8"/>
      <c r="C910" s="10" t="str">
        <f>IFERROR(INDEX(Reference!$B$29:$B$200,MATCH(B910,Reference!$A$29:$A$200,0)),"")</f>
        <v/>
      </c>
      <c r="D910" s="13"/>
      <c r="E910" s="10" t="str">
        <f t="shared" si="14"/>
        <v/>
      </c>
      <c r="F910" s="8"/>
    </row>
    <row r="911" spans="1:6" ht="15" customHeight="1" x14ac:dyDescent="0.2">
      <c r="A911" s="9"/>
      <c r="B911" s="8"/>
      <c r="C911" s="10" t="str">
        <f>IFERROR(INDEX(Reference!$B$29:$B$200,MATCH(B911,Reference!$A$29:$A$200,0)),"")</f>
        <v/>
      </c>
      <c r="D911" s="13"/>
      <c r="E911" s="10" t="str">
        <f t="shared" si="14"/>
        <v/>
      </c>
      <c r="F911" s="8"/>
    </row>
    <row r="912" spans="1:6" ht="15" customHeight="1" x14ac:dyDescent="0.2">
      <c r="A912" s="9"/>
      <c r="B912" s="8"/>
      <c r="C912" s="10" t="str">
        <f>IFERROR(INDEX(Reference!$B$29:$B$200,MATCH(B912,Reference!$A$29:$A$200,0)),"")</f>
        <v/>
      </c>
      <c r="D912" s="13"/>
      <c r="E912" s="10" t="str">
        <f t="shared" si="14"/>
        <v/>
      </c>
      <c r="F912" s="8"/>
    </row>
    <row r="913" spans="1:6" ht="15" customHeight="1" x14ac:dyDescent="0.2">
      <c r="A913" s="9"/>
      <c r="B913" s="8"/>
      <c r="C913" s="10" t="str">
        <f>IFERROR(INDEX(Reference!$B$29:$B$200,MATCH(B913,Reference!$A$29:$A$200,0)),"")</f>
        <v/>
      </c>
      <c r="D913" s="13"/>
      <c r="E913" s="10" t="str">
        <f t="shared" si="14"/>
        <v/>
      </c>
      <c r="F913" s="8"/>
    </row>
    <row r="914" spans="1:6" ht="15" customHeight="1" x14ac:dyDescent="0.2">
      <c r="A914" s="9"/>
      <c r="B914" s="8"/>
      <c r="C914" s="10" t="str">
        <f>IFERROR(INDEX(Reference!$B$29:$B$200,MATCH(B914,Reference!$A$29:$A$200,0)),"")</f>
        <v/>
      </c>
      <c r="D914" s="13"/>
      <c r="E914" s="10" t="str">
        <f t="shared" si="14"/>
        <v/>
      </c>
      <c r="F914" s="8"/>
    </row>
    <row r="915" spans="1:6" ht="15" customHeight="1" x14ac:dyDescent="0.2">
      <c r="A915" s="9"/>
      <c r="B915" s="8"/>
      <c r="C915" s="10" t="str">
        <f>IFERROR(INDEX(Reference!$B$29:$B$200,MATCH(B915,Reference!$A$29:$A$200,0)),"")</f>
        <v/>
      </c>
      <c r="D915" s="13"/>
      <c r="E915" s="10" t="str">
        <f t="shared" si="14"/>
        <v/>
      </c>
      <c r="F915" s="8"/>
    </row>
    <row r="916" spans="1:6" ht="15" customHeight="1" x14ac:dyDescent="0.2">
      <c r="A916" s="9"/>
      <c r="B916" s="8"/>
      <c r="C916" s="10" t="str">
        <f>IFERROR(INDEX(Reference!$B$29:$B$200,MATCH(B916,Reference!$A$29:$A$200,0)),"")</f>
        <v/>
      </c>
      <c r="D916" s="13"/>
      <c r="E916" s="10" t="str">
        <f t="shared" si="14"/>
        <v/>
      </c>
      <c r="F916" s="8"/>
    </row>
    <row r="917" spans="1:6" ht="15" customHeight="1" x14ac:dyDescent="0.2">
      <c r="A917" s="9"/>
      <c r="B917" s="8"/>
      <c r="C917" s="10" t="str">
        <f>IFERROR(INDEX(Reference!$B$29:$B$200,MATCH(B917,Reference!$A$29:$A$200,0)),"")</f>
        <v/>
      </c>
      <c r="D917" s="13"/>
      <c r="E917" s="10" t="str">
        <f t="shared" si="14"/>
        <v/>
      </c>
      <c r="F917" s="8"/>
    </row>
    <row r="918" spans="1:6" ht="15" customHeight="1" x14ac:dyDescent="0.2">
      <c r="A918" s="9"/>
      <c r="B918" s="8"/>
      <c r="C918" s="10" t="str">
        <f>IFERROR(INDEX(Reference!$B$29:$B$200,MATCH(B918,Reference!$A$29:$A$200,0)),"")</f>
        <v/>
      </c>
      <c r="D918" s="13"/>
      <c r="E918" s="10" t="str">
        <f t="shared" si="14"/>
        <v/>
      </c>
      <c r="F918" s="8"/>
    </row>
    <row r="919" spans="1:6" ht="15" customHeight="1" x14ac:dyDescent="0.2">
      <c r="A919" s="9"/>
      <c r="B919" s="8"/>
      <c r="C919" s="10" t="str">
        <f>IFERROR(INDEX(Reference!$B$29:$B$200,MATCH(B919,Reference!$A$29:$A$200,0)),"")</f>
        <v/>
      </c>
      <c r="D919" s="13"/>
      <c r="E919" s="10" t="str">
        <f t="shared" si="14"/>
        <v/>
      </c>
      <c r="F919" s="8"/>
    </row>
    <row r="920" spans="1:6" ht="15" customHeight="1" x14ac:dyDescent="0.2">
      <c r="A920" s="9"/>
      <c r="B920" s="8"/>
      <c r="C920" s="10" t="str">
        <f>IFERROR(INDEX(Reference!$B$29:$B$200,MATCH(B920,Reference!$A$29:$A$200,0)),"")</f>
        <v/>
      </c>
      <c r="D920" s="13"/>
      <c r="E920" s="10" t="str">
        <f t="shared" si="14"/>
        <v/>
      </c>
      <c r="F920" s="8"/>
    </row>
    <row r="921" spans="1:6" ht="15" customHeight="1" x14ac:dyDescent="0.2">
      <c r="A921" s="9"/>
      <c r="B921" s="8"/>
      <c r="C921" s="10" t="str">
        <f>IFERROR(INDEX(Reference!$B$29:$B$200,MATCH(B921,Reference!$A$29:$A$200,0)),"")</f>
        <v/>
      </c>
      <c r="D921" s="13"/>
      <c r="E921" s="10" t="str">
        <f t="shared" si="14"/>
        <v/>
      </c>
      <c r="F921" s="8"/>
    </row>
    <row r="922" spans="1:6" ht="15" customHeight="1" x14ac:dyDescent="0.2">
      <c r="A922" s="9"/>
      <c r="B922" s="8"/>
      <c r="C922" s="10" t="str">
        <f>IFERROR(INDEX(Reference!$B$29:$B$200,MATCH(B922,Reference!$A$29:$A$200,0)),"")</f>
        <v/>
      </c>
      <c r="D922" s="13"/>
      <c r="E922" s="10" t="str">
        <f t="shared" si="14"/>
        <v/>
      </c>
      <c r="F922" s="8"/>
    </row>
    <row r="923" spans="1:6" ht="15" customHeight="1" x14ac:dyDescent="0.2">
      <c r="A923" s="9"/>
      <c r="B923" s="8"/>
      <c r="C923" s="10" t="str">
        <f>IFERROR(INDEX(Reference!$B$29:$B$200,MATCH(B923,Reference!$A$29:$A$200,0)),"")</f>
        <v/>
      </c>
      <c r="D923" s="13"/>
      <c r="E923" s="10" t="str">
        <f t="shared" si="14"/>
        <v/>
      </c>
      <c r="F923" s="8"/>
    </row>
    <row r="924" spans="1:6" ht="15" customHeight="1" x14ac:dyDescent="0.2">
      <c r="A924" s="9"/>
      <c r="B924" s="8"/>
      <c r="C924" s="10" t="str">
        <f>IFERROR(INDEX(Reference!$B$29:$B$200,MATCH(B924,Reference!$A$29:$A$200,0)),"")</f>
        <v/>
      </c>
      <c r="D924" s="13"/>
      <c r="E924" s="10" t="str">
        <f t="shared" si="14"/>
        <v/>
      </c>
      <c r="F924" s="8"/>
    </row>
    <row r="925" spans="1:6" ht="15" customHeight="1" x14ac:dyDescent="0.2">
      <c r="A925" s="9"/>
      <c r="B925" s="8"/>
      <c r="C925" s="10" t="str">
        <f>IFERROR(INDEX(Reference!$B$29:$B$200,MATCH(B925,Reference!$A$29:$A$200,0)),"")</f>
        <v/>
      </c>
      <c r="D925" s="13"/>
      <c r="E925" s="10" t="str">
        <f t="shared" si="14"/>
        <v/>
      </c>
      <c r="F925" s="8"/>
    </row>
    <row r="926" spans="1:6" ht="15" customHeight="1" x14ac:dyDescent="0.2">
      <c r="A926" s="9"/>
      <c r="B926" s="8"/>
      <c r="C926" s="10" t="str">
        <f>IFERROR(INDEX(Reference!$B$29:$B$200,MATCH(B926,Reference!$A$29:$A$200,0)),"")</f>
        <v/>
      </c>
      <c r="D926" s="13"/>
      <c r="E926" s="10" t="str">
        <f t="shared" si="14"/>
        <v/>
      </c>
      <c r="F926" s="8"/>
    </row>
    <row r="927" spans="1:6" ht="15" customHeight="1" x14ac:dyDescent="0.2">
      <c r="A927" s="9"/>
      <c r="B927" s="8"/>
      <c r="C927" s="10" t="str">
        <f>IFERROR(INDEX(Reference!$B$29:$B$200,MATCH(B927,Reference!$A$29:$A$200,0)),"")</f>
        <v/>
      </c>
      <c r="D927" s="13"/>
      <c r="E927" s="10" t="str">
        <f t="shared" si="14"/>
        <v/>
      </c>
      <c r="F927" s="8"/>
    </row>
    <row r="928" spans="1:6" ht="15" customHeight="1" x14ac:dyDescent="0.2">
      <c r="A928" s="9"/>
      <c r="B928" s="8"/>
      <c r="C928" s="10" t="str">
        <f>IFERROR(INDEX(Reference!$B$29:$B$200,MATCH(B928,Reference!$A$29:$A$200,0)),"")</f>
        <v/>
      </c>
      <c r="D928" s="13"/>
      <c r="E928" s="10" t="str">
        <f t="shared" si="14"/>
        <v/>
      </c>
      <c r="F928" s="8"/>
    </row>
    <row r="929" spans="1:6" ht="15" customHeight="1" x14ac:dyDescent="0.2">
      <c r="A929" s="9"/>
      <c r="B929" s="8"/>
      <c r="C929" s="10" t="str">
        <f>IFERROR(INDEX(Reference!$B$29:$B$200,MATCH(B929,Reference!$A$29:$A$200,0)),"")</f>
        <v/>
      </c>
      <c r="D929" s="13"/>
      <c r="E929" s="10" t="str">
        <f t="shared" si="14"/>
        <v/>
      </c>
      <c r="F929" s="8"/>
    </row>
    <row r="930" spans="1:6" ht="15" customHeight="1" x14ac:dyDescent="0.2">
      <c r="A930" s="9"/>
      <c r="B930" s="8"/>
      <c r="C930" s="10" t="str">
        <f>IFERROR(INDEX(Reference!$B$29:$B$200,MATCH(B930,Reference!$A$29:$A$200,0)),"")</f>
        <v/>
      </c>
      <c r="D930" s="13"/>
      <c r="E930" s="10" t="str">
        <f t="shared" si="14"/>
        <v/>
      </c>
      <c r="F930" s="8"/>
    </row>
    <row r="931" spans="1:6" ht="15" customHeight="1" x14ac:dyDescent="0.2">
      <c r="A931" s="9"/>
      <c r="B931" s="8"/>
      <c r="C931" s="10" t="str">
        <f>IFERROR(INDEX(Reference!$B$29:$B$200,MATCH(B931,Reference!$A$29:$A$200,0)),"")</f>
        <v/>
      </c>
      <c r="D931" s="13"/>
      <c r="E931" s="10" t="str">
        <f t="shared" si="14"/>
        <v/>
      </c>
      <c r="F931" s="8"/>
    </row>
    <row r="932" spans="1:6" ht="15" customHeight="1" x14ac:dyDescent="0.2">
      <c r="A932" s="9"/>
      <c r="B932" s="8"/>
      <c r="C932" s="10" t="str">
        <f>IFERROR(INDEX(Reference!$B$29:$B$200,MATCH(B932,Reference!$A$29:$A$200,0)),"")</f>
        <v/>
      </c>
      <c r="D932" s="13"/>
      <c r="E932" s="10" t="str">
        <f t="shared" si="14"/>
        <v/>
      </c>
      <c r="F932" s="8"/>
    </row>
    <row r="933" spans="1:6" ht="15" customHeight="1" x14ac:dyDescent="0.2">
      <c r="A933" s="9"/>
      <c r="B933" s="8"/>
      <c r="C933" s="10" t="str">
        <f>IFERROR(INDEX(Reference!$B$29:$B$200,MATCH(B933,Reference!$A$29:$A$200,0)),"")</f>
        <v/>
      </c>
      <c r="D933" s="13"/>
      <c r="E933" s="10" t="str">
        <f t="shared" si="14"/>
        <v/>
      </c>
      <c r="F933" s="8"/>
    </row>
    <row r="934" spans="1:6" ht="15" customHeight="1" x14ac:dyDescent="0.2">
      <c r="A934" s="9"/>
      <c r="B934" s="8"/>
      <c r="C934" s="10" t="str">
        <f>IFERROR(INDEX(Reference!$B$29:$B$200,MATCH(B934,Reference!$A$29:$A$200,0)),"")</f>
        <v/>
      </c>
      <c r="D934" s="13"/>
      <c r="E934" s="10" t="str">
        <f t="shared" si="14"/>
        <v/>
      </c>
      <c r="F934" s="8"/>
    </row>
    <row r="935" spans="1:6" ht="15" customHeight="1" x14ac:dyDescent="0.2">
      <c r="A935" s="9"/>
      <c r="B935" s="8"/>
      <c r="C935" s="10" t="str">
        <f>IFERROR(INDEX(Reference!$B$29:$B$200,MATCH(B935,Reference!$A$29:$A$200,0)),"")</f>
        <v/>
      </c>
      <c r="D935" s="13"/>
      <c r="E935" s="10" t="str">
        <f t="shared" si="14"/>
        <v/>
      </c>
      <c r="F935" s="8"/>
    </row>
    <row r="936" spans="1:6" ht="15" customHeight="1" x14ac:dyDescent="0.2">
      <c r="A936" s="9"/>
      <c r="B936" s="8"/>
      <c r="C936" s="10" t="str">
        <f>IFERROR(INDEX(Reference!$B$29:$B$200,MATCH(B936,Reference!$A$29:$A$200,0)),"")</f>
        <v/>
      </c>
      <c r="D936" s="13"/>
      <c r="E936" s="10" t="str">
        <f t="shared" si="14"/>
        <v/>
      </c>
      <c r="F936" s="8"/>
    </row>
    <row r="937" spans="1:6" ht="15" customHeight="1" x14ac:dyDescent="0.2">
      <c r="A937" s="9"/>
      <c r="B937" s="8"/>
      <c r="C937" s="10" t="str">
        <f>IFERROR(INDEX(Reference!$B$29:$B$200,MATCH(B937,Reference!$A$29:$A$200,0)),"")</f>
        <v/>
      </c>
      <c r="D937" s="13"/>
      <c r="E937" s="10" t="str">
        <f t="shared" si="14"/>
        <v/>
      </c>
      <c r="F937" s="8"/>
    </row>
    <row r="938" spans="1:6" ht="15" customHeight="1" x14ac:dyDescent="0.2">
      <c r="A938" s="9"/>
      <c r="B938" s="8"/>
      <c r="C938" s="10" t="str">
        <f>IFERROR(INDEX(Reference!$B$29:$B$200,MATCH(B938,Reference!$A$29:$A$200,0)),"")</f>
        <v/>
      </c>
      <c r="D938" s="13"/>
      <c r="E938" s="10" t="str">
        <f t="shared" si="14"/>
        <v/>
      </c>
      <c r="F938" s="8"/>
    </row>
    <row r="939" spans="1:6" ht="15" customHeight="1" x14ac:dyDescent="0.2">
      <c r="A939" s="9"/>
      <c r="B939" s="8"/>
      <c r="C939" s="10" t="str">
        <f>IFERROR(INDEX(Reference!$B$29:$B$200,MATCH(B939,Reference!$A$29:$A$200,0)),"")</f>
        <v/>
      </c>
      <c r="D939" s="13"/>
      <c r="E939" s="10" t="str">
        <f t="shared" si="14"/>
        <v/>
      </c>
      <c r="F939" s="8"/>
    </row>
    <row r="940" spans="1:6" ht="15" customHeight="1" x14ac:dyDescent="0.2">
      <c r="A940" s="9"/>
      <c r="B940" s="8"/>
      <c r="C940" s="10" t="str">
        <f>IFERROR(INDEX(Reference!$B$29:$B$200,MATCH(B940,Reference!$A$29:$A$200,0)),"")</f>
        <v/>
      </c>
      <c r="D940" s="13"/>
      <c r="E940" s="10" t="str">
        <f t="shared" si="14"/>
        <v/>
      </c>
      <c r="F940" s="8"/>
    </row>
    <row r="941" spans="1:6" ht="15" customHeight="1" x14ac:dyDescent="0.2">
      <c r="A941" s="9"/>
      <c r="B941" s="8"/>
      <c r="C941" s="10" t="str">
        <f>IFERROR(INDEX(Reference!$B$29:$B$200,MATCH(B941,Reference!$A$29:$A$200,0)),"")</f>
        <v/>
      </c>
      <c r="D941" s="13"/>
      <c r="E941" s="10" t="str">
        <f t="shared" si="14"/>
        <v/>
      </c>
      <c r="F941" s="8"/>
    </row>
    <row r="942" spans="1:6" ht="15" customHeight="1" x14ac:dyDescent="0.2">
      <c r="A942" s="9"/>
      <c r="B942" s="8"/>
      <c r="C942" s="10" t="str">
        <f>IFERROR(INDEX(Reference!$B$29:$B$200,MATCH(B942,Reference!$A$29:$A$200,0)),"")</f>
        <v/>
      </c>
      <c r="D942" s="13"/>
      <c r="E942" s="10" t="str">
        <f t="shared" si="14"/>
        <v/>
      </c>
      <c r="F942" s="8"/>
    </row>
    <row r="943" spans="1:6" ht="15" customHeight="1" x14ac:dyDescent="0.2">
      <c r="A943" s="9"/>
      <c r="B943" s="8"/>
      <c r="C943" s="10" t="str">
        <f>IFERROR(INDEX(Reference!$B$29:$B$200,MATCH(B943,Reference!$A$29:$A$200,0)),"")</f>
        <v/>
      </c>
      <c r="D943" s="13"/>
      <c r="E943" s="10" t="str">
        <f t="shared" si="14"/>
        <v/>
      </c>
      <c r="F943" s="8"/>
    </row>
    <row r="944" spans="1:6" ht="15" customHeight="1" x14ac:dyDescent="0.2">
      <c r="A944" s="9"/>
      <c r="B944" s="8"/>
      <c r="C944" s="10" t="str">
        <f>IFERROR(INDEX(Reference!$B$29:$B$200,MATCH(B944,Reference!$A$29:$A$200,0)),"")</f>
        <v/>
      </c>
      <c r="D944" s="13"/>
      <c r="E944" s="10" t="str">
        <f t="shared" si="14"/>
        <v/>
      </c>
      <c r="F944" s="8"/>
    </row>
    <row r="945" spans="1:6" ht="15" customHeight="1" x14ac:dyDescent="0.2">
      <c r="A945" s="9"/>
      <c r="B945" s="8"/>
      <c r="C945" s="10" t="str">
        <f>IFERROR(INDEX(Reference!$B$29:$B$200,MATCH(B945,Reference!$A$29:$A$200,0)),"")</f>
        <v/>
      </c>
      <c r="D945" s="13"/>
      <c r="E945" s="10" t="str">
        <f t="shared" si="14"/>
        <v/>
      </c>
      <c r="F945" s="8"/>
    </row>
    <row r="946" spans="1:6" ht="15" customHeight="1" x14ac:dyDescent="0.2">
      <c r="A946" s="9"/>
      <c r="B946" s="8"/>
      <c r="C946" s="10" t="str">
        <f>IFERROR(INDEX(Reference!$B$29:$B$200,MATCH(B946,Reference!$A$29:$A$200,0)),"")</f>
        <v/>
      </c>
      <c r="D946" s="13"/>
      <c r="E946" s="10" t="str">
        <f t="shared" si="14"/>
        <v/>
      </c>
      <c r="F946" s="8"/>
    </row>
    <row r="947" spans="1:6" ht="15" customHeight="1" x14ac:dyDescent="0.2">
      <c r="A947" s="9"/>
      <c r="B947" s="8"/>
      <c r="C947" s="10" t="str">
        <f>IFERROR(INDEX(Reference!$B$29:$B$200,MATCH(B947,Reference!$A$29:$A$200,0)),"")</f>
        <v/>
      </c>
      <c r="D947" s="13"/>
      <c r="E947" s="10" t="str">
        <f t="shared" si="14"/>
        <v/>
      </c>
      <c r="F947" s="8"/>
    </row>
    <row r="948" spans="1:6" ht="15" customHeight="1" x14ac:dyDescent="0.2">
      <c r="A948" s="9"/>
      <c r="B948" s="8"/>
      <c r="C948" s="10" t="str">
        <f>IFERROR(INDEX(Reference!$B$29:$B$200,MATCH(B948,Reference!$A$29:$A$200,0)),"")</f>
        <v/>
      </c>
      <c r="D948" s="13"/>
      <c r="E948" s="10" t="str">
        <f t="shared" si="14"/>
        <v/>
      </c>
      <c r="F948" s="8"/>
    </row>
    <row r="949" spans="1:6" ht="15" customHeight="1" x14ac:dyDescent="0.2">
      <c r="A949" s="9"/>
      <c r="B949" s="8"/>
      <c r="C949" s="10" t="str">
        <f>IFERROR(INDEX(Reference!$B$29:$B$200,MATCH(B949,Reference!$A$29:$A$200,0)),"")</f>
        <v/>
      </c>
      <c r="D949" s="13"/>
      <c r="E949" s="10" t="str">
        <f t="shared" si="14"/>
        <v/>
      </c>
      <c r="F949" s="8"/>
    </row>
    <row r="950" spans="1:6" ht="15" customHeight="1" x14ac:dyDescent="0.2">
      <c r="A950" s="9"/>
      <c r="B950" s="8"/>
      <c r="C950" s="10" t="str">
        <f>IFERROR(INDEX(Reference!$B$29:$B$200,MATCH(B950,Reference!$A$29:$A$200,0)),"")</f>
        <v/>
      </c>
      <c r="D950" s="13"/>
      <c r="E950" s="10" t="str">
        <f t="shared" si="14"/>
        <v/>
      </c>
      <c r="F950" s="8"/>
    </row>
    <row r="951" spans="1:6" ht="15" customHeight="1" x14ac:dyDescent="0.2">
      <c r="A951" s="9"/>
      <c r="B951" s="8"/>
      <c r="C951" s="10" t="str">
        <f>IFERROR(INDEX(Reference!$B$29:$B$200,MATCH(B951,Reference!$A$29:$A$200,0)),"")</f>
        <v/>
      </c>
      <c r="D951" s="13"/>
      <c r="E951" s="10" t="str">
        <f t="shared" si="14"/>
        <v/>
      </c>
      <c r="F951" s="8"/>
    </row>
    <row r="952" spans="1:6" ht="15" customHeight="1" x14ac:dyDescent="0.2">
      <c r="A952" s="9"/>
      <c r="B952" s="8"/>
      <c r="C952" s="10" t="str">
        <f>IFERROR(INDEX(Reference!$B$29:$B$200,MATCH(B952,Reference!$A$29:$A$200,0)),"")</f>
        <v/>
      </c>
      <c r="D952" s="13"/>
      <c r="E952" s="10" t="str">
        <f t="shared" si="14"/>
        <v/>
      </c>
      <c r="F952" s="8"/>
    </row>
    <row r="953" spans="1:6" ht="15" customHeight="1" x14ac:dyDescent="0.2">
      <c r="A953" s="9"/>
      <c r="B953" s="8"/>
      <c r="C953" s="10" t="str">
        <f>IFERROR(INDEX(Reference!$B$29:$B$200,MATCH(B953,Reference!$A$29:$A$200,0)),"")</f>
        <v/>
      </c>
      <c r="D953" s="13"/>
      <c r="E953" s="10" t="str">
        <f t="shared" si="14"/>
        <v/>
      </c>
      <c r="F953" s="8"/>
    </row>
    <row r="954" spans="1:6" ht="15" customHeight="1" x14ac:dyDescent="0.2">
      <c r="A954" s="9"/>
      <c r="B954" s="8"/>
      <c r="C954" s="10" t="str">
        <f>IFERROR(INDEX(Reference!$B$29:$B$200,MATCH(B954,Reference!$A$29:$A$200,0)),"")</f>
        <v/>
      </c>
      <c r="D954" s="13"/>
      <c r="E954" s="10" t="str">
        <f t="shared" si="14"/>
        <v/>
      </c>
      <c r="F954" s="8"/>
    </row>
    <row r="955" spans="1:6" ht="15" customHeight="1" x14ac:dyDescent="0.2">
      <c r="A955" s="9"/>
      <c r="B955" s="8"/>
      <c r="C955" s="10" t="str">
        <f>IFERROR(INDEX(Reference!$B$29:$B$200,MATCH(B955,Reference!$A$29:$A$200,0)),"")</f>
        <v/>
      </c>
      <c r="D955" s="13"/>
      <c r="E955" s="10" t="str">
        <f t="shared" si="14"/>
        <v/>
      </c>
      <c r="F955" s="8"/>
    </row>
    <row r="956" spans="1:6" ht="15" customHeight="1" x14ac:dyDescent="0.2">
      <c r="A956" s="9"/>
      <c r="B956" s="8"/>
      <c r="C956" s="10" t="str">
        <f>IFERROR(INDEX(Reference!$B$29:$B$200,MATCH(B956,Reference!$A$29:$A$200,0)),"")</f>
        <v/>
      </c>
      <c r="D956" s="13"/>
      <c r="E956" s="10" t="str">
        <f t="shared" si="14"/>
        <v/>
      </c>
      <c r="F956" s="8"/>
    </row>
    <row r="957" spans="1:6" ht="15" customHeight="1" x14ac:dyDescent="0.2">
      <c r="A957" s="9"/>
      <c r="B957" s="8"/>
      <c r="C957" s="10" t="str">
        <f>IFERROR(INDEX(Reference!$B$29:$B$200,MATCH(B957,Reference!$A$29:$A$200,0)),"")</f>
        <v/>
      </c>
      <c r="D957" s="13"/>
      <c r="E957" s="10" t="str">
        <f t="shared" si="14"/>
        <v/>
      </c>
      <c r="F957" s="8"/>
    </row>
    <row r="958" spans="1:6" ht="15" customHeight="1" x14ac:dyDescent="0.2">
      <c r="A958" s="9"/>
      <c r="B958" s="8"/>
      <c r="C958" s="10" t="str">
        <f>IFERROR(INDEX(Reference!$B$29:$B$200,MATCH(B958,Reference!$A$29:$A$200,0)),"")</f>
        <v/>
      </c>
      <c r="D958" s="13"/>
      <c r="E958" s="10" t="str">
        <f t="shared" si="14"/>
        <v/>
      </c>
      <c r="F958" s="8"/>
    </row>
    <row r="959" spans="1:6" ht="15" customHeight="1" x14ac:dyDescent="0.2">
      <c r="A959" s="9"/>
      <c r="B959" s="8"/>
      <c r="C959" s="10" t="str">
        <f>IFERROR(INDEX(Reference!$B$29:$B$200,MATCH(B959,Reference!$A$29:$A$200,0)),"")</f>
        <v/>
      </c>
      <c r="D959" s="13"/>
      <c r="E959" s="10" t="str">
        <f t="shared" si="14"/>
        <v/>
      </c>
      <c r="F959" s="8"/>
    </row>
    <row r="960" spans="1:6" ht="15" customHeight="1" x14ac:dyDescent="0.2">
      <c r="A960" s="9"/>
      <c r="B960" s="8"/>
      <c r="C960" s="10" t="str">
        <f>IFERROR(INDEX(Reference!$B$29:$B$200,MATCH(B960,Reference!$A$29:$A$200,0)),"")</f>
        <v/>
      </c>
      <c r="D960" s="13"/>
      <c r="E960" s="10" t="str">
        <f t="shared" si="14"/>
        <v/>
      </c>
      <c r="F960" s="8"/>
    </row>
    <row r="961" spans="1:6" ht="15" customHeight="1" x14ac:dyDescent="0.2">
      <c r="A961" s="9"/>
      <c r="B961" s="8"/>
      <c r="C961" s="10" t="str">
        <f>IFERROR(INDEX(Reference!$B$29:$B$200,MATCH(B961,Reference!$A$29:$A$200,0)),"")</f>
        <v/>
      </c>
      <c r="D961" s="13"/>
      <c r="E961" s="10" t="str">
        <f t="shared" si="14"/>
        <v/>
      </c>
      <c r="F961" s="8"/>
    </row>
    <row r="962" spans="1:6" ht="15" customHeight="1" x14ac:dyDescent="0.2">
      <c r="A962" s="9"/>
      <c r="B962" s="8"/>
      <c r="C962" s="10" t="str">
        <f>IFERROR(INDEX(Reference!$B$29:$B$200,MATCH(B962,Reference!$A$29:$A$200,0)),"")</f>
        <v/>
      </c>
      <c r="D962" s="13"/>
      <c r="E962" s="10" t="str">
        <f t="shared" ref="E962:E1025" si="15">IF(A962="","",IF(MONTH(A962)&gt;=8,YEAR(A962)&amp;"-"&amp;RIGHT(YEAR(A962)+1,2),YEAR(A962)-1&amp;"-"&amp;RIGHT(YEAR(A962),2)))</f>
        <v/>
      </c>
      <c r="F962" s="8"/>
    </row>
    <row r="963" spans="1:6" ht="15" customHeight="1" x14ac:dyDescent="0.2">
      <c r="A963" s="9"/>
      <c r="B963" s="8"/>
      <c r="C963" s="10" t="str">
        <f>IFERROR(INDEX(Reference!$B$29:$B$200,MATCH(B963,Reference!$A$29:$A$200,0)),"")</f>
        <v/>
      </c>
      <c r="D963" s="13"/>
      <c r="E963" s="10" t="str">
        <f t="shared" si="15"/>
        <v/>
      </c>
      <c r="F963" s="8"/>
    </row>
    <row r="964" spans="1:6" ht="15" customHeight="1" x14ac:dyDescent="0.2">
      <c r="A964" s="9"/>
      <c r="B964" s="8"/>
      <c r="C964" s="10" t="str">
        <f>IFERROR(INDEX(Reference!$B$29:$B$200,MATCH(B964,Reference!$A$29:$A$200,0)),"")</f>
        <v/>
      </c>
      <c r="D964" s="13"/>
      <c r="E964" s="10" t="str">
        <f t="shared" si="15"/>
        <v/>
      </c>
      <c r="F964" s="8"/>
    </row>
    <row r="965" spans="1:6" ht="15" customHeight="1" x14ac:dyDescent="0.2">
      <c r="A965" s="9"/>
      <c r="B965" s="8"/>
      <c r="C965" s="10" t="str">
        <f>IFERROR(INDEX(Reference!$B$29:$B$200,MATCH(B965,Reference!$A$29:$A$200,0)),"")</f>
        <v/>
      </c>
      <c r="D965" s="13"/>
      <c r="E965" s="10" t="str">
        <f t="shared" si="15"/>
        <v/>
      </c>
      <c r="F965" s="8"/>
    </row>
    <row r="966" spans="1:6" ht="15" customHeight="1" x14ac:dyDescent="0.2">
      <c r="A966" s="9"/>
      <c r="B966" s="8"/>
      <c r="C966" s="10" t="str">
        <f>IFERROR(INDEX(Reference!$B$29:$B$200,MATCH(B966,Reference!$A$29:$A$200,0)),"")</f>
        <v/>
      </c>
      <c r="D966" s="13"/>
      <c r="E966" s="10" t="str">
        <f t="shared" si="15"/>
        <v/>
      </c>
      <c r="F966" s="8"/>
    </row>
    <row r="967" spans="1:6" ht="15" customHeight="1" x14ac:dyDescent="0.2">
      <c r="A967" s="9"/>
      <c r="B967" s="8"/>
      <c r="C967" s="10" t="str">
        <f>IFERROR(INDEX(Reference!$B$29:$B$200,MATCH(B967,Reference!$A$29:$A$200,0)),"")</f>
        <v/>
      </c>
      <c r="D967" s="13"/>
      <c r="E967" s="10" t="str">
        <f t="shared" si="15"/>
        <v/>
      </c>
      <c r="F967" s="8"/>
    </row>
    <row r="968" spans="1:6" ht="15" customHeight="1" x14ac:dyDescent="0.2">
      <c r="A968" s="9"/>
      <c r="B968" s="8"/>
      <c r="C968" s="10" t="str">
        <f>IFERROR(INDEX(Reference!$B$29:$B$200,MATCH(B968,Reference!$A$29:$A$200,0)),"")</f>
        <v/>
      </c>
      <c r="D968" s="13"/>
      <c r="E968" s="10" t="str">
        <f t="shared" si="15"/>
        <v/>
      </c>
      <c r="F968" s="8"/>
    </row>
    <row r="969" spans="1:6" ht="15" customHeight="1" x14ac:dyDescent="0.2">
      <c r="A969" s="9"/>
      <c r="B969" s="8"/>
      <c r="C969" s="10" t="str">
        <f>IFERROR(INDEX(Reference!$B$29:$B$200,MATCH(B969,Reference!$A$29:$A$200,0)),"")</f>
        <v/>
      </c>
      <c r="D969" s="13"/>
      <c r="E969" s="10" t="str">
        <f t="shared" si="15"/>
        <v/>
      </c>
      <c r="F969" s="8"/>
    </row>
    <row r="970" spans="1:6" ht="15" customHeight="1" x14ac:dyDescent="0.2">
      <c r="A970" s="9"/>
      <c r="B970" s="8"/>
      <c r="C970" s="10" t="str">
        <f>IFERROR(INDEX(Reference!$B$29:$B$200,MATCH(B970,Reference!$A$29:$A$200,0)),"")</f>
        <v/>
      </c>
      <c r="D970" s="13"/>
      <c r="E970" s="10" t="str">
        <f t="shared" si="15"/>
        <v/>
      </c>
      <c r="F970" s="8"/>
    </row>
    <row r="971" spans="1:6" ht="15" customHeight="1" x14ac:dyDescent="0.2">
      <c r="A971" s="9"/>
      <c r="B971" s="8"/>
      <c r="C971" s="10" t="str">
        <f>IFERROR(INDEX(Reference!$B$29:$B$200,MATCH(B971,Reference!$A$29:$A$200,0)),"")</f>
        <v/>
      </c>
      <c r="D971" s="13"/>
      <c r="E971" s="10" t="str">
        <f t="shared" si="15"/>
        <v/>
      </c>
      <c r="F971" s="8"/>
    </row>
    <row r="972" spans="1:6" ht="15" customHeight="1" x14ac:dyDescent="0.2">
      <c r="A972" s="9"/>
      <c r="B972" s="8"/>
      <c r="C972" s="10" t="str">
        <f>IFERROR(INDEX(Reference!$B$29:$B$200,MATCH(B972,Reference!$A$29:$A$200,0)),"")</f>
        <v/>
      </c>
      <c r="D972" s="13"/>
      <c r="E972" s="10" t="str">
        <f t="shared" si="15"/>
        <v/>
      </c>
      <c r="F972" s="8"/>
    </row>
    <row r="973" spans="1:6" ht="15" customHeight="1" x14ac:dyDescent="0.2">
      <c r="A973" s="9"/>
      <c r="B973" s="8"/>
      <c r="C973" s="10" t="str">
        <f>IFERROR(INDEX(Reference!$B$29:$B$200,MATCH(B973,Reference!$A$29:$A$200,0)),"")</f>
        <v/>
      </c>
      <c r="D973" s="13"/>
      <c r="E973" s="10" t="str">
        <f t="shared" si="15"/>
        <v/>
      </c>
      <c r="F973" s="8"/>
    </row>
    <row r="974" spans="1:6" ht="15" customHeight="1" x14ac:dyDescent="0.2">
      <c r="A974" s="9"/>
      <c r="B974" s="8"/>
      <c r="C974" s="10" t="str">
        <f>IFERROR(INDEX(Reference!$B$29:$B$200,MATCH(B974,Reference!$A$29:$A$200,0)),"")</f>
        <v/>
      </c>
      <c r="D974" s="13"/>
      <c r="E974" s="10" t="str">
        <f t="shared" si="15"/>
        <v/>
      </c>
      <c r="F974" s="8"/>
    </row>
    <row r="975" spans="1:6" ht="15" customHeight="1" x14ac:dyDescent="0.2">
      <c r="A975" s="9"/>
      <c r="B975" s="8"/>
      <c r="C975" s="10" t="str">
        <f>IFERROR(INDEX(Reference!$B$29:$B$200,MATCH(B975,Reference!$A$29:$A$200,0)),"")</f>
        <v/>
      </c>
      <c r="D975" s="13"/>
      <c r="E975" s="10" t="str">
        <f t="shared" si="15"/>
        <v/>
      </c>
      <c r="F975" s="8"/>
    </row>
    <row r="976" spans="1:6" ht="15" customHeight="1" x14ac:dyDescent="0.2">
      <c r="A976" s="9"/>
      <c r="B976" s="8"/>
      <c r="C976" s="10" t="str">
        <f>IFERROR(INDEX(Reference!$B$29:$B$200,MATCH(B976,Reference!$A$29:$A$200,0)),"")</f>
        <v/>
      </c>
      <c r="D976" s="13"/>
      <c r="E976" s="10" t="str">
        <f t="shared" si="15"/>
        <v/>
      </c>
      <c r="F976" s="8"/>
    </row>
    <row r="977" spans="1:6" ht="15" customHeight="1" x14ac:dyDescent="0.2">
      <c r="A977" s="9"/>
      <c r="B977" s="8"/>
      <c r="C977" s="10" t="str">
        <f>IFERROR(INDEX(Reference!$B$29:$B$200,MATCH(B977,Reference!$A$29:$A$200,0)),"")</f>
        <v/>
      </c>
      <c r="D977" s="13"/>
      <c r="E977" s="10" t="str">
        <f t="shared" si="15"/>
        <v/>
      </c>
      <c r="F977" s="8"/>
    </row>
    <row r="978" spans="1:6" ht="15" customHeight="1" x14ac:dyDescent="0.2">
      <c r="A978" s="9"/>
      <c r="B978" s="8"/>
      <c r="C978" s="10" t="str">
        <f>IFERROR(INDEX(Reference!$B$29:$B$200,MATCH(B978,Reference!$A$29:$A$200,0)),"")</f>
        <v/>
      </c>
      <c r="D978" s="13"/>
      <c r="E978" s="10" t="str">
        <f t="shared" si="15"/>
        <v/>
      </c>
      <c r="F978" s="8"/>
    </row>
    <row r="979" spans="1:6" ht="15" customHeight="1" x14ac:dyDescent="0.2">
      <c r="A979" s="9"/>
      <c r="B979" s="8"/>
      <c r="C979" s="10" t="str">
        <f>IFERROR(INDEX(Reference!$B$29:$B$200,MATCH(B979,Reference!$A$29:$A$200,0)),"")</f>
        <v/>
      </c>
      <c r="D979" s="13"/>
      <c r="E979" s="10" t="str">
        <f t="shared" si="15"/>
        <v/>
      </c>
      <c r="F979" s="8"/>
    </row>
    <row r="980" spans="1:6" ht="15" customHeight="1" x14ac:dyDescent="0.2">
      <c r="A980" s="9"/>
      <c r="B980" s="8"/>
      <c r="C980" s="10" t="str">
        <f>IFERROR(INDEX(Reference!$B$29:$B$200,MATCH(B980,Reference!$A$29:$A$200,0)),"")</f>
        <v/>
      </c>
      <c r="D980" s="13"/>
      <c r="E980" s="10" t="str">
        <f t="shared" si="15"/>
        <v/>
      </c>
      <c r="F980" s="8"/>
    </row>
    <row r="981" spans="1:6" ht="15" customHeight="1" x14ac:dyDescent="0.2">
      <c r="A981" s="9"/>
      <c r="B981" s="8"/>
      <c r="C981" s="10" t="str">
        <f>IFERROR(INDEX(Reference!$B$29:$B$200,MATCH(B981,Reference!$A$29:$A$200,0)),"")</f>
        <v/>
      </c>
      <c r="D981" s="13"/>
      <c r="E981" s="10" t="str">
        <f t="shared" si="15"/>
        <v/>
      </c>
      <c r="F981" s="8"/>
    </row>
    <row r="982" spans="1:6" ht="15" customHeight="1" x14ac:dyDescent="0.2">
      <c r="A982" s="9"/>
      <c r="B982" s="8"/>
      <c r="C982" s="10" t="str">
        <f>IFERROR(INDEX(Reference!$B$29:$B$200,MATCH(B982,Reference!$A$29:$A$200,0)),"")</f>
        <v/>
      </c>
      <c r="D982" s="13"/>
      <c r="E982" s="10" t="str">
        <f t="shared" si="15"/>
        <v/>
      </c>
      <c r="F982" s="8"/>
    </row>
    <row r="983" spans="1:6" ht="15" customHeight="1" x14ac:dyDescent="0.2">
      <c r="A983" s="9"/>
      <c r="B983" s="8"/>
      <c r="C983" s="10" t="str">
        <f>IFERROR(INDEX(Reference!$B$29:$B$200,MATCH(B983,Reference!$A$29:$A$200,0)),"")</f>
        <v/>
      </c>
      <c r="D983" s="13"/>
      <c r="E983" s="10" t="str">
        <f t="shared" si="15"/>
        <v/>
      </c>
      <c r="F983" s="8"/>
    </row>
    <row r="984" spans="1:6" ht="15" customHeight="1" x14ac:dyDescent="0.2">
      <c r="A984" s="9"/>
      <c r="B984" s="8"/>
      <c r="C984" s="10" t="str">
        <f>IFERROR(INDEX(Reference!$B$29:$B$200,MATCH(B984,Reference!$A$29:$A$200,0)),"")</f>
        <v/>
      </c>
      <c r="D984" s="13"/>
      <c r="E984" s="10" t="str">
        <f t="shared" si="15"/>
        <v/>
      </c>
      <c r="F984" s="8"/>
    </row>
    <row r="985" spans="1:6" ht="15" customHeight="1" x14ac:dyDescent="0.2">
      <c r="A985" s="9"/>
      <c r="B985" s="8"/>
      <c r="C985" s="10" t="str">
        <f>IFERROR(INDEX(Reference!$B$29:$B$200,MATCH(B985,Reference!$A$29:$A$200,0)),"")</f>
        <v/>
      </c>
      <c r="D985" s="13"/>
      <c r="E985" s="10" t="str">
        <f t="shared" si="15"/>
        <v/>
      </c>
      <c r="F985" s="8"/>
    </row>
    <row r="986" spans="1:6" ht="15" customHeight="1" x14ac:dyDescent="0.2">
      <c r="A986" s="9"/>
      <c r="B986" s="8"/>
      <c r="C986" s="10" t="str">
        <f>IFERROR(INDEX(Reference!$B$29:$B$200,MATCH(B986,Reference!$A$29:$A$200,0)),"")</f>
        <v/>
      </c>
      <c r="D986" s="13"/>
      <c r="E986" s="10" t="str">
        <f t="shared" si="15"/>
        <v/>
      </c>
      <c r="F986" s="8"/>
    </row>
    <row r="987" spans="1:6" ht="15" customHeight="1" x14ac:dyDescent="0.2">
      <c r="A987" s="9"/>
      <c r="B987" s="8"/>
      <c r="C987" s="10" t="str">
        <f>IFERROR(INDEX(Reference!$B$29:$B$200,MATCH(B987,Reference!$A$29:$A$200,0)),"")</f>
        <v/>
      </c>
      <c r="D987" s="13"/>
      <c r="E987" s="10" t="str">
        <f t="shared" si="15"/>
        <v/>
      </c>
      <c r="F987" s="8"/>
    </row>
    <row r="988" spans="1:6" ht="15" customHeight="1" x14ac:dyDescent="0.2">
      <c r="A988" s="9"/>
      <c r="B988" s="8"/>
      <c r="C988" s="10" t="str">
        <f>IFERROR(INDEX(Reference!$B$29:$B$200,MATCH(B988,Reference!$A$29:$A$200,0)),"")</f>
        <v/>
      </c>
      <c r="D988" s="13"/>
      <c r="E988" s="10" t="str">
        <f t="shared" si="15"/>
        <v/>
      </c>
      <c r="F988" s="8"/>
    </row>
    <row r="989" spans="1:6" ht="15" customHeight="1" x14ac:dyDescent="0.2">
      <c r="A989" s="9"/>
      <c r="B989" s="8"/>
      <c r="C989" s="10" t="str">
        <f>IFERROR(INDEX(Reference!$B$29:$B$200,MATCH(B989,Reference!$A$29:$A$200,0)),"")</f>
        <v/>
      </c>
      <c r="D989" s="13"/>
      <c r="E989" s="10" t="str">
        <f t="shared" si="15"/>
        <v/>
      </c>
      <c r="F989" s="8"/>
    </row>
    <row r="990" spans="1:6" ht="15" customHeight="1" x14ac:dyDescent="0.2">
      <c r="A990" s="9"/>
      <c r="B990" s="8"/>
      <c r="C990" s="10" t="str">
        <f>IFERROR(INDEX(Reference!$B$29:$B$200,MATCH(B990,Reference!$A$29:$A$200,0)),"")</f>
        <v/>
      </c>
      <c r="D990" s="13"/>
      <c r="E990" s="10" t="str">
        <f t="shared" si="15"/>
        <v/>
      </c>
      <c r="F990" s="8"/>
    </row>
    <row r="991" spans="1:6" ht="15" customHeight="1" x14ac:dyDescent="0.2">
      <c r="A991" s="9"/>
      <c r="B991" s="8"/>
      <c r="C991" s="10" t="str">
        <f>IFERROR(INDEX(Reference!$B$29:$B$200,MATCH(B991,Reference!$A$29:$A$200,0)),"")</f>
        <v/>
      </c>
      <c r="D991" s="13"/>
      <c r="E991" s="10" t="str">
        <f t="shared" si="15"/>
        <v/>
      </c>
      <c r="F991" s="8"/>
    </row>
    <row r="992" spans="1:6" ht="15" customHeight="1" x14ac:dyDescent="0.2">
      <c r="A992" s="9"/>
      <c r="B992" s="8"/>
      <c r="C992" s="10" t="str">
        <f>IFERROR(INDEX(Reference!$B$29:$B$200,MATCH(B992,Reference!$A$29:$A$200,0)),"")</f>
        <v/>
      </c>
      <c r="D992" s="13"/>
      <c r="E992" s="10" t="str">
        <f t="shared" si="15"/>
        <v/>
      </c>
      <c r="F992" s="8"/>
    </row>
    <row r="993" spans="1:6" ht="15" customHeight="1" x14ac:dyDescent="0.2">
      <c r="A993" s="9"/>
      <c r="B993" s="8"/>
      <c r="C993" s="10" t="str">
        <f>IFERROR(INDEX(Reference!$B$29:$B$200,MATCH(B993,Reference!$A$29:$A$200,0)),"")</f>
        <v/>
      </c>
      <c r="D993" s="13"/>
      <c r="E993" s="10" t="str">
        <f t="shared" si="15"/>
        <v/>
      </c>
      <c r="F993" s="8"/>
    </row>
    <row r="994" spans="1:6" ht="15" customHeight="1" x14ac:dyDescent="0.2">
      <c r="A994" s="9"/>
      <c r="B994" s="8"/>
      <c r="C994" s="10" t="str">
        <f>IFERROR(INDEX(Reference!$B$29:$B$200,MATCH(B994,Reference!$A$29:$A$200,0)),"")</f>
        <v/>
      </c>
      <c r="D994" s="13"/>
      <c r="E994" s="10" t="str">
        <f t="shared" si="15"/>
        <v/>
      </c>
      <c r="F994" s="8"/>
    </row>
    <row r="995" spans="1:6" ht="15" customHeight="1" x14ac:dyDescent="0.2">
      <c r="A995" s="9"/>
      <c r="B995" s="8"/>
      <c r="C995" s="10" t="str">
        <f>IFERROR(INDEX(Reference!$B$29:$B$200,MATCH(B995,Reference!$A$29:$A$200,0)),"")</f>
        <v/>
      </c>
      <c r="D995" s="13"/>
      <c r="E995" s="10" t="str">
        <f t="shared" si="15"/>
        <v/>
      </c>
      <c r="F995" s="8"/>
    </row>
    <row r="996" spans="1:6" ht="15" customHeight="1" x14ac:dyDescent="0.2">
      <c r="A996" s="9"/>
      <c r="B996" s="8"/>
      <c r="C996" s="10" t="str">
        <f>IFERROR(INDEX(Reference!$B$29:$B$200,MATCH(B996,Reference!$A$29:$A$200,0)),"")</f>
        <v/>
      </c>
      <c r="D996" s="13"/>
      <c r="E996" s="10" t="str">
        <f t="shared" si="15"/>
        <v/>
      </c>
      <c r="F996" s="8"/>
    </row>
    <row r="997" spans="1:6" ht="15" customHeight="1" x14ac:dyDescent="0.2">
      <c r="A997" s="9"/>
      <c r="B997" s="8"/>
      <c r="C997" s="10" t="str">
        <f>IFERROR(INDEX(Reference!$B$29:$B$200,MATCH(B997,Reference!$A$29:$A$200,0)),"")</f>
        <v/>
      </c>
      <c r="D997" s="13"/>
      <c r="E997" s="10" t="str">
        <f t="shared" si="15"/>
        <v/>
      </c>
      <c r="F997" s="8"/>
    </row>
    <row r="998" spans="1:6" ht="15" customHeight="1" x14ac:dyDescent="0.2">
      <c r="A998" s="9"/>
      <c r="B998" s="8"/>
      <c r="C998" s="10" t="str">
        <f>IFERROR(INDEX(Reference!$B$29:$B$200,MATCH(B998,Reference!$A$29:$A$200,0)),"")</f>
        <v/>
      </c>
      <c r="D998" s="13"/>
      <c r="E998" s="10" t="str">
        <f t="shared" si="15"/>
        <v/>
      </c>
      <c r="F998" s="8"/>
    </row>
    <row r="999" spans="1:6" ht="15" customHeight="1" x14ac:dyDescent="0.2">
      <c r="A999" s="9"/>
      <c r="B999" s="8"/>
      <c r="C999" s="10" t="str">
        <f>IFERROR(INDEX(Reference!$B$29:$B$200,MATCH(B999,Reference!$A$29:$A$200,0)),"")</f>
        <v/>
      </c>
      <c r="D999" s="13"/>
      <c r="E999" s="10" t="str">
        <f t="shared" si="15"/>
        <v/>
      </c>
      <c r="F999" s="8"/>
    </row>
    <row r="1000" spans="1:6" ht="15" customHeight="1" x14ac:dyDescent="0.2">
      <c r="A1000" s="9"/>
      <c r="B1000" s="8"/>
      <c r="C1000" s="10" t="str">
        <f>IFERROR(INDEX(Reference!$B$29:$B$200,MATCH(B1000,Reference!$A$29:$A$200,0)),"")</f>
        <v/>
      </c>
      <c r="D1000" s="13"/>
      <c r="E1000" s="10" t="str">
        <f t="shared" si="15"/>
        <v/>
      </c>
      <c r="F1000" s="8"/>
    </row>
    <row r="1001" spans="1:6" ht="15" customHeight="1" x14ac:dyDescent="0.2">
      <c r="A1001" s="9"/>
      <c r="B1001" s="8"/>
      <c r="C1001" s="10" t="str">
        <f>IFERROR(INDEX(Reference!$B$29:$B$200,MATCH(B1001,Reference!$A$29:$A$200,0)),"")</f>
        <v/>
      </c>
      <c r="D1001" s="13"/>
      <c r="E1001" s="10" t="str">
        <f t="shared" si="15"/>
        <v/>
      </c>
      <c r="F1001" s="8"/>
    </row>
    <row r="1002" spans="1:6" ht="15" customHeight="1" x14ac:dyDescent="0.2">
      <c r="A1002" s="9"/>
      <c r="B1002" s="8"/>
      <c r="C1002" s="10" t="str">
        <f>IFERROR(INDEX(Reference!$B$29:$B$200,MATCH(B1002,Reference!$A$29:$A$200,0)),"")</f>
        <v/>
      </c>
      <c r="D1002" s="13"/>
      <c r="E1002" s="10" t="str">
        <f t="shared" si="15"/>
        <v/>
      </c>
      <c r="F1002" s="8"/>
    </row>
    <row r="1003" spans="1:6" ht="15" customHeight="1" x14ac:dyDescent="0.2">
      <c r="A1003" s="9"/>
      <c r="B1003" s="8"/>
      <c r="C1003" s="10" t="str">
        <f>IFERROR(INDEX(Reference!$B$29:$B$200,MATCH(B1003,Reference!$A$29:$A$200,0)),"")</f>
        <v/>
      </c>
      <c r="D1003" s="13"/>
      <c r="E1003" s="10" t="str">
        <f t="shared" si="15"/>
        <v/>
      </c>
      <c r="F1003" s="8"/>
    </row>
    <row r="1004" spans="1:6" ht="15" customHeight="1" x14ac:dyDescent="0.2">
      <c r="A1004" s="9"/>
      <c r="B1004" s="8"/>
      <c r="C1004" s="10" t="str">
        <f>IFERROR(INDEX(Reference!$B$29:$B$200,MATCH(B1004,Reference!$A$29:$A$200,0)),"")</f>
        <v/>
      </c>
      <c r="D1004" s="13"/>
      <c r="E1004" s="10" t="str">
        <f t="shared" si="15"/>
        <v/>
      </c>
      <c r="F1004" s="8"/>
    </row>
    <row r="1005" spans="1:6" ht="15" customHeight="1" x14ac:dyDescent="0.2">
      <c r="A1005" s="9"/>
      <c r="B1005" s="8"/>
      <c r="C1005" s="10" t="str">
        <f>IFERROR(INDEX(Reference!$B$29:$B$200,MATCH(B1005,Reference!$A$29:$A$200,0)),"")</f>
        <v/>
      </c>
      <c r="D1005" s="13"/>
      <c r="E1005" s="10" t="str">
        <f t="shared" si="15"/>
        <v/>
      </c>
      <c r="F1005" s="8"/>
    </row>
    <row r="1006" spans="1:6" ht="15" customHeight="1" x14ac:dyDescent="0.2">
      <c r="A1006" s="9"/>
      <c r="B1006" s="8"/>
      <c r="C1006" s="10" t="str">
        <f>IFERROR(INDEX(Reference!$B$29:$B$200,MATCH(B1006,Reference!$A$29:$A$200,0)),"")</f>
        <v/>
      </c>
      <c r="D1006" s="13"/>
      <c r="E1006" s="10" t="str">
        <f t="shared" si="15"/>
        <v/>
      </c>
      <c r="F1006" s="8"/>
    </row>
    <row r="1007" spans="1:6" ht="15" customHeight="1" x14ac:dyDescent="0.2">
      <c r="A1007" s="9"/>
      <c r="B1007" s="8"/>
      <c r="C1007" s="10" t="str">
        <f>IFERROR(INDEX(Reference!$B$29:$B$200,MATCH(B1007,Reference!$A$29:$A$200,0)),"")</f>
        <v/>
      </c>
      <c r="D1007" s="13"/>
      <c r="E1007" s="10" t="str">
        <f t="shared" si="15"/>
        <v/>
      </c>
      <c r="F1007" s="8"/>
    </row>
    <row r="1008" spans="1:6" ht="15" customHeight="1" x14ac:dyDescent="0.2">
      <c r="A1008" s="9"/>
      <c r="B1008" s="8"/>
      <c r="C1008" s="10" t="str">
        <f>IFERROR(INDEX(Reference!$B$29:$B$200,MATCH(B1008,Reference!$A$29:$A$200,0)),"")</f>
        <v/>
      </c>
      <c r="D1008" s="13"/>
      <c r="E1008" s="10" t="str">
        <f t="shared" si="15"/>
        <v/>
      </c>
      <c r="F1008" s="8"/>
    </row>
    <row r="1009" spans="1:6" ht="15" customHeight="1" x14ac:dyDescent="0.2">
      <c r="A1009" s="9"/>
      <c r="B1009" s="8"/>
      <c r="C1009" s="10" t="str">
        <f>IFERROR(INDEX(Reference!$B$29:$B$200,MATCH(B1009,Reference!$A$29:$A$200,0)),"")</f>
        <v/>
      </c>
      <c r="D1009" s="13"/>
      <c r="E1009" s="10" t="str">
        <f t="shared" si="15"/>
        <v/>
      </c>
      <c r="F1009" s="8"/>
    </row>
    <row r="1010" spans="1:6" ht="15" customHeight="1" x14ac:dyDescent="0.2">
      <c r="A1010" s="9"/>
      <c r="B1010" s="8"/>
      <c r="C1010" s="10" t="str">
        <f>IFERROR(INDEX(Reference!$B$29:$B$200,MATCH(B1010,Reference!$A$29:$A$200,0)),"")</f>
        <v/>
      </c>
      <c r="D1010" s="13"/>
      <c r="E1010" s="10" t="str">
        <f t="shared" si="15"/>
        <v/>
      </c>
      <c r="F1010" s="8"/>
    </row>
    <row r="1011" spans="1:6" ht="15" customHeight="1" x14ac:dyDescent="0.2">
      <c r="A1011" s="9"/>
      <c r="B1011" s="8"/>
      <c r="C1011" s="10" t="str">
        <f>IFERROR(INDEX(Reference!$B$29:$B$200,MATCH(B1011,Reference!$A$29:$A$200,0)),"")</f>
        <v/>
      </c>
      <c r="D1011" s="13"/>
      <c r="E1011" s="10" t="str">
        <f t="shared" si="15"/>
        <v/>
      </c>
      <c r="F1011" s="8"/>
    </row>
    <row r="1012" spans="1:6" ht="15" customHeight="1" x14ac:dyDescent="0.2">
      <c r="A1012" s="9"/>
      <c r="B1012" s="8"/>
      <c r="C1012" s="10" t="str">
        <f>IFERROR(INDEX(Reference!$B$29:$B$200,MATCH(B1012,Reference!$A$29:$A$200,0)),"")</f>
        <v/>
      </c>
      <c r="D1012" s="13"/>
      <c r="E1012" s="10" t="str">
        <f t="shared" si="15"/>
        <v/>
      </c>
      <c r="F1012" s="8"/>
    </row>
    <row r="1013" spans="1:6" ht="15" customHeight="1" x14ac:dyDescent="0.2">
      <c r="A1013" s="9"/>
      <c r="B1013" s="8"/>
      <c r="C1013" s="10" t="str">
        <f>IFERROR(INDEX(Reference!$B$29:$B$200,MATCH(B1013,Reference!$A$29:$A$200,0)),"")</f>
        <v/>
      </c>
      <c r="D1013" s="13"/>
      <c r="E1013" s="10" t="str">
        <f t="shared" si="15"/>
        <v/>
      </c>
      <c r="F1013" s="8"/>
    </row>
    <row r="1014" spans="1:6" ht="15" customHeight="1" x14ac:dyDescent="0.2">
      <c r="A1014" s="9"/>
      <c r="B1014" s="8"/>
      <c r="C1014" s="10" t="str">
        <f>IFERROR(INDEX(Reference!$B$29:$B$200,MATCH(B1014,Reference!$A$29:$A$200,0)),"")</f>
        <v/>
      </c>
      <c r="D1014" s="13"/>
      <c r="E1014" s="10" t="str">
        <f t="shared" si="15"/>
        <v/>
      </c>
      <c r="F1014" s="8"/>
    </row>
    <row r="1015" spans="1:6" ht="15" customHeight="1" x14ac:dyDescent="0.2">
      <c r="A1015" s="9"/>
      <c r="B1015" s="8"/>
      <c r="C1015" s="10" t="str">
        <f>IFERROR(INDEX(Reference!$B$29:$B$200,MATCH(B1015,Reference!$A$29:$A$200,0)),"")</f>
        <v/>
      </c>
      <c r="D1015" s="13"/>
      <c r="E1015" s="10" t="str">
        <f t="shared" si="15"/>
        <v/>
      </c>
      <c r="F1015" s="8"/>
    </row>
    <row r="1016" spans="1:6" ht="15" customHeight="1" x14ac:dyDescent="0.2">
      <c r="A1016" s="9"/>
      <c r="B1016" s="8"/>
      <c r="C1016" s="10" t="str">
        <f>IFERROR(INDEX(Reference!$B$29:$B$200,MATCH(B1016,Reference!$A$29:$A$200,0)),"")</f>
        <v/>
      </c>
      <c r="D1016" s="13"/>
      <c r="E1016" s="10" t="str">
        <f t="shared" si="15"/>
        <v/>
      </c>
      <c r="F1016" s="8"/>
    </row>
    <row r="1017" spans="1:6" ht="15" customHeight="1" x14ac:dyDescent="0.2">
      <c r="A1017" s="9"/>
      <c r="B1017" s="8"/>
      <c r="C1017" s="10" t="str">
        <f>IFERROR(INDEX(Reference!$B$29:$B$200,MATCH(B1017,Reference!$A$29:$A$200,0)),"")</f>
        <v/>
      </c>
      <c r="D1017" s="13"/>
      <c r="E1017" s="10" t="str">
        <f t="shared" si="15"/>
        <v/>
      </c>
      <c r="F1017" s="8"/>
    </row>
    <row r="1018" spans="1:6" ht="15" customHeight="1" x14ac:dyDescent="0.2">
      <c r="A1018" s="9"/>
      <c r="B1018" s="8"/>
      <c r="C1018" s="10" t="str">
        <f>IFERROR(INDEX(Reference!$B$29:$B$200,MATCH(B1018,Reference!$A$29:$A$200,0)),"")</f>
        <v/>
      </c>
      <c r="D1018" s="13"/>
      <c r="E1018" s="10" t="str">
        <f t="shared" si="15"/>
        <v/>
      </c>
      <c r="F1018" s="8"/>
    </row>
    <row r="1019" spans="1:6" ht="15" customHeight="1" x14ac:dyDescent="0.2">
      <c r="A1019" s="9"/>
      <c r="B1019" s="8"/>
      <c r="C1019" s="10" t="str">
        <f>IFERROR(INDEX(Reference!$B$29:$B$200,MATCH(B1019,Reference!$A$29:$A$200,0)),"")</f>
        <v/>
      </c>
      <c r="D1019" s="13"/>
      <c r="E1019" s="10" t="str">
        <f t="shared" si="15"/>
        <v/>
      </c>
      <c r="F1019" s="8"/>
    </row>
    <row r="1020" spans="1:6" ht="15" customHeight="1" x14ac:dyDescent="0.2">
      <c r="A1020" s="9"/>
      <c r="B1020" s="8"/>
      <c r="C1020" s="10" t="str">
        <f>IFERROR(INDEX(Reference!$B$29:$B$200,MATCH(B1020,Reference!$A$29:$A$200,0)),"")</f>
        <v/>
      </c>
      <c r="D1020" s="13"/>
      <c r="E1020" s="10" t="str">
        <f t="shared" si="15"/>
        <v/>
      </c>
      <c r="F1020" s="8"/>
    </row>
    <row r="1021" spans="1:6" ht="15" customHeight="1" x14ac:dyDescent="0.2">
      <c r="A1021" s="9"/>
      <c r="B1021" s="8"/>
      <c r="C1021" s="10" t="str">
        <f>IFERROR(INDEX(Reference!$B$29:$B$200,MATCH(B1021,Reference!$A$29:$A$200,0)),"")</f>
        <v/>
      </c>
      <c r="D1021" s="13"/>
      <c r="E1021" s="10" t="str">
        <f t="shared" si="15"/>
        <v/>
      </c>
      <c r="F1021" s="8"/>
    </row>
    <row r="1022" spans="1:6" ht="15" customHeight="1" x14ac:dyDescent="0.2">
      <c r="A1022" s="9"/>
      <c r="B1022" s="8"/>
      <c r="C1022" s="10" t="str">
        <f>IFERROR(INDEX(Reference!$B$29:$B$200,MATCH(B1022,Reference!$A$29:$A$200,0)),"")</f>
        <v/>
      </c>
      <c r="D1022" s="13"/>
      <c r="E1022" s="10" t="str">
        <f t="shared" si="15"/>
        <v/>
      </c>
      <c r="F1022" s="8"/>
    </row>
    <row r="1023" spans="1:6" ht="15" customHeight="1" x14ac:dyDescent="0.2">
      <c r="A1023" s="9"/>
      <c r="B1023" s="8"/>
      <c r="C1023" s="10" t="str">
        <f>IFERROR(INDEX(Reference!$B$29:$B$200,MATCH(B1023,Reference!$A$29:$A$200,0)),"")</f>
        <v/>
      </c>
      <c r="D1023" s="13"/>
      <c r="E1023" s="10" t="str">
        <f t="shared" si="15"/>
        <v/>
      </c>
      <c r="F1023" s="8"/>
    </row>
    <row r="1024" spans="1:6" ht="15" customHeight="1" x14ac:dyDescent="0.2">
      <c r="A1024" s="9"/>
      <c r="B1024" s="8"/>
      <c r="C1024" s="10" t="str">
        <f>IFERROR(INDEX(Reference!$B$29:$B$200,MATCH(B1024,Reference!$A$29:$A$200,0)),"")</f>
        <v/>
      </c>
      <c r="D1024" s="13"/>
      <c r="E1024" s="10" t="str">
        <f t="shared" si="15"/>
        <v/>
      </c>
      <c r="F1024" s="8"/>
    </row>
    <row r="1025" spans="1:6" ht="15" customHeight="1" x14ac:dyDescent="0.2">
      <c r="A1025" s="9"/>
      <c r="B1025" s="8"/>
      <c r="C1025" s="10" t="str">
        <f>IFERROR(INDEX(Reference!$B$29:$B$200,MATCH(B1025,Reference!$A$29:$A$200,0)),"")</f>
        <v/>
      </c>
      <c r="D1025" s="13"/>
      <c r="E1025" s="10" t="str">
        <f t="shared" si="15"/>
        <v/>
      </c>
      <c r="F1025" s="8"/>
    </row>
    <row r="1026" spans="1:6" ht="15" customHeight="1" x14ac:dyDescent="0.2">
      <c r="A1026" s="9"/>
      <c r="B1026" s="8"/>
      <c r="C1026" s="10" t="str">
        <f>IFERROR(INDEX(Reference!$B$29:$B$200,MATCH(B1026,Reference!$A$29:$A$200,0)),"")</f>
        <v/>
      </c>
      <c r="D1026" s="13"/>
      <c r="E1026" s="10" t="str">
        <f t="shared" ref="E1026:E1059" si="16">IF(A1026="","",IF(MONTH(A1026)&gt;=8,YEAR(A1026)&amp;"-"&amp;RIGHT(YEAR(A1026)+1,2),YEAR(A1026)-1&amp;"-"&amp;RIGHT(YEAR(A1026),2)))</f>
        <v/>
      </c>
      <c r="F1026" s="8"/>
    </row>
    <row r="1027" spans="1:6" ht="15" customHeight="1" x14ac:dyDescent="0.2">
      <c r="A1027" s="9"/>
      <c r="B1027" s="8"/>
      <c r="C1027" s="10" t="str">
        <f>IFERROR(INDEX(Reference!$B$29:$B$200,MATCH(B1027,Reference!$A$29:$A$200,0)),"")</f>
        <v/>
      </c>
      <c r="D1027" s="13"/>
      <c r="E1027" s="10" t="str">
        <f t="shared" si="16"/>
        <v/>
      </c>
      <c r="F1027" s="8"/>
    </row>
    <row r="1028" spans="1:6" ht="15" customHeight="1" x14ac:dyDescent="0.2">
      <c r="A1028" s="9"/>
      <c r="B1028" s="8"/>
      <c r="C1028" s="10" t="str">
        <f>IFERROR(INDEX(Reference!$B$29:$B$200,MATCH(B1028,Reference!$A$29:$A$200,0)),"")</f>
        <v/>
      </c>
      <c r="D1028" s="13"/>
      <c r="E1028" s="10" t="str">
        <f t="shared" si="16"/>
        <v/>
      </c>
      <c r="F1028" s="8"/>
    </row>
    <row r="1029" spans="1:6" ht="15" customHeight="1" x14ac:dyDescent="0.2">
      <c r="A1029" s="9"/>
      <c r="B1029" s="8"/>
      <c r="C1029" s="10" t="str">
        <f>IFERROR(INDEX(Reference!$B$29:$B$200,MATCH(B1029,Reference!$A$29:$A$200,0)),"")</f>
        <v/>
      </c>
      <c r="D1029" s="13"/>
      <c r="E1029" s="10" t="str">
        <f t="shared" si="16"/>
        <v/>
      </c>
      <c r="F1029" s="8"/>
    </row>
    <row r="1030" spans="1:6" ht="15" customHeight="1" x14ac:dyDescent="0.2">
      <c r="A1030" s="9"/>
      <c r="B1030" s="8"/>
      <c r="C1030" s="10" t="str">
        <f>IFERROR(INDEX(Reference!$B$29:$B$200,MATCH(B1030,Reference!$A$29:$A$200,0)),"")</f>
        <v/>
      </c>
      <c r="D1030" s="13"/>
      <c r="E1030" s="10" t="str">
        <f t="shared" si="16"/>
        <v/>
      </c>
      <c r="F1030" s="8"/>
    </row>
    <row r="1031" spans="1:6" ht="15" customHeight="1" x14ac:dyDescent="0.2">
      <c r="A1031" s="9"/>
      <c r="B1031" s="8"/>
      <c r="C1031" s="10" t="str">
        <f>IFERROR(INDEX(Reference!$B$29:$B$200,MATCH(B1031,Reference!$A$29:$A$200,0)),"")</f>
        <v/>
      </c>
      <c r="D1031" s="13"/>
      <c r="E1031" s="10" t="str">
        <f t="shared" si="16"/>
        <v/>
      </c>
      <c r="F1031" s="8"/>
    </row>
    <row r="1032" spans="1:6" ht="15" customHeight="1" x14ac:dyDescent="0.2">
      <c r="A1032" s="9"/>
      <c r="B1032" s="8"/>
      <c r="C1032" s="10" t="str">
        <f>IFERROR(INDEX(Reference!$B$29:$B$200,MATCH(B1032,Reference!$A$29:$A$200,0)),"")</f>
        <v/>
      </c>
      <c r="D1032" s="13"/>
      <c r="E1032" s="10" t="str">
        <f t="shared" si="16"/>
        <v/>
      </c>
      <c r="F1032" s="8"/>
    </row>
    <row r="1033" spans="1:6" ht="15" customHeight="1" x14ac:dyDescent="0.2">
      <c r="A1033" s="9"/>
      <c r="B1033" s="8"/>
      <c r="C1033" s="10" t="str">
        <f>IFERROR(INDEX(Reference!$B$29:$B$200,MATCH(B1033,Reference!$A$29:$A$200,0)),"")</f>
        <v/>
      </c>
      <c r="D1033" s="13"/>
      <c r="E1033" s="10" t="str">
        <f t="shared" si="16"/>
        <v/>
      </c>
      <c r="F1033" s="8"/>
    </row>
    <row r="1034" spans="1:6" ht="15" customHeight="1" x14ac:dyDescent="0.2">
      <c r="A1034" s="9"/>
      <c r="B1034" s="8"/>
      <c r="C1034" s="10" t="str">
        <f>IFERROR(INDEX(Reference!$B$29:$B$200,MATCH(B1034,Reference!$A$29:$A$200,0)),"")</f>
        <v/>
      </c>
      <c r="D1034" s="13"/>
      <c r="E1034" s="10" t="str">
        <f t="shared" si="16"/>
        <v/>
      </c>
      <c r="F1034" s="8"/>
    </row>
    <row r="1035" spans="1:6" ht="15" customHeight="1" x14ac:dyDescent="0.2">
      <c r="A1035" s="9"/>
      <c r="B1035" s="8"/>
      <c r="C1035" s="10" t="str">
        <f>IFERROR(INDEX(Reference!$B$29:$B$200,MATCH(B1035,Reference!$A$29:$A$200,0)),"")</f>
        <v/>
      </c>
      <c r="D1035" s="13"/>
      <c r="E1035" s="10" t="str">
        <f t="shared" si="16"/>
        <v/>
      </c>
      <c r="F1035" s="8"/>
    </row>
    <row r="1036" spans="1:6" ht="15" customHeight="1" x14ac:dyDescent="0.2">
      <c r="A1036" s="9"/>
      <c r="B1036" s="8"/>
      <c r="C1036" s="10" t="str">
        <f>IFERROR(INDEX(Reference!$B$29:$B$200,MATCH(B1036,Reference!$A$29:$A$200,0)),"")</f>
        <v/>
      </c>
      <c r="D1036" s="13"/>
      <c r="E1036" s="10" t="str">
        <f t="shared" si="16"/>
        <v/>
      </c>
      <c r="F1036" s="8"/>
    </row>
    <row r="1037" spans="1:6" ht="15" customHeight="1" x14ac:dyDescent="0.2">
      <c r="A1037" s="9"/>
      <c r="B1037" s="8"/>
      <c r="C1037" s="10" t="str">
        <f>IFERROR(INDEX(Reference!$B$29:$B$200,MATCH(B1037,Reference!$A$29:$A$200,0)),"")</f>
        <v/>
      </c>
      <c r="D1037" s="13"/>
      <c r="E1037" s="10" t="str">
        <f t="shared" si="16"/>
        <v/>
      </c>
      <c r="F1037" s="8"/>
    </row>
    <row r="1038" spans="1:6" ht="15" customHeight="1" x14ac:dyDescent="0.2">
      <c r="A1038" s="9"/>
      <c r="B1038" s="8"/>
      <c r="C1038" s="10" t="str">
        <f>IFERROR(INDEX(Reference!$B$29:$B$200,MATCH(B1038,Reference!$A$29:$A$200,0)),"")</f>
        <v/>
      </c>
      <c r="D1038" s="13"/>
      <c r="E1038" s="10" t="str">
        <f t="shared" si="16"/>
        <v/>
      </c>
      <c r="F1038" s="8"/>
    </row>
    <row r="1039" spans="1:6" ht="15" customHeight="1" x14ac:dyDescent="0.2">
      <c r="A1039" s="9"/>
      <c r="B1039" s="8"/>
      <c r="C1039" s="10" t="str">
        <f>IFERROR(INDEX(Reference!$B$29:$B$200,MATCH(B1039,Reference!$A$29:$A$200,0)),"")</f>
        <v/>
      </c>
      <c r="D1039" s="13"/>
      <c r="E1039" s="10" t="str">
        <f t="shared" si="16"/>
        <v/>
      </c>
      <c r="F1039" s="8"/>
    </row>
    <row r="1040" spans="1:6" ht="15" customHeight="1" x14ac:dyDescent="0.2">
      <c r="A1040" s="9"/>
      <c r="B1040" s="8"/>
      <c r="C1040" s="10" t="str">
        <f>IFERROR(INDEX(Reference!$B$29:$B$200,MATCH(B1040,Reference!$A$29:$A$200,0)),"")</f>
        <v/>
      </c>
      <c r="D1040" s="13"/>
      <c r="E1040" s="10" t="str">
        <f t="shared" si="16"/>
        <v/>
      </c>
      <c r="F1040" s="8"/>
    </row>
    <row r="1041" spans="1:6" ht="15" customHeight="1" x14ac:dyDescent="0.2">
      <c r="A1041" s="9"/>
      <c r="B1041" s="8"/>
      <c r="C1041" s="10" t="str">
        <f>IFERROR(INDEX(Reference!$B$29:$B$200,MATCH(B1041,Reference!$A$29:$A$200,0)),"")</f>
        <v/>
      </c>
      <c r="D1041" s="13"/>
      <c r="E1041" s="10" t="str">
        <f t="shared" si="16"/>
        <v/>
      </c>
      <c r="F1041" s="8"/>
    </row>
    <row r="1042" spans="1:6" ht="15" customHeight="1" x14ac:dyDescent="0.2">
      <c r="A1042" s="9"/>
      <c r="B1042" s="8"/>
      <c r="C1042" s="10" t="str">
        <f>IFERROR(INDEX(Reference!$B$29:$B$200,MATCH(B1042,Reference!$A$29:$A$200,0)),"")</f>
        <v/>
      </c>
      <c r="D1042" s="13"/>
      <c r="E1042" s="10" t="str">
        <f t="shared" si="16"/>
        <v/>
      </c>
      <c r="F1042" s="8"/>
    </row>
    <row r="1043" spans="1:6" ht="15" customHeight="1" x14ac:dyDescent="0.2">
      <c r="A1043" s="9"/>
      <c r="B1043" s="8"/>
      <c r="C1043" s="10" t="str">
        <f>IFERROR(INDEX(Reference!$B$29:$B$200,MATCH(B1043,Reference!$A$29:$A$200,0)),"")</f>
        <v/>
      </c>
      <c r="D1043" s="13"/>
      <c r="E1043" s="10" t="str">
        <f t="shared" si="16"/>
        <v/>
      </c>
      <c r="F1043" s="8"/>
    </row>
    <row r="1044" spans="1:6" ht="15" customHeight="1" x14ac:dyDescent="0.2">
      <c r="A1044" s="9"/>
      <c r="B1044" s="8"/>
      <c r="C1044" s="10" t="str">
        <f>IFERROR(INDEX(Reference!$B$29:$B$200,MATCH(B1044,Reference!$A$29:$A$200,0)),"")</f>
        <v/>
      </c>
      <c r="D1044" s="13"/>
      <c r="E1044" s="10" t="str">
        <f t="shared" si="16"/>
        <v/>
      </c>
      <c r="F1044" s="8"/>
    </row>
    <row r="1045" spans="1:6" ht="15" customHeight="1" x14ac:dyDescent="0.2">
      <c r="A1045" s="9"/>
      <c r="B1045" s="8"/>
      <c r="C1045" s="10" t="str">
        <f>IFERROR(INDEX(Reference!$B$29:$B$200,MATCH(B1045,Reference!$A$29:$A$200,0)),"")</f>
        <v/>
      </c>
      <c r="D1045" s="13"/>
      <c r="E1045" s="10" t="str">
        <f t="shared" si="16"/>
        <v/>
      </c>
      <c r="F1045" s="8"/>
    </row>
    <row r="1046" spans="1:6" ht="15" customHeight="1" x14ac:dyDescent="0.2">
      <c r="A1046" s="9"/>
      <c r="B1046" s="8"/>
      <c r="C1046" s="10" t="str">
        <f>IFERROR(INDEX(Reference!$B$29:$B$200,MATCH(B1046,Reference!$A$29:$A$200,0)),"")</f>
        <v/>
      </c>
      <c r="D1046" s="13"/>
      <c r="E1046" s="10" t="str">
        <f t="shared" si="16"/>
        <v/>
      </c>
      <c r="F1046" s="8"/>
    </row>
    <row r="1047" spans="1:6" ht="15" customHeight="1" x14ac:dyDescent="0.2">
      <c r="A1047" s="9"/>
      <c r="B1047" s="8"/>
      <c r="C1047" s="10" t="str">
        <f>IFERROR(INDEX(Reference!$B$29:$B$200,MATCH(B1047,Reference!$A$29:$A$200,0)),"")</f>
        <v/>
      </c>
      <c r="D1047" s="13"/>
      <c r="E1047" s="10" t="str">
        <f t="shared" si="16"/>
        <v/>
      </c>
      <c r="F1047" s="8"/>
    </row>
    <row r="1048" spans="1:6" ht="15" customHeight="1" x14ac:dyDescent="0.2">
      <c r="A1048" s="9"/>
      <c r="B1048" s="8"/>
      <c r="C1048" s="10" t="str">
        <f>IFERROR(INDEX(Reference!$B$29:$B$200,MATCH(B1048,Reference!$A$29:$A$200,0)),"")</f>
        <v/>
      </c>
      <c r="D1048" s="13"/>
      <c r="E1048" s="10" t="str">
        <f t="shared" si="16"/>
        <v/>
      </c>
      <c r="F1048" s="8"/>
    </row>
    <row r="1049" spans="1:6" ht="15" customHeight="1" x14ac:dyDescent="0.2">
      <c r="A1049" s="9"/>
      <c r="B1049" s="8"/>
      <c r="C1049" s="10" t="str">
        <f>IFERROR(INDEX(Reference!$B$29:$B$200,MATCH(B1049,Reference!$A$29:$A$200,0)),"")</f>
        <v/>
      </c>
      <c r="D1049" s="13"/>
      <c r="E1049" s="10" t="str">
        <f t="shared" si="16"/>
        <v/>
      </c>
      <c r="F1049" s="8"/>
    </row>
    <row r="1050" spans="1:6" ht="15" customHeight="1" x14ac:dyDescent="0.2">
      <c r="A1050" s="9"/>
      <c r="B1050" s="8"/>
      <c r="C1050" s="10" t="str">
        <f>IFERROR(INDEX(Reference!$B$29:$B$200,MATCH(B1050,Reference!$A$29:$A$200,0)),"")</f>
        <v/>
      </c>
      <c r="D1050" s="13"/>
      <c r="E1050" s="10" t="str">
        <f t="shared" si="16"/>
        <v/>
      </c>
      <c r="F1050" s="8"/>
    </row>
    <row r="1051" spans="1:6" ht="15" customHeight="1" x14ac:dyDescent="0.2">
      <c r="A1051" s="9"/>
      <c r="B1051" s="8"/>
      <c r="C1051" s="10" t="str">
        <f>IFERROR(INDEX(Reference!$B$29:$B$200,MATCH(B1051,Reference!$A$29:$A$200,0)),"")</f>
        <v/>
      </c>
      <c r="D1051" s="13"/>
      <c r="E1051" s="10" t="str">
        <f t="shared" si="16"/>
        <v/>
      </c>
      <c r="F1051" s="8"/>
    </row>
    <row r="1052" spans="1:6" ht="15" customHeight="1" x14ac:dyDescent="0.2">
      <c r="A1052" s="9"/>
      <c r="B1052" s="8"/>
      <c r="C1052" s="10" t="str">
        <f>IFERROR(INDEX(Reference!$B$29:$B$200,MATCH(B1052,Reference!$A$29:$A$200,0)),"")</f>
        <v/>
      </c>
      <c r="D1052" s="13"/>
      <c r="E1052" s="10" t="str">
        <f t="shared" si="16"/>
        <v/>
      </c>
      <c r="F1052" s="8"/>
    </row>
    <row r="1053" spans="1:6" ht="15" customHeight="1" x14ac:dyDescent="0.2">
      <c r="A1053" s="9"/>
      <c r="B1053" s="8"/>
      <c r="C1053" s="10" t="str">
        <f>IFERROR(INDEX(Reference!$B$29:$B$200,MATCH(B1053,Reference!$A$29:$A$200,0)),"")</f>
        <v/>
      </c>
      <c r="D1053" s="13"/>
      <c r="E1053" s="10" t="str">
        <f t="shared" si="16"/>
        <v/>
      </c>
      <c r="F1053" s="8"/>
    </row>
    <row r="1054" spans="1:6" ht="15" customHeight="1" x14ac:dyDescent="0.2">
      <c r="A1054" s="9"/>
      <c r="B1054" s="8"/>
      <c r="C1054" s="10" t="str">
        <f>IFERROR(INDEX(Reference!$B$29:$B$200,MATCH(B1054,Reference!$A$29:$A$200,0)),"")</f>
        <v/>
      </c>
      <c r="D1054" s="13"/>
      <c r="E1054" s="10" t="str">
        <f t="shared" si="16"/>
        <v/>
      </c>
      <c r="F1054" s="8"/>
    </row>
    <row r="1055" spans="1:6" ht="15" customHeight="1" x14ac:dyDescent="0.2">
      <c r="A1055" s="9"/>
      <c r="B1055" s="8"/>
      <c r="C1055" s="10" t="str">
        <f>IFERROR(INDEX(Reference!$B$29:$B$200,MATCH(B1055,Reference!$A$29:$A$200,0)),"")</f>
        <v/>
      </c>
      <c r="D1055" s="13"/>
      <c r="E1055" s="10" t="str">
        <f t="shared" si="16"/>
        <v/>
      </c>
      <c r="F1055" s="8"/>
    </row>
    <row r="1056" spans="1:6" ht="15" customHeight="1" x14ac:dyDescent="0.2">
      <c r="A1056" s="9"/>
      <c r="B1056" s="8"/>
      <c r="C1056" s="10" t="str">
        <f>IFERROR(INDEX(Reference!$B$29:$B$200,MATCH(B1056,Reference!$A$29:$A$200,0)),"")</f>
        <v/>
      </c>
      <c r="D1056" s="13"/>
      <c r="E1056" s="10" t="str">
        <f t="shared" si="16"/>
        <v/>
      </c>
      <c r="F1056" s="8"/>
    </row>
    <row r="1057" spans="1:6" ht="15" customHeight="1" x14ac:dyDescent="0.2">
      <c r="A1057" s="9"/>
      <c r="B1057" s="8"/>
      <c r="C1057" s="10" t="str">
        <f>IFERROR(INDEX(Reference!$B$29:$B$200,MATCH(B1057,Reference!$A$29:$A$200,0)),"")</f>
        <v/>
      </c>
      <c r="D1057" s="13"/>
      <c r="E1057" s="10" t="str">
        <f t="shared" si="16"/>
        <v/>
      </c>
      <c r="F1057" s="8"/>
    </row>
    <row r="1058" spans="1:6" ht="15" customHeight="1" x14ac:dyDescent="0.2">
      <c r="A1058" s="9"/>
      <c r="B1058" s="8"/>
      <c r="C1058" s="10" t="str">
        <f>IFERROR(INDEX(Reference!$B$29:$B$200,MATCH(B1058,Reference!$A$29:$A$200,0)),"")</f>
        <v/>
      </c>
      <c r="D1058" s="13"/>
      <c r="E1058" s="10" t="str">
        <f t="shared" si="16"/>
        <v/>
      </c>
      <c r="F1058" s="8"/>
    </row>
    <row r="1059" spans="1:6" ht="15" customHeight="1" x14ac:dyDescent="0.2">
      <c r="A1059" s="9"/>
      <c r="B1059" s="8"/>
      <c r="C1059" s="10" t="str">
        <f>IFERROR(INDEX(Reference!$B$29:$B$200,MATCH(B1059,Reference!$A$29:$A$200,0)),"")</f>
        <v/>
      </c>
      <c r="D1059" s="13"/>
      <c r="E1059" s="10" t="str">
        <f t="shared" si="16"/>
        <v/>
      </c>
      <c r="F1059" s="8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Reference!$A$29:$A$88</xm:f>
          </x14:formula1>
          <x14:formula2>
            <xm:f>0</xm:f>
          </x14:formula2>
          <xm:sqref>B2:B1059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8"/>
  <sheetViews>
    <sheetView showGridLines="0" tabSelected="1" topLeftCell="A2" zoomScaleNormal="100" workbookViewId="0">
      <selection activeCell="A49" sqref="A9:D58"/>
    </sheetView>
  </sheetViews>
  <sheetFormatPr baseColWidth="10" defaultColWidth="8.6640625" defaultRowHeight="15" x14ac:dyDescent="0.2"/>
  <cols>
    <col min="1" max="1" width="30" customWidth="1"/>
    <col min="2" max="2" width="15" customWidth="1"/>
    <col min="3" max="3" width="8" customWidth="1"/>
  </cols>
  <sheetData>
    <row r="1" spans="1:3" ht="19.5" customHeight="1" x14ac:dyDescent="0.2">
      <c r="A1" s="1" t="s">
        <v>155</v>
      </c>
    </row>
    <row r="3" spans="1:3" ht="15" customHeight="1" x14ac:dyDescent="0.2">
      <c r="A3" s="3" t="s">
        <v>156</v>
      </c>
      <c r="B3" s="14" t="s">
        <v>157</v>
      </c>
      <c r="C3" s="7" t="s">
        <v>158</v>
      </c>
    </row>
    <row r="5" spans="1:3" ht="15" customHeight="1" x14ac:dyDescent="0.2">
      <c r="A5" s="15" t="s">
        <v>159</v>
      </c>
      <c r="B5" s="16"/>
      <c r="C5" s="16"/>
    </row>
    <row r="6" spans="1:3" ht="15.75" customHeight="1" x14ac:dyDescent="0.2">
      <c r="A6" s="17" t="s">
        <v>160</v>
      </c>
      <c r="B6" s="18">
        <f>SUMIFS(Bookings!$L$2:$L$1056,Bookings!$P$2:$P$1056,$B$3)</f>
        <v>0</v>
      </c>
    </row>
    <row r="7" spans="1:3" ht="15" customHeight="1" x14ac:dyDescent="0.2">
      <c r="A7" s="2" t="s">
        <v>42</v>
      </c>
      <c r="B7" s="19">
        <f>SUMIFS(Bookings!$L$2:$L$1056,Bookings!$P$2:$P$1056,$B$3,Bookings!$B$2:$B$1056,"Homeport")</f>
        <v>0</v>
      </c>
    </row>
    <row r="8" spans="1:3" ht="15" customHeight="1" x14ac:dyDescent="0.2">
      <c r="A8" s="2" t="s">
        <v>46</v>
      </c>
      <c r="B8" s="19">
        <f>SUMIFS(Bookings!$L$2:$L$1056,Bookings!$P$2:$P$1056,$B$3,Bookings!$B$2:$B$1056,"Sherpa")</f>
        <v>0</v>
      </c>
    </row>
    <row r="9" spans="1:3" ht="15" customHeight="1" x14ac:dyDescent="0.2">
      <c r="A9" s="2" t="s">
        <v>49</v>
      </c>
      <c r="B9" s="19">
        <f>SUMIFS(Bookings!$L$2:$L$1056,Bookings!$P$2:$P$1056,$B$3,Bookings!$B$2:$B$1056,"Recreation")</f>
        <v>0</v>
      </c>
    </row>
    <row r="10" spans="1:3" ht="15" customHeight="1" x14ac:dyDescent="0.2">
      <c r="A10" s="2" t="s">
        <v>51</v>
      </c>
      <c r="B10" s="19">
        <f>SUMIFS(Bookings!$L$2:$L$1056,Bookings!$P$2:$P$1056,$B$3,Bookings!$B$2:$B$1056,"Others")</f>
        <v>0</v>
      </c>
    </row>
    <row r="12" spans="1:3" ht="15" customHeight="1" x14ac:dyDescent="0.2">
      <c r="A12" s="15" t="s">
        <v>161</v>
      </c>
      <c r="B12" s="16"/>
      <c r="C12" s="16"/>
    </row>
    <row r="13" spans="1:3" ht="15.75" customHeight="1" x14ac:dyDescent="0.2">
      <c r="A13" s="17" t="s">
        <v>139</v>
      </c>
      <c r="B13" s="20">
        <f>SUMIFS(Bookings!$H$2:$H$1056,Bookings!$P$2:$P$1056,$B$3)</f>
        <v>0</v>
      </c>
    </row>
    <row r="14" spans="1:3" ht="15" customHeight="1" x14ac:dyDescent="0.2">
      <c r="A14" s="2" t="s">
        <v>162</v>
      </c>
      <c r="B14" s="21">
        <f>COUNTIFS(Bookings!$P$2:$P$1056,$B$3)</f>
        <v>0</v>
      </c>
    </row>
    <row r="16" spans="1:3" ht="15" customHeight="1" x14ac:dyDescent="0.2">
      <c r="A16" s="15" t="s">
        <v>163</v>
      </c>
      <c r="B16" s="16"/>
      <c r="C16" s="16"/>
    </row>
    <row r="17" spans="1:3" ht="15" customHeight="1" x14ac:dyDescent="0.2">
      <c r="A17" s="2" t="s">
        <v>64</v>
      </c>
      <c r="B17" s="19">
        <f>SUMIFS(Costs!$D$2:$D$1059,Costs!$E$2:$E$1059,$B$3,Costs!$C$2:$C$1059,"Fixed")</f>
        <v>0</v>
      </c>
    </row>
    <row r="18" spans="1:3" ht="15" customHeight="1" x14ac:dyDescent="0.2">
      <c r="A18" s="2" t="s">
        <v>67</v>
      </c>
      <c r="B18" s="19">
        <f>SUMIFS(Costs!$D$2:$D$1059,Costs!$E$2:$E$1059,$B$3,Costs!$C$2:$C$1059,"Variable")</f>
        <v>0</v>
      </c>
    </row>
    <row r="19" spans="1:3" ht="15.75" customHeight="1" x14ac:dyDescent="0.2">
      <c r="A19" s="17" t="s">
        <v>164</v>
      </c>
      <c r="B19" s="18">
        <f>B17+B18</f>
        <v>0</v>
      </c>
    </row>
    <row r="21" spans="1:3" ht="15" customHeight="1" x14ac:dyDescent="0.2">
      <c r="A21" s="15" t="s">
        <v>165</v>
      </c>
      <c r="B21" s="16"/>
      <c r="C21" s="16"/>
    </row>
    <row r="22" spans="1:3" ht="15" customHeight="1" x14ac:dyDescent="0.2">
      <c r="A22" s="2" t="s">
        <v>166</v>
      </c>
      <c r="B22" s="22" t="str">
        <f>IF(B13=0,"",B17/B13)</f>
        <v/>
      </c>
    </row>
    <row r="23" spans="1:3" ht="15" customHeight="1" x14ac:dyDescent="0.2">
      <c r="A23" s="2" t="s">
        <v>167</v>
      </c>
      <c r="B23" s="22" t="str">
        <f>IF(B13=0,"",B18/B13)</f>
        <v/>
      </c>
    </row>
    <row r="24" spans="1:3" ht="15.75" customHeight="1" x14ac:dyDescent="0.2">
      <c r="A24" s="17" t="s">
        <v>168</v>
      </c>
      <c r="B24" s="23" t="str">
        <f>IF(B13=0,"",B19/B13)</f>
        <v/>
      </c>
    </row>
    <row r="26" spans="1:3" ht="15" customHeight="1" x14ac:dyDescent="0.2">
      <c r="A26" s="15" t="s">
        <v>169</v>
      </c>
      <c r="B26" s="16"/>
      <c r="C26" s="16"/>
    </row>
    <row r="27" spans="1:3" ht="15.75" customHeight="1" x14ac:dyDescent="0.2">
      <c r="A27" s="17" t="s">
        <v>170</v>
      </c>
      <c r="B27" s="18">
        <f>B6-B19</f>
        <v>0</v>
      </c>
    </row>
    <row r="28" spans="1:3" ht="15" customHeight="1" x14ac:dyDescent="0.2">
      <c r="A28" s="2" t="s">
        <v>171</v>
      </c>
      <c r="B28" s="19">
        <f>SUMIFS(Bookings!$J$2:$J$1056,Bookings!$P$2:$P$1056,$B$3)-SUMIFS(Bookings!$K$2:$K$1056,Bookings!$P$2:$P$1056,$B$3)</f>
        <v>0</v>
      </c>
    </row>
    <row r="29" spans="1:3" ht="15" customHeight="1" x14ac:dyDescent="0.2">
      <c r="A29" s="2" t="s">
        <v>172</v>
      </c>
      <c r="B29" s="19">
        <f>SUMIFS(Bookings!$O$2:$O$1056,Bookings!$P$2:$P$1056,$B$3)</f>
        <v>0</v>
      </c>
    </row>
    <row r="31" spans="1:3" ht="15" customHeight="1" x14ac:dyDescent="0.2">
      <c r="A31" s="15" t="s">
        <v>173</v>
      </c>
      <c r="B31" s="16"/>
      <c r="C31" s="16"/>
    </row>
    <row r="32" spans="1:3" ht="15" customHeight="1" x14ac:dyDescent="0.2">
      <c r="A32" s="2" t="s">
        <v>174</v>
      </c>
      <c r="B32" s="19">
        <f>B9</f>
        <v>0</v>
      </c>
    </row>
    <row r="33" spans="1:3" ht="15" customHeight="1" x14ac:dyDescent="0.2">
      <c r="A33" s="2" t="s">
        <v>175</v>
      </c>
      <c r="B33" s="19">
        <f>SUMIFS(StaffExtras!$G$2:$G$1013,StaffExtras!$H$2:$H$1013,$B$3,StaffExtras!$D$2:$D$1013,"Casual",StaffExtras!$C$2:$C$1013,"Recreation")</f>
        <v>0</v>
      </c>
    </row>
    <row r="34" spans="1:3" ht="15" customHeight="1" x14ac:dyDescent="0.2">
      <c r="A34" s="2" t="s">
        <v>176</v>
      </c>
      <c r="B34" s="19">
        <f>SUMIFS(StaffExtras!$G$2:$G$1013,StaffExtras!$H$2:$H$1013,$B$3,StaffExtras!$D$2:$D$1013,"Summer",StaffExtras!$C$2:$C$1013,"Recreation")</f>
        <v>0</v>
      </c>
    </row>
    <row r="35" spans="1:3" ht="15.75" customHeight="1" x14ac:dyDescent="0.2">
      <c r="A35" s="17" t="s">
        <v>177</v>
      </c>
      <c r="B35" s="18">
        <f>B32-B33-B34</f>
        <v>0</v>
      </c>
    </row>
    <row r="36" spans="1:3" ht="15" customHeight="1" x14ac:dyDescent="0.2">
      <c r="A36" s="2" t="s">
        <v>178</v>
      </c>
      <c r="B36" s="19">
        <f>SUMIFS(StaffExtras!$G$2:$G$1013,StaffExtras!$H$2:$H$1013,$B$3)-B33-B34</f>
        <v>0</v>
      </c>
    </row>
    <row r="38" spans="1:3" ht="15" customHeight="1" x14ac:dyDescent="0.2">
      <c r="A38" s="15" t="s">
        <v>179</v>
      </c>
      <c r="B38" s="16"/>
      <c r="C38" s="16"/>
    </row>
    <row r="39" spans="1:3" ht="15" customHeight="1" x14ac:dyDescent="0.2">
      <c r="A39" s="2" t="s">
        <v>180</v>
      </c>
      <c r="B39" s="19">
        <f>SUMIFS(StaffExtras!$G$2:$G$1013,StaffExtras!$H$2:$H$1013,$B$3,StaffExtras!$D$2:$D$1013,"Casual")</f>
        <v>0</v>
      </c>
    </row>
    <row r="40" spans="1:3" ht="15" customHeight="1" x14ac:dyDescent="0.2">
      <c r="A40" s="2" t="s">
        <v>181</v>
      </c>
      <c r="B40" s="19">
        <f>SUMIFS(StaffExtras!$G$2:$G$1013,StaffExtras!$H$2:$H$1013,$B$3,StaffExtras!$D$2:$D$1013,"Summer")</f>
        <v>0</v>
      </c>
    </row>
    <row r="41" spans="1:3" ht="15.75" customHeight="1" x14ac:dyDescent="0.2">
      <c r="A41" s="17" t="s">
        <v>182</v>
      </c>
      <c r="B41" s="18">
        <f>B39+B40</f>
        <v>0</v>
      </c>
    </row>
    <row r="43" spans="1:3" ht="15" customHeight="1" x14ac:dyDescent="0.2">
      <c r="A43" s="2" t="s">
        <v>183</v>
      </c>
      <c r="B43" s="19">
        <f>SUMIFS(StaffExtras!$G$2:$G$1013,StaffExtras!$H$2:$H$1013,$B$3,StaffExtras!$C$2:$C$1013,"Homeport")</f>
        <v>0</v>
      </c>
    </row>
    <row r="44" spans="1:3" ht="15" customHeight="1" x14ac:dyDescent="0.2">
      <c r="A44" s="2" t="s">
        <v>184</v>
      </c>
      <c r="B44" s="19">
        <f>SUMIFS(StaffExtras!$G$2:$G$1013,StaffExtras!$H$2:$H$1013,$B$3,StaffExtras!$C$2:$C$1013,"Sherpa")</f>
        <v>0</v>
      </c>
    </row>
    <row r="45" spans="1:3" ht="15" customHeight="1" x14ac:dyDescent="0.2">
      <c r="A45" s="2" t="s">
        <v>185</v>
      </c>
      <c r="B45" s="19">
        <f>SUMIFS(StaffExtras!$G$2:$G$1013,StaffExtras!$H$2:$H$1013,$B$3,StaffExtras!$C$2:$C$1013,"Recreation")</f>
        <v>0</v>
      </c>
    </row>
    <row r="46" spans="1:3" ht="15" customHeight="1" x14ac:dyDescent="0.2">
      <c r="A46" s="2" t="s">
        <v>186</v>
      </c>
      <c r="B46" s="19">
        <f>SUMIFS(StaffExtras!$G$2:$G$1013,StaffExtras!$H$2:$H$1013,$B$3,StaffExtras!$C$2:$C$1013,"Others")</f>
        <v>0</v>
      </c>
    </row>
    <row r="49" spans="1:4" ht="15" customHeight="1" x14ac:dyDescent="0.2">
      <c r="A49" s="25" t="s">
        <v>187</v>
      </c>
      <c r="B49" s="25"/>
      <c r="C49" s="25"/>
      <c r="D49" s="25"/>
    </row>
    <row r="50" spans="1:4" ht="15" customHeight="1" x14ac:dyDescent="0.2">
      <c r="A50" s="25"/>
      <c r="B50" s="25"/>
      <c r="C50" s="25"/>
      <c r="D50" s="25"/>
    </row>
    <row r="51" spans="1:4" ht="15" customHeight="1" x14ac:dyDescent="0.2">
      <c r="A51" s="25"/>
      <c r="B51" s="25"/>
      <c r="C51" s="25"/>
      <c r="D51" s="25"/>
    </row>
    <row r="52" spans="1:4" x14ac:dyDescent="0.2">
      <c r="A52" s="25"/>
      <c r="B52" s="25"/>
      <c r="C52" s="25"/>
      <c r="D52" s="25"/>
    </row>
    <row r="53" spans="1:4" x14ac:dyDescent="0.2">
      <c r="A53" s="25"/>
      <c r="B53" s="25"/>
      <c r="C53" s="25"/>
      <c r="D53" s="25"/>
    </row>
    <row r="54" spans="1:4" x14ac:dyDescent="0.2">
      <c r="A54" s="25"/>
      <c r="B54" s="25"/>
      <c r="C54" s="25"/>
      <c r="D54" s="25"/>
    </row>
    <row r="55" spans="1:4" x14ac:dyDescent="0.2">
      <c r="A55" s="25"/>
      <c r="B55" s="25"/>
      <c r="C55" s="25"/>
      <c r="D55" s="25"/>
    </row>
    <row r="56" spans="1:4" x14ac:dyDescent="0.2">
      <c r="A56" s="25"/>
      <c r="B56" s="25"/>
      <c r="C56" s="25"/>
      <c r="D56" s="25"/>
    </row>
    <row r="57" spans="1:4" x14ac:dyDescent="0.2">
      <c r="A57" s="25"/>
      <c r="B57" s="25"/>
      <c r="C57" s="25"/>
      <c r="D57" s="25"/>
    </row>
    <row r="58" spans="1:4" x14ac:dyDescent="0.2">
      <c r="A58" s="25"/>
      <c r="B58" s="25"/>
      <c r="C58" s="25"/>
      <c r="D58" s="25"/>
    </row>
  </sheetData>
  <mergeCells count="1">
    <mergeCell ref="A49:D5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Reference</vt:lpstr>
      <vt:lpstr>RecPricing</vt:lpstr>
      <vt:lpstr>Bookings</vt:lpstr>
      <vt:lpstr>StaffExtras</vt:lpstr>
      <vt:lpstr>Costs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Deepak Shetty (MSc Business Analytics FT)</cp:lastModifiedBy>
  <cp:revision>2</cp:revision>
  <dcterms:created xsi:type="dcterms:W3CDTF">2026-08-14T12:05:22Z</dcterms:created>
  <dcterms:modified xsi:type="dcterms:W3CDTF">2026-09-11T12:36:21Z</dcterms:modified>
  <dc:language>en-US</dc:language>
</cp:coreProperties>
</file>